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IV_PROJECTS\10xDev 4\10x-cli\docs\Model Premiowania\"/>
    </mc:Choice>
  </mc:AlternateContent>
  <xr:revisionPtr revIDLastSave="0" documentId="13_ncr:1_{28759933-B379-487B-A0D7-C13F87BC73A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kcja" sheetId="1" r:id="rId1"/>
    <sheet name="Ustawienia" sheetId="2" r:id="rId2"/>
    <sheet name="Pracownicy" sheetId="5" r:id="rId3"/>
    <sheet name="Projekty" sheetId="3" r:id="rId4"/>
    <sheet name="Milestones" sheetId="4" r:id="rId5"/>
    <sheet name="Zaangażowanie" sheetId="6" r:id="rId6"/>
    <sheet name="Wyniki" sheetId="7" r:id="rId7"/>
    <sheet name="Podsumowanie_milestone" sheetId="8" r:id="rId8"/>
    <sheet name="Kontrola" sheetId="9" r:id="rId9"/>
    <sheet name="Rapor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C3" i="9" a="1"/>
  <c r="C3" i="9" s="1"/>
  <c r="C4" i="9" a="1"/>
  <c r="C4" i="9" s="1"/>
  <c r="C2" i="9" a="1"/>
  <c r="C2" i="9" s="1"/>
  <c r="E3" i="8"/>
  <c r="G3" i="7"/>
  <c r="G4" i="7"/>
  <c r="G2" i="7"/>
  <c r="F3" i="7"/>
  <c r="F4" i="7"/>
  <c r="F2" i="7"/>
  <c r="D3" i="7"/>
  <c r="E3" i="7" s="1"/>
  <c r="D4" i="7"/>
  <c r="E4" i="7" s="1"/>
  <c r="D2" i="7"/>
  <c r="E2" i="7" s="1"/>
  <c r="B3" i="7"/>
  <c r="B4" i="7"/>
  <c r="B2" i="7"/>
  <c r="G3" i="6"/>
  <c r="L3" i="7" s="1"/>
  <c r="G4" i="6"/>
  <c r="L4" i="7" s="1"/>
  <c r="G2" i="6"/>
  <c r="L2" i="7" s="1"/>
  <c r="F3" i="5"/>
  <c r="K3" i="7" s="1"/>
  <c r="F4" i="5"/>
  <c r="K4" i="7" s="1"/>
  <c r="F2" i="5"/>
  <c r="K2" i="7" s="1"/>
  <c r="D501" i="10"/>
  <c r="C501" i="10"/>
  <c r="B501" i="10"/>
  <c r="A501" i="10"/>
  <c r="D500" i="10"/>
  <c r="C500" i="10"/>
  <c r="B500" i="10"/>
  <c r="A500" i="10"/>
  <c r="D499" i="10"/>
  <c r="C499" i="10"/>
  <c r="B499" i="10"/>
  <c r="A499" i="10"/>
  <c r="D498" i="10"/>
  <c r="C498" i="10"/>
  <c r="B498" i="10"/>
  <c r="A498" i="10"/>
  <c r="D497" i="10"/>
  <c r="C497" i="10"/>
  <c r="B497" i="10"/>
  <c r="A497" i="10"/>
  <c r="D496" i="10"/>
  <c r="C496" i="10"/>
  <c r="B496" i="10"/>
  <c r="A496" i="10"/>
  <c r="D495" i="10"/>
  <c r="C495" i="10"/>
  <c r="B495" i="10"/>
  <c r="A495" i="10"/>
  <c r="D494" i="10"/>
  <c r="C494" i="10"/>
  <c r="B494" i="10"/>
  <c r="A494" i="10"/>
  <c r="D493" i="10"/>
  <c r="C493" i="10"/>
  <c r="B493" i="10"/>
  <c r="A493" i="10"/>
  <c r="D492" i="10"/>
  <c r="C492" i="10"/>
  <c r="B492" i="10"/>
  <c r="A492" i="10"/>
  <c r="D491" i="10"/>
  <c r="C491" i="10"/>
  <c r="B491" i="10"/>
  <c r="A491" i="10"/>
  <c r="D490" i="10"/>
  <c r="C490" i="10"/>
  <c r="B490" i="10"/>
  <c r="A490" i="10"/>
  <c r="D489" i="10"/>
  <c r="C489" i="10"/>
  <c r="B489" i="10"/>
  <c r="A489" i="10"/>
  <c r="D488" i="10"/>
  <c r="C488" i="10"/>
  <c r="B488" i="10"/>
  <c r="A488" i="10"/>
  <c r="D487" i="10"/>
  <c r="C487" i="10"/>
  <c r="B487" i="10"/>
  <c r="A487" i="10"/>
  <c r="D486" i="10"/>
  <c r="C486" i="10"/>
  <c r="B486" i="10"/>
  <c r="A486" i="10"/>
  <c r="D485" i="10"/>
  <c r="C485" i="10"/>
  <c r="B485" i="10"/>
  <c r="A485" i="10"/>
  <c r="D484" i="10"/>
  <c r="C484" i="10"/>
  <c r="B484" i="10"/>
  <c r="A484" i="10"/>
  <c r="D483" i="10"/>
  <c r="C483" i="10"/>
  <c r="B483" i="10"/>
  <c r="A483" i="10"/>
  <c r="D482" i="10"/>
  <c r="C482" i="10"/>
  <c r="B482" i="10"/>
  <c r="A482" i="10"/>
  <c r="D481" i="10"/>
  <c r="C481" i="10"/>
  <c r="B481" i="10"/>
  <c r="A481" i="10"/>
  <c r="D480" i="10"/>
  <c r="C480" i="10"/>
  <c r="B480" i="10"/>
  <c r="A480" i="10"/>
  <c r="D479" i="10"/>
  <c r="C479" i="10"/>
  <c r="B479" i="10"/>
  <c r="A479" i="10"/>
  <c r="D478" i="10"/>
  <c r="C478" i="10"/>
  <c r="B478" i="10"/>
  <c r="A478" i="10"/>
  <c r="D477" i="10"/>
  <c r="C477" i="10"/>
  <c r="B477" i="10"/>
  <c r="A477" i="10"/>
  <c r="D476" i="10"/>
  <c r="C476" i="10"/>
  <c r="B476" i="10"/>
  <c r="A476" i="10"/>
  <c r="D475" i="10"/>
  <c r="C475" i="10"/>
  <c r="B475" i="10"/>
  <c r="A475" i="10"/>
  <c r="D474" i="10"/>
  <c r="C474" i="10"/>
  <c r="B474" i="10"/>
  <c r="A474" i="10"/>
  <c r="D473" i="10"/>
  <c r="C473" i="10"/>
  <c r="B473" i="10"/>
  <c r="A473" i="10"/>
  <c r="D472" i="10"/>
  <c r="C472" i="10"/>
  <c r="B472" i="10"/>
  <c r="A472" i="10"/>
  <c r="D471" i="10"/>
  <c r="C471" i="10"/>
  <c r="B471" i="10"/>
  <c r="A471" i="10"/>
  <c r="D470" i="10"/>
  <c r="C470" i="10"/>
  <c r="B470" i="10"/>
  <c r="A470" i="10"/>
  <c r="D469" i="10"/>
  <c r="C469" i="10"/>
  <c r="B469" i="10"/>
  <c r="A469" i="10"/>
  <c r="D468" i="10"/>
  <c r="C468" i="10"/>
  <c r="B468" i="10"/>
  <c r="A468" i="10"/>
  <c r="D467" i="10"/>
  <c r="C467" i="10"/>
  <c r="B467" i="10"/>
  <c r="A467" i="10"/>
  <c r="D466" i="10"/>
  <c r="C466" i="10"/>
  <c r="B466" i="10"/>
  <c r="A466" i="10"/>
  <c r="D465" i="10"/>
  <c r="C465" i="10"/>
  <c r="B465" i="10"/>
  <c r="A465" i="10"/>
  <c r="D464" i="10"/>
  <c r="C464" i="10"/>
  <c r="B464" i="10"/>
  <c r="A464" i="10"/>
  <c r="D463" i="10"/>
  <c r="C463" i="10"/>
  <c r="B463" i="10"/>
  <c r="A463" i="10"/>
  <c r="D462" i="10"/>
  <c r="C462" i="10"/>
  <c r="B462" i="10"/>
  <c r="A462" i="10"/>
  <c r="D461" i="10"/>
  <c r="C461" i="10"/>
  <c r="B461" i="10"/>
  <c r="A461" i="10"/>
  <c r="D460" i="10"/>
  <c r="C460" i="10"/>
  <c r="B460" i="10"/>
  <c r="A460" i="10"/>
  <c r="D459" i="10"/>
  <c r="C459" i="10"/>
  <c r="B459" i="10"/>
  <c r="A459" i="10"/>
  <c r="D458" i="10"/>
  <c r="C458" i="10"/>
  <c r="B458" i="10"/>
  <c r="A458" i="10"/>
  <c r="D457" i="10"/>
  <c r="C457" i="10"/>
  <c r="B457" i="10"/>
  <c r="A457" i="10"/>
  <c r="D456" i="10"/>
  <c r="C456" i="10"/>
  <c r="B456" i="10"/>
  <c r="A456" i="10"/>
  <c r="D455" i="10"/>
  <c r="C455" i="10"/>
  <c r="B455" i="10"/>
  <c r="A455" i="10"/>
  <c r="D454" i="10"/>
  <c r="C454" i="10"/>
  <c r="B454" i="10"/>
  <c r="A454" i="10"/>
  <c r="D453" i="10"/>
  <c r="C453" i="10"/>
  <c r="B453" i="10"/>
  <c r="A453" i="10"/>
  <c r="D452" i="10"/>
  <c r="C452" i="10"/>
  <c r="B452" i="10"/>
  <c r="A452" i="10"/>
  <c r="D451" i="10"/>
  <c r="C451" i="10"/>
  <c r="B451" i="10"/>
  <c r="A451" i="10"/>
  <c r="D450" i="10"/>
  <c r="C450" i="10"/>
  <c r="B450" i="10"/>
  <c r="A450" i="10"/>
  <c r="D449" i="10"/>
  <c r="C449" i="10"/>
  <c r="B449" i="10"/>
  <c r="A449" i="10"/>
  <c r="D448" i="10"/>
  <c r="C448" i="10"/>
  <c r="B448" i="10"/>
  <c r="A448" i="10"/>
  <c r="D447" i="10"/>
  <c r="C447" i="10"/>
  <c r="B447" i="10"/>
  <c r="A447" i="10"/>
  <c r="D446" i="10"/>
  <c r="C446" i="10"/>
  <c r="B446" i="10"/>
  <c r="A446" i="10"/>
  <c r="D445" i="10"/>
  <c r="C445" i="10"/>
  <c r="B445" i="10"/>
  <c r="A445" i="10"/>
  <c r="D444" i="10"/>
  <c r="C444" i="10"/>
  <c r="B444" i="10"/>
  <c r="A444" i="10"/>
  <c r="D443" i="10"/>
  <c r="C443" i="10"/>
  <c r="B443" i="10"/>
  <c r="A443" i="10"/>
  <c r="D442" i="10"/>
  <c r="C442" i="10"/>
  <c r="B442" i="10"/>
  <c r="A442" i="10"/>
  <c r="D441" i="10"/>
  <c r="C441" i="10"/>
  <c r="B441" i="10"/>
  <c r="A441" i="10"/>
  <c r="D440" i="10"/>
  <c r="C440" i="10"/>
  <c r="B440" i="10"/>
  <c r="A440" i="10"/>
  <c r="D439" i="10"/>
  <c r="C439" i="10"/>
  <c r="B439" i="10"/>
  <c r="A439" i="10"/>
  <c r="D438" i="10"/>
  <c r="C438" i="10"/>
  <c r="B438" i="10"/>
  <c r="A438" i="10"/>
  <c r="D437" i="10"/>
  <c r="C437" i="10"/>
  <c r="B437" i="10"/>
  <c r="A437" i="10"/>
  <c r="D436" i="10"/>
  <c r="C436" i="10"/>
  <c r="B436" i="10"/>
  <c r="A436" i="10"/>
  <c r="D435" i="10"/>
  <c r="C435" i="10"/>
  <c r="B435" i="10"/>
  <c r="A435" i="10"/>
  <c r="D434" i="10"/>
  <c r="C434" i="10"/>
  <c r="B434" i="10"/>
  <c r="A434" i="10"/>
  <c r="D433" i="10"/>
  <c r="C433" i="10"/>
  <c r="B433" i="10"/>
  <c r="A433" i="10"/>
  <c r="D432" i="10"/>
  <c r="C432" i="10"/>
  <c r="B432" i="10"/>
  <c r="A432" i="10"/>
  <c r="D431" i="10"/>
  <c r="C431" i="10"/>
  <c r="B431" i="10"/>
  <c r="A431" i="10"/>
  <c r="D430" i="10"/>
  <c r="C430" i="10"/>
  <c r="B430" i="10"/>
  <c r="A430" i="10"/>
  <c r="D429" i="10"/>
  <c r="C429" i="10"/>
  <c r="B429" i="10"/>
  <c r="A429" i="10"/>
  <c r="D428" i="10"/>
  <c r="C428" i="10"/>
  <c r="B428" i="10"/>
  <c r="A428" i="10"/>
  <c r="D427" i="10"/>
  <c r="C427" i="10"/>
  <c r="B427" i="10"/>
  <c r="A427" i="10"/>
  <c r="D426" i="10"/>
  <c r="C426" i="10"/>
  <c r="B426" i="10"/>
  <c r="A426" i="10"/>
  <c r="D425" i="10"/>
  <c r="C425" i="10"/>
  <c r="B425" i="10"/>
  <c r="A425" i="10"/>
  <c r="D424" i="10"/>
  <c r="C424" i="10"/>
  <c r="B424" i="10"/>
  <c r="A424" i="10"/>
  <c r="D423" i="10"/>
  <c r="C423" i="10"/>
  <c r="B423" i="10"/>
  <c r="A423" i="10"/>
  <c r="D422" i="10"/>
  <c r="C422" i="10"/>
  <c r="B422" i="10"/>
  <c r="A422" i="10"/>
  <c r="D421" i="10"/>
  <c r="C421" i="10"/>
  <c r="B421" i="10"/>
  <c r="A421" i="10"/>
  <c r="D420" i="10"/>
  <c r="C420" i="10"/>
  <c r="B420" i="10"/>
  <c r="A420" i="10"/>
  <c r="D419" i="10"/>
  <c r="C419" i="10"/>
  <c r="B419" i="10"/>
  <c r="A419" i="10"/>
  <c r="D418" i="10"/>
  <c r="C418" i="10"/>
  <c r="B418" i="10"/>
  <c r="A418" i="10"/>
  <c r="D417" i="10"/>
  <c r="C417" i="10"/>
  <c r="B417" i="10"/>
  <c r="A417" i="10"/>
  <c r="D416" i="10"/>
  <c r="C416" i="10"/>
  <c r="B416" i="10"/>
  <c r="A416" i="10"/>
  <c r="D415" i="10"/>
  <c r="C415" i="10"/>
  <c r="B415" i="10"/>
  <c r="A415" i="10"/>
  <c r="D414" i="10"/>
  <c r="C414" i="10"/>
  <c r="B414" i="10"/>
  <c r="A414" i="10"/>
  <c r="D413" i="10"/>
  <c r="C413" i="10"/>
  <c r="B413" i="10"/>
  <c r="A413" i="10"/>
  <c r="D412" i="10"/>
  <c r="C412" i="10"/>
  <c r="B412" i="10"/>
  <c r="A412" i="10"/>
  <c r="D411" i="10"/>
  <c r="C411" i="10"/>
  <c r="B411" i="10"/>
  <c r="A411" i="10"/>
  <c r="D410" i="10"/>
  <c r="C410" i="10"/>
  <c r="B410" i="10"/>
  <c r="A410" i="10"/>
  <c r="D409" i="10"/>
  <c r="C409" i="10"/>
  <c r="B409" i="10"/>
  <c r="A409" i="10"/>
  <c r="D408" i="10"/>
  <c r="C408" i="10"/>
  <c r="B408" i="10"/>
  <c r="A408" i="10"/>
  <c r="D407" i="10"/>
  <c r="C407" i="10"/>
  <c r="B407" i="10"/>
  <c r="A407" i="10"/>
  <c r="D406" i="10"/>
  <c r="C406" i="10"/>
  <c r="B406" i="10"/>
  <c r="A406" i="10"/>
  <c r="D405" i="10"/>
  <c r="C405" i="10"/>
  <c r="B405" i="10"/>
  <c r="A405" i="10"/>
  <c r="D404" i="10"/>
  <c r="C404" i="10"/>
  <c r="B404" i="10"/>
  <c r="A404" i="10"/>
  <c r="D403" i="10"/>
  <c r="C403" i="10"/>
  <c r="B403" i="10"/>
  <c r="A403" i="10"/>
  <c r="D402" i="10"/>
  <c r="C402" i="10"/>
  <c r="B402" i="10"/>
  <c r="A402" i="10"/>
  <c r="D401" i="10"/>
  <c r="C401" i="10"/>
  <c r="B401" i="10"/>
  <c r="A401" i="10"/>
  <c r="D400" i="10"/>
  <c r="C400" i="10"/>
  <c r="B400" i="10"/>
  <c r="A400" i="10"/>
  <c r="D399" i="10"/>
  <c r="C399" i="10"/>
  <c r="B399" i="10"/>
  <c r="A399" i="10"/>
  <c r="D398" i="10"/>
  <c r="C398" i="10"/>
  <c r="B398" i="10"/>
  <c r="A398" i="10"/>
  <c r="D397" i="10"/>
  <c r="C397" i="10"/>
  <c r="B397" i="10"/>
  <c r="A397" i="10"/>
  <c r="D396" i="10"/>
  <c r="C396" i="10"/>
  <c r="B396" i="10"/>
  <c r="A396" i="10"/>
  <c r="D395" i="10"/>
  <c r="C395" i="10"/>
  <c r="B395" i="10"/>
  <c r="A395" i="10"/>
  <c r="D394" i="10"/>
  <c r="C394" i="10"/>
  <c r="B394" i="10"/>
  <c r="A394" i="10"/>
  <c r="D393" i="10"/>
  <c r="C393" i="10"/>
  <c r="B393" i="10"/>
  <c r="A393" i="10"/>
  <c r="D392" i="10"/>
  <c r="C392" i="10"/>
  <c r="B392" i="10"/>
  <c r="A392" i="10"/>
  <c r="D391" i="10"/>
  <c r="C391" i="10"/>
  <c r="B391" i="10"/>
  <c r="A391" i="10"/>
  <c r="D390" i="10"/>
  <c r="C390" i="10"/>
  <c r="B390" i="10"/>
  <c r="A390" i="10"/>
  <c r="D389" i="10"/>
  <c r="C389" i="10"/>
  <c r="B389" i="10"/>
  <c r="A389" i="10"/>
  <c r="D388" i="10"/>
  <c r="C388" i="10"/>
  <c r="B388" i="10"/>
  <c r="A388" i="10"/>
  <c r="D387" i="10"/>
  <c r="C387" i="10"/>
  <c r="B387" i="10"/>
  <c r="A387" i="10"/>
  <c r="D386" i="10"/>
  <c r="C386" i="10"/>
  <c r="B386" i="10"/>
  <c r="A386" i="10"/>
  <c r="D385" i="10"/>
  <c r="C385" i="10"/>
  <c r="B385" i="10"/>
  <c r="A385" i="10"/>
  <c r="D384" i="10"/>
  <c r="C384" i="10"/>
  <c r="B384" i="10"/>
  <c r="A384" i="10"/>
  <c r="D383" i="10"/>
  <c r="C383" i="10"/>
  <c r="B383" i="10"/>
  <c r="A383" i="10"/>
  <c r="D382" i="10"/>
  <c r="C382" i="10"/>
  <c r="B382" i="10"/>
  <c r="A382" i="10"/>
  <c r="D381" i="10"/>
  <c r="C381" i="10"/>
  <c r="B381" i="10"/>
  <c r="A381" i="10"/>
  <c r="D380" i="10"/>
  <c r="C380" i="10"/>
  <c r="B380" i="10"/>
  <c r="A380" i="10"/>
  <c r="D379" i="10"/>
  <c r="C379" i="10"/>
  <c r="B379" i="10"/>
  <c r="A379" i="10"/>
  <c r="D378" i="10"/>
  <c r="C378" i="10"/>
  <c r="B378" i="10"/>
  <c r="A378" i="10"/>
  <c r="D377" i="10"/>
  <c r="C377" i="10"/>
  <c r="B377" i="10"/>
  <c r="A377" i="10"/>
  <c r="D376" i="10"/>
  <c r="C376" i="10"/>
  <c r="B376" i="10"/>
  <c r="A376" i="10"/>
  <c r="D375" i="10"/>
  <c r="C375" i="10"/>
  <c r="B375" i="10"/>
  <c r="A375" i="10"/>
  <c r="D374" i="10"/>
  <c r="C374" i="10"/>
  <c r="B374" i="10"/>
  <c r="A374" i="10"/>
  <c r="D373" i="10"/>
  <c r="C373" i="10"/>
  <c r="B373" i="10"/>
  <c r="A373" i="10"/>
  <c r="D372" i="10"/>
  <c r="C372" i="10"/>
  <c r="B372" i="10"/>
  <c r="A372" i="10"/>
  <c r="D371" i="10"/>
  <c r="C371" i="10"/>
  <c r="B371" i="10"/>
  <c r="A371" i="10"/>
  <c r="D370" i="10"/>
  <c r="C370" i="10"/>
  <c r="B370" i="10"/>
  <c r="A370" i="10"/>
  <c r="D369" i="10"/>
  <c r="C369" i="10"/>
  <c r="B369" i="10"/>
  <c r="A369" i="10"/>
  <c r="D368" i="10"/>
  <c r="C368" i="10"/>
  <c r="B368" i="10"/>
  <c r="A368" i="10"/>
  <c r="D367" i="10"/>
  <c r="C367" i="10"/>
  <c r="B367" i="10"/>
  <c r="A367" i="10"/>
  <c r="D366" i="10"/>
  <c r="C366" i="10"/>
  <c r="B366" i="10"/>
  <c r="A366" i="10"/>
  <c r="D365" i="10"/>
  <c r="C365" i="10"/>
  <c r="B365" i="10"/>
  <c r="A365" i="10"/>
  <c r="D364" i="10"/>
  <c r="C364" i="10"/>
  <c r="B364" i="10"/>
  <c r="A364" i="10"/>
  <c r="D363" i="10"/>
  <c r="C363" i="10"/>
  <c r="B363" i="10"/>
  <c r="A363" i="10"/>
  <c r="D362" i="10"/>
  <c r="C362" i="10"/>
  <c r="B362" i="10"/>
  <c r="A362" i="10"/>
  <c r="D361" i="10"/>
  <c r="C361" i="10"/>
  <c r="B361" i="10"/>
  <c r="A361" i="10"/>
  <c r="D360" i="10"/>
  <c r="C360" i="10"/>
  <c r="B360" i="10"/>
  <c r="A360" i="10"/>
  <c r="D359" i="10"/>
  <c r="C359" i="10"/>
  <c r="B359" i="10"/>
  <c r="A359" i="10"/>
  <c r="D358" i="10"/>
  <c r="C358" i="10"/>
  <c r="B358" i="10"/>
  <c r="A358" i="10"/>
  <c r="D357" i="10"/>
  <c r="C357" i="10"/>
  <c r="B357" i="10"/>
  <c r="A357" i="10"/>
  <c r="D356" i="10"/>
  <c r="C356" i="10"/>
  <c r="B356" i="10"/>
  <c r="A356" i="10"/>
  <c r="D355" i="10"/>
  <c r="C355" i="10"/>
  <c r="B355" i="10"/>
  <c r="A355" i="10"/>
  <c r="D354" i="10"/>
  <c r="C354" i="10"/>
  <c r="B354" i="10"/>
  <c r="A354" i="10"/>
  <c r="D353" i="10"/>
  <c r="C353" i="10"/>
  <c r="B353" i="10"/>
  <c r="A353" i="10"/>
  <c r="D352" i="10"/>
  <c r="C352" i="10"/>
  <c r="B352" i="10"/>
  <c r="A352" i="10"/>
  <c r="D351" i="10"/>
  <c r="C351" i="10"/>
  <c r="B351" i="10"/>
  <c r="A351" i="10"/>
  <c r="D350" i="10"/>
  <c r="C350" i="10"/>
  <c r="B350" i="10"/>
  <c r="A350" i="10"/>
  <c r="D349" i="10"/>
  <c r="C349" i="10"/>
  <c r="B349" i="10"/>
  <c r="A349" i="10"/>
  <c r="D348" i="10"/>
  <c r="C348" i="10"/>
  <c r="B348" i="10"/>
  <c r="A348" i="10"/>
  <c r="D347" i="10"/>
  <c r="C347" i="10"/>
  <c r="B347" i="10"/>
  <c r="A347" i="10"/>
  <c r="D346" i="10"/>
  <c r="C346" i="10"/>
  <c r="B346" i="10"/>
  <c r="A346" i="10"/>
  <c r="D345" i="10"/>
  <c r="C345" i="10"/>
  <c r="B345" i="10"/>
  <c r="A345" i="10"/>
  <c r="D344" i="10"/>
  <c r="C344" i="10"/>
  <c r="B344" i="10"/>
  <c r="A344" i="10"/>
  <c r="D343" i="10"/>
  <c r="C343" i="10"/>
  <c r="B343" i="10"/>
  <c r="A343" i="10"/>
  <c r="D342" i="10"/>
  <c r="C342" i="10"/>
  <c r="B342" i="10"/>
  <c r="A342" i="10"/>
  <c r="D341" i="10"/>
  <c r="C341" i="10"/>
  <c r="B341" i="10"/>
  <c r="A341" i="10"/>
  <c r="D340" i="10"/>
  <c r="C340" i="10"/>
  <c r="B340" i="10"/>
  <c r="A340" i="10"/>
  <c r="D339" i="10"/>
  <c r="C339" i="10"/>
  <c r="B339" i="10"/>
  <c r="A339" i="10"/>
  <c r="D338" i="10"/>
  <c r="C338" i="10"/>
  <c r="B338" i="10"/>
  <c r="A338" i="10"/>
  <c r="D337" i="10"/>
  <c r="C337" i="10"/>
  <c r="B337" i="10"/>
  <c r="A337" i="10"/>
  <c r="D336" i="10"/>
  <c r="C336" i="10"/>
  <c r="B336" i="10"/>
  <c r="A336" i="10"/>
  <c r="D335" i="10"/>
  <c r="C335" i="10"/>
  <c r="B335" i="10"/>
  <c r="A335" i="10"/>
  <c r="D334" i="10"/>
  <c r="C334" i="10"/>
  <c r="B334" i="10"/>
  <c r="A334" i="10"/>
  <c r="D333" i="10"/>
  <c r="C333" i="10"/>
  <c r="B333" i="10"/>
  <c r="A333" i="10"/>
  <c r="D332" i="10"/>
  <c r="C332" i="10"/>
  <c r="B332" i="10"/>
  <c r="A332" i="10"/>
  <c r="D331" i="10"/>
  <c r="C331" i="10"/>
  <c r="B331" i="10"/>
  <c r="A331" i="10"/>
  <c r="D330" i="10"/>
  <c r="C330" i="10"/>
  <c r="B330" i="10"/>
  <c r="A330" i="10"/>
  <c r="D329" i="10"/>
  <c r="C329" i="10"/>
  <c r="B329" i="10"/>
  <c r="A329" i="10"/>
  <c r="D328" i="10"/>
  <c r="C328" i="10"/>
  <c r="B328" i="10"/>
  <c r="A328" i="10"/>
  <c r="D327" i="10"/>
  <c r="C327" i="10"/>
  <c r="B327" i="10"/>
  <c r="A327" i="10"/>
  <c r="D326" i="10"/>
  <c r="C326" i="10"/>
  <c r="B326" i="10"/>
  <c r="A326" i="10"/>
  <c r="D325" i="10"/>
  <c r="C325" i="10"/>
  <c r="B325" i="10"/>
  <c r="A325" i="10"/>
  <c r="D324" i="10"/>
  <c r="C324" i="10"/>
  <c r="B324" i="10"/>
  <c r="A324" i="10"/>
  <c r="D323" i="10"/>
  <c r="C323" i="10"/>
  <c r="B323" i="10"/>
  <c r="A323" i="10"/>
  <c r="D322" i="10"/>
  <c r="C322" i="10"/>
  <c r="B322" i="10"/>
  <c r="A322" i="10"/>
  <c r="D321" i="10"/>
  <c r="C321" i="10"/>
  <c r="B321" i="10"/>
  <c r="A321" i="10"/>
  <c r="D320" i="10"/>
  <c r="C320" i="10"/>
  <c r="B320" i="10"/>
  <c r="A320" i="10"/>
  <c r="D319" i="10"/>
  <c r="C319" i="10"/>
  <c r="B319" i="10"/>
  <c r="A319" i="10"/>
  <c r="D318" i="10"/>
  <c r="C318" i="10"/>
  <c r="B318" i="10"/>
  <c r="A318" i="10"/>
  <c r="D317" i="10"/>
  <c r="C317" i="10"/>
  <c r="B317" i="10"/>
  <c r="A317" i="10"/>
  <c r="D316" i="10"/>
  <c r="C316" i="10"/>
  <c r="B316" i="10"/>
  <c r="A316" i="10"/>
  <c r="D315" i="10"/>
  <c r="C315" i="10"/>
  <c r="B315" i="10"/>
  <c r="A315" i="10"/>
  <c r="D314" i="10"/>
  <c r="C314" i="10"/>
  <c r="B314" i="10"/>
  <c r="A314" i="10"/>
  <c r="D313" i="10"/>
  <c r="C313" i="10"/>
  <c r="B313" i="10"/>
  <c r="A313" i="10"/>
  <c r="D312" i="10"/>
  <c r="C312" i="10"/>
  <c r="B312" i="10"/>
  <c r="A312" i="10"/>
  <c r="D311" i="10"/>
  <c r="C311" i="10"/>
  <c r="B311" i="10"/>
  <c r="A311" i="10"/>
  <c r="D310" i="10"/>
  <c r="C310" i="10"/>
  <c r="B310" i="10"/>
  <c r="A310" i="10"/>
  <c r="D309" i="10"/>
  <c r="C309" i="10"/>
  <c r="B309" i="10"/>
  <c r="A309" i="10"/>
  <c r="D308" i="10"/>
  <c r="C308" i="10"/>
  <c r="B308" i="10"/>
  <c r="A308" i="10"/>
  <c r="D307" i="10"/>
  <c r="C307" i="10"/>
  <c r="B307" i="10"/>
  <c r="A307" i="10"/>
  <c r="D306" i="10"/>
  <c r="C306" i="10"/>
  <c r="B306" i="10"/>
  <c r="A306" i="10"/>
  <c r="D305" i="10"/>
  <c r="C305" i="10"/>
  <c r="B305" i="10"/>
  <c r="A305" i="10"/>
  <c r="D304" i="10"/>
  <c r="C304" i="10"/>
  <c r="B304" i="10"/>
  <c r="A304" i="10"/>
  <c r="D303" i="10"/>
  <c r="C303" i="10"/>
  <c r="B303" i="10"/>
  <c r="A303" i="10"/>
  <c r="D302" i="10"/>
  <c r="C302" i="10"/>
  <c r="B302" i="10"/>
  <c r="A302" i="10"/>
  <c r="D301" i="10"/>
  <c r="C301" i="10"/>
  <c r="B301" i="10"/>
  <c r="A301" i="10"/>
  <c r="D300" i="10"/>
  <c r="C300" i="10"/>
  <c r="B300" i="10"/>
  <c r="A300" i="10"/>
  <c r="D299" i="10"/>
  <c r="C299" i="10"/>
  <c r="B299" i="10"/>
  <c r="A299" i="10"/>
  <c r="D298" i="10"/>
  <c r="C298" i="10"/>
  <c r="B298" i="10"/>
  <c r="A298" i="10"/>
  <c r="D297" i="10"/>
  <c r="C297" i="10"/>
  <c r="B297" i="10"/>
  <c r="A297" i="10"/>
  <c r="D296" i="10"/>
  <c r="C296" i="10"/>
  <c r="B296" i="10"/>
  <c r="A296" i="10"/>
  <c r="D295" i="10"/>
  <c r="C295" i="10"/>
  <c r="B295" i="10"/>
  <c r="A295" i="10"/>
  <c r="D294" i="10"/>
  <c r="C294" i="10"/>
  <c r="B294" i="10"/>
  <c r="A294" i="10"/>
  <c r="D293" i="10"/>
  <c r="C293" i="10"/>
  <c r="B293" i="10"/>
  <c r="A293" i="10"/>
  <c r="D292" i="10"/>
  <c r="C292" i="10"/>
  <c r="B292" i="10"/>
  <c r="A292" i="10"/>
  <c r="D291" i="10"/>
  <c r="C291" i="10"/>
  <c r="B291" i="10"/>
  <c r="A291" i="10"/>
  <c r="D290" i="10"/>
  <c r="C290" i="10"/>
  <c r="B290" i="10"/>
  <c r="A290" i="10"/>
  <c r="D289" i="10"/>
  <c r="C289" i="10"/>
  <c r="B289" i="10"/>
  <c r="A289" i="10"/>
  <c r="D288" i="10"/>
  <c r="C288" i="10"/>
  <c r="B288" i="10"/>
  <c r="A288" i="10"/>
  <c r="D287" i="10"/>
  <c r="C287" i="10"/>
  <c r="B287" i="10"/>
  <c r="A287" i="10"/>
  <c r="D286" i="10"/>
  <c r="C286" i="10"/>
  <c r="B286" i="10"/>
  <c r="A286" i="10"/>
  <c r="D285" i="10"/>
  <c r="C285" i="10"/>
  <c r="B285" i="10"/>
  <c r="A285" i="10"/>
  <c r="D284" i="10"/>
  <c r="C284" i="10"/>
  <c r="B284" i="10"/>
  <c r="A284" i="10"/>
  <c r="D283" i="10"/>
  <c r="C283" i="10"/>
  <c r="B283" i="10"/>
  <c r="A283" i="10"/>
  <c r="D282" i="10"/>
  <c r="C282" i="10"/>
  <c r="B282" i="10"/>
  <c r="A282" i="10"/>
  <c r="D281" i="10"/>
  <c r="C281" i="10"/>
  <c r="B281" i="10"/>
  <c r="A281" i="10"/>
  <c r="D280" i="10"/>
  <c r="C280" i="10"/>
  <c r="B280" i="10"/>
  <c r="A280" i="10"/>
  <c r="D279" i="10"/>
  <c r="C279" i="10"/>
  <c r="B279" i="10"/>
  <c r="A279" i="10"/>
  <c r="D278" i="10"/>
  <c r="C278" i="10"/>
  <c r="B278" i="10"/>
  <c r="A278" i="10"/>
  <c r="D277" i="10"/>
  <c r="C277" i="10"/>
  <c r="B277" i="10"/>
  <c r="A277" i="10"/>
  <c r="D276" i="10"/>
  <c r="C276" i="10"/>
  <c r="B276" i="10"/>
  <c r="A276" i="10"/>
  <c r="D275" i="10"/>
  <c r="C275" i="10"/>
  <c r="B275" i="10"/>
  <c r="A275" i="10"/>
  <c r="D274" i="10"/>
  <c r="C274" i="10"/>
  <c r="B274" i="10"/>
  <c r="A274" i="10"/>
  <c r="D273" i="10"/>
  <c r="C273" i="10"/>
  <c r="B273" i="10"/>
  <c r="A273" i="10"/>
  <c r="D272" i="10"/>
  <c r="C272" i="10"/>
  <c r="B272" i="10"/>
  <c r="A272" i="10"/>
  <c r="D271" i="10"/>
  <c r="C271" i="10"/>
  <c r="B271" i="10"/>
  <c r="A271" i="10"/>
  <c r="D270" i="10"/>
  <c r="C270" i="10"/>
  <c r="B270" i="10"/>
  <c r="A270" i="10"/>
  <c r="D269" i="10"/>
  <c r="C269" i="10"/>
  <c r="B269" i="10"/>
  <c r="A269" i="10"/>
  <c r="D268" i="10"/>
  <c r="C268" i="10"/>
  <c r="B268" i="10"/>
  <c r="A268" i="10"/>
  <c r="D267" i="10"/>
  <c r="C267" i="10"/>
  <c r="B267" i="10"/>
  <c r="A267" i="10"/>
  <c r="D266" i="10"/>
  <c r="C266" i="10"/>
  <c r="B266" i="10"/>
  <c r="A266" i="10"/>
  <c r="D265" i="10"/>
  <c r="C265" i="10"/>
  <c r="B265" i="10"/>
  <c r="A265" i="10"/>
  <c r="D264" i="10"/>
  <c r="C264" i="10"/>
  <c r="B264" i="10"/>
  <c r="A264" i="10"/>
  <c r="D263" i="10"/>
  <c r="C263" i="10"/>
  <c r="B263" i="10"/>
  <c r="A263" i="10"/>
  <c r="D262" i="10"/>
  <c r="C262" i="10"/>
  <c r="B262" i="10"/>
  <c r="A262" i="10"/>
  <c r="D261" i="10"/>
  <c r="C261" i="10"/>
  <c r="B261" i="10"/>
  <c r="A261" i="10"/>
  <c r="D260" i="10"/>
  <c r="C260" i="10"/>
  <c r="B260" i="10"/>
  <c r="A260" i="10"/>
  <c r="D259" i="10"/>
  <c r="C259" i="10"/>
  <c r="B259" i="10"/>
  <c r="A259" i="10"/>
  <c r="D258" i="10"/>
  <c r="C258" i="10"/>
  <c r="B258" i="10"/>
  <c r="A258" i="10"/>
  <c r="D257" i="10"/>
  <c r="C257" i="10"/>
  <c r="B257" i="10"/>
  <c r="A257" i="10"/>
  <c r="D256" i="10"/>
  <c r="C256" i="10"/>
  <c r="B256" i="10"/>
  <c r="A256" i="10"/>
  <c r="D255" i="10"/>
  <c r="C255" i="10"/>
  <c r="B255" i="10"/>
  <c r="A255" i="10"/>
  <c r="D254" i="10"/>
  <c r="C254" i="10"/>
  <c r="B254" i="10"/>
  <c r="A254" i="10"/>
  <c r="D253" i="10"/>
  <c r="C253" i="10"/>
  <c r="B253" i="10"/>
  <c r="A253" i="10"/>
  <c r="D252" i="10"/>
  <c r="C252" i="10"/>
  <c r="B252" i="10"/>
  <c r="A252" i="10"/>
  <c r="D251" i="10"/>
  <c r="C251" i="10"/>
  <c r="B251" i="10"/>
  <c r="A251" i="10"/>
  <c r="D250" i="10"/>
  <c r="C250" i="10"/>
  <c r="B250" i="10"/>
  <c r="A250" i="10"/>
  <c r="D249" i="10"/>
  <c r="C249" i="10"/>
  <c r="B249" i="10"/>
  <c r="A249" i="10"/>
  <c r="D248" i="10"/>
  <c r="C248" i="10"/>
  <c r="B248" i="10"/>
  <c r="A248" i="10"/>
  <c r="D247" i="10"/>
  <c r="C247" i="10"/>
  <c r="B247" i="10"/>
  <c r="A247" i="10"/>
  <c r="D246" i="10"/>
  <c r="C246" i="10"/>
  <c r="B246" i="10"/>
  <c r="A246" i="10"/>
  <c r="D245" i="10"/>
  <c r="C245" i="10"/>
  <c r="B245" i="10"/>
  <c r="A245" i="10"/>
  <c r="D244" i="10"/>
  <c r="C244" i="10"/>
  <c r="B244" i="10"/>
  <c r="A244" i="10"/>
  <c r="D243" i="10"/>
  <c r="C243" i="10"/>
  <c r="B243" i="10"/>
  <c r="A243" i="10"/>
  <c r="D242" i="10"/>
  <c r="C242" i="10"/>
  <c r="B242" i="10"/>
  <c r="A242" i="10"/>
  <c r="D241" i="10"/>
  <c r="C241" i="10"/>
  <c r="B241" i="10"/>
  <c r="A241" i="10"/>
  <c r="D240" i="10"/>
  <c r="C240" i="10"/>
  <c r="B240" i="10"/>
  <c r="A240" i="10"/>
  <c r="D239" i="10"/>
  <c r="C239" i="10"/>
  <c r="B239" i="10"/>
  <c r="A239" i="10"/>
  <c r="D238" i="10"/>
  <c r="C238" i="10"/>
  <c r="B238" i="10"/>
  <c r="A238" i="10"/>
  <c r="D237" i="10"/>
  <c r="C237" i="10"/>
  <c r="B237" i="10"/>
  <c r="A237" i="10"/>
  <c r="D236" i="10"/>
  <c r="C236" i="10"/>
  <c r="B236" i="10"/>
  <c r="A236" i="10"/>
  <c r="D235" i="10"/>
  <c r="C235" i="10"/>
  <c r="B235" i="10"/>
  <c r="A235" i="10"/>
  <c r="D234" i="10"/>
  <c r="C234" i="10"/>
  <c r="B234" i="10"/>
  <c r="A234" i="10"/>
  <c r="D233" i="10"/>
  <c r="C233" i="10"/>
  <c r="B233" i="10"/>
  <c r="A233" i="10"/>
  <c r="D232" i="10"/>
  <c r="C232" i="10"/>
  <c r="B232" i="10"/>
  <c r="A232" i="10"/>
  <c r="D231" i="10"/>
  <c r="C231" i="10"/>
  <c r="B231" i="10"/>
  <c r="A231" i="10"/>
  <c r="D230" i="10"/>
  <c r="C230" i="10"/>
  <c r="B230" i="10"/>
  <c r="A230" i="10"/>
  <c r="D229" i="10"/>
  <c r="C229" i="10"/>
  <c r="B229" i="10"/>
  <c r="A229" i="10"/>
  <c r="D228" i="10"/>
  <c r="C228" i="10"/>
  <c r="B228" i="10"/>
  <c r="A228" i="10"/>
  <c r="D227" i="10"/>
  <c r="C227" i="10"/>
  <c r="B227" i="10"/>
  <c r="A227" i="10"/>
  <c r="D226" i="10"/>
  <c r="C226" i="10"/>
  <c r="B226" i="10"/>
  <c r="A226" i="10"/>
  <c r="D225" i="10"/>
  <c r="C225" i="10"/>
  <c r="B225" i="10"/>
  <c r="A225" i="10"/>
  <c r="D224" i="10"/>
  <c r="C224" i="10"/>
  <c r="B224" i="10"/>
  <c r="A224" i="10"/>
  <c r="D223" i="10"/>
  <c r="C223" i="10"/>
  <c r="B223" i="10"/>
  <c r="A223" i="10"/>
  <c r="D222" i="10"/>
  <c r="C222" i="10"/>
  <c r="B222" i="10"/>
  <c r="A222" i="10"/>
  <c r="D221" i="10"/>
  <c r="C221" i="10"/>
  <c r="B221" i="10"/>
  <c r="A221" i="10"/>
  <c r="D220" i="10"/>
  <c r="C220" i="10"/>
  <c r="B220" i="10"/>
  <c r="A220" i="10"/>
  <c r="D219" i="10"/>
  <c r="C219" i="10"/>
  <c r="B219" i="10"/>
  <c r="A219" i="10"/>
  <c r="D218" i="10"/>
  <c r="C218" i="10"/>
  <c r="B218" i="10"/>
  <c r="A218" i="10"/>
  <c r="D217" i="10"/>
  <c r="C217" i="10"/>
  <c r="B217" i="10"/>
  <c r="A217" i="10"/>
  <c r="D216" i="10"/>
  <c r="C216" i="10"/>
  <c r="B216" i="10"/>
  <c r="A216" i="10"/>
  <c r="D215" i="10"/>
  <c r="C215" i="10"/>
  <c r="B215" i="10"/>
  <c r="A215" i="10"/>
  <c r="D214" i="10"/>
  <c r="C214" i="10"/>
  <c r="B214" i="10"/>
  <c r="A214" i="10"/>
  <c r="D213" i="10"/>
  <c r="C213" i="10"/>
  <c r="B213" i="10"/>
  <c r="A213" i="10"/>
  <c r="D212" i="10"/>
  <c r="C212" i="10"/>
  <c r="B212" i="10"/>
  <c r="A212" i="10"/>
  <c r="D211" i="10"/>
  <c r="C211" i="10"/>
  <c r="B211" i="10"/>
  <c r="A211" i="10"/>
  <c r="D210" i="10"/>
  <c r="C210" i="10"/>
  <c r="B210" i="10"/>
  <c r="A210" i="10"/>
  <c r="D209" i="10"/>
  <c r="C209" i="10"/>
  <c r="B209" i="10"/>
  <c r="A209" i="10"/>
  <c r="D208" i="10"/>
  <c r="C208" i="10"/>
  <c r="B208" i="10"/>
  <c r="A208" i="10"/>
  <c r="D207" i="10"/>
  <c r="C207" i="10"/>
  <c r="B207" i="10"/>
  <c r="A207" i="10"/>
  <c r="D206" i="10"/>
  <c r="C206" i="10"/>
  <c r="B206" i="10"/>
  <c r="A206" i="10"/>
  <c r="D205" i="10"/>
  <c r="C205" i="10"/>
  <c r="B205" i="10"/>
  <c r="A205" i="10"/>
  <c r="D204" i="10"/>
  <c r="C204" i="10"/>
  <c r="B204" i="10"/>
  <c r="A204" i="10"/>
  <c r="D203" i="10"/>
  <c r="C203" i="10"/>
  <c r="B203" i="10"/>
  <c r="A203" i="10"/>
  <c r="D202" i="10"/>
  <c r="C202" i="10"/>
  <c r="B202" i="10"/>
  <c r="A202" i="10"/>
  <c r="D201" i="10"/>
  <c r="C201" i="10"/>
  <c r="B201" i="10"/>
  <c r="A201" i="10"/>
  <c r="D200" i="10"/>
  <c r="C200" i="10"/>
  <c r="B200" i="10"/>
  <c r="A200" i="10"/>
  <c r="D199" i="10"/>
  <c r="C199" i="10"/>
  <c r="B199" i="10"/>
  <c r="A199" i="10"/>
  <c r="D198" i="10"/>
  <c r="C198" i="10"/>
  <c r="B198" i="10"/>
  <c r="A198" i="10"/>
  <c r="D197" i="10"/>
  <c r="C197" i="10"/>
  <c r="B197" i="10"/>
  <c r="A197" i="10"/>
  <c r="D196" i="10"/>
  <c r="C196" i="10"/>
  <c r="B196" i="10"/>
  <c r="A196" i="10"/>
  <c r="D195" i="10"/>
  <c r="C195" i="10"/>
  <c r="B195" i="10"/>
  <c r="A195" i="10"/>
  <c r="D194" i="10"/>
  <c r="C194" i="10"/>
  <c r="B194" i="10"/>
  <c r="A194" i="10"/>
  <c r="D193" i="10"/>
  <c r="C193" i="10"/>
  <c r="B193" i="10"/>
  <c r="A193" i="10"/>
  <c r="D192" i="10"/>
  <c r="C192" i="10"/>
  <c r="B192" i="10"/>
  <c r="A192" i="10"/>
  <c r="D191" i="10"/>
  <c r="C191" i="10"/>
  <c r="B191" i="10"/>
  <c r="A191" i="10"/>
  <c r="D190" i="10"/>
  <c r="C190" i="10"/>
  <c r="B190" i="10"/>
  <c r="A190" i="10"/>
  <c r="D189" i="10"/>
  <c r="C189" i="10"/>
  <c r="B189" i="10"/>
  <c r="A189" i="10"/>
  <c r="D188" i="10"/>
  <c r="C188" i="10"/>
  <c r="B188" i="10"/>
  <c r="A188" i="10"/>
  <c r="D187" i="10"/>
  <c r="C187" i="10"/>
  <c r="B187" i="10"/>
  <c r="A187" i="10"/>
  <c r="D186" i="10"/>
  <c r="C186" i="10"/>
  <c r="B186" i="10"/>
  <c r="A186" i="10"/>
  <c r="D185" i="10"/>
  <c r="C185" i="10"/>
  <c r="B185" i="10"/>
  <c r="A185" i="10"/>
  <c r="D184" i="10"/>
  <c r="C184" i="10"/>
  <c r="B184" i="10"/>
  <c r="A184" i="10"/>
  <c r="D183" i="10"/>
  <c r="C183" i="10"/>
  <c r="B183" i="10"/>
  <c r="A183" i="10"/>
  <c r="D182" i="10"/>
  <c r="C182" i="10"/>
  <c r="B182" i="10"/>
  <c r="A182" i="10"/>
  <c r="D181" i="10"/>
  <c r="C181" i="10"/>
  <c r="B181" i="10"/>
  <c r="A181" i="10"/>
  <c r="D180" i="10"/>
  <c r="C180" i="10"/>
  <c r="B180" i="10"/>
  <c r="A180" i="10"/>
  <c r="D179" i="10"/>
  <c r="C179" i="10"/>
  <c r="B179" i="10"/>
  <c r="A179" i="10"/>
  <c r="D178" i="10"/>
  <c r="C178" i="10"/>
  <c r="B178" i="10"/>
  <c r="A178" i="10"/>
  <c r="D177" i="10"/>
  <c r="C177" i="10"/>
  <c r="B177" i="10"/>
  <c r="A177" i="10"/>
  <c r="D176" i="10"/>
  <c r="C176" i="10"/>
  <c r="B176" i="10"/>
  <c r="A176" i="10"/>
  <c r="D175" i="10"/>
  <c r="C175" i="10"/>
  <c r="B175" i="10"/>
  <c r="A175" i="10"/>
  <c r="D174" i="10"/>
  <c r="C174" i="10"/>
  <c r="B174" i="10"/>
  <c r="A174" i="10"/>
  <c r="D173" i="10"/>
  <c r="C173" i="10"/>
  <c r="B173" i="10"/>
  <c r="A173" i="10"/>
  <c r="D172" i="10"/>
  <c r="C172" i="10"/>
  <c r="B172" i="10"/>
  <c r="A172" i="10"/>
  <c r="D171" i="10"/>
  <c r="C171" i="10"/>
  <c r="B171" i="10"/>
  <c r="A171" i="10"/>
  <c r="D170" i="10"/>
  <c r="C170" i="10"/>
  <c r="B170" i="10"/>
  <c r="A170" i="10"/>
  <c r="D169" i="10"/>
  <c r="C169" i="10"/>
  <c r="B169" i="10"/>
  <c r="A169" i="10"/>
  <c r="D168" i="10"/>
  <c r="C168" i="10"/>
  <c r="B168" i="10"/>
  <c r="A168" i="10"/>
  <c r="D167" i="10"/>
  <c r="C167" i="10"/>
  <c r="B167" i="10"/>
  <c r="A167" i="10"/>
  <c r="D166" i="10"/>
  <c r="C166" i="10"/>
  <c r="B166" i="10"/>
  <c r="A166" i="10"/>
  <c r="D165" i="10"/>
  <c r="C165" i="10"/>
  <c r="B165" i="10"/>
  <c r="A165" i="10"/>
  <c r="D164" i="10"/>
  <c r="C164" i="10"/>
  <c r="B164" i="10"/>
  <c r="A164" i="10"/>
  <c r="D163" i="10"/>
  <c r="C163" i="10"/>
  <c r="B163" i="10"/>
  <c r="A163" i="10"/>
  <c r="D162" i="10"/>
  <c r="C162" i="10"/>
  <c r="B162" i="10"/>
  <c r="A162" i="10"/>
  <c r="D161" i="10"/>
  <c r="C161" i="10"/>
  <c r="B161" i="10"/>
  <c r="A161" i="10"/>
  <c r="D160" i="10"/>
  <c r="C160" i="10"/>
  <c r="B160" i="10"/>
  <c r="A160" i="10"/>
  <c r="D159" i="10"/>
  <c r="C159" i="10"/>
  <c r="B159" i="10"/>
  <c r="A159" i="10"/>
  <c r="D158" i="10"/>
  <c r="C158" i="10"/>
  <c r="B158" i="10"/>
  <c r="A158" i="10"/>
  <c r="D157" i="10"/>
  <c r="C157" i="10"/>
  <c r="B157" i="10"/>
  <c r="A157" i="10"/>
  <c r="D156" i="10"/>
  <c r="C156" i="10"/>
  <c r="B156" i="10"/>
  <c r="A156" i="10"/>
  <c r="D155" i="10"/>
  <c r="C155" i="10"/>
  <c r="B155" i="10"/>
  <c r="A155" i="10"/>
  <c r="D154" i="10"/>
  <c r="C154" i="10"/>
  <c r="B154" i="10"/>
  <c r="A154" i="10"/>
  <c r="D153" i="10"/>
  <c r="C153" i="10"/>
  <c r="B153" i="10"/>
  <c r="A153" i="10"/>
  <c r="D152" i="10"/>
  <c r="C152" i="10"/>
  <c r="B152" i="10"/>
  <c r="A152" i="10"/>
  <c r="D151" i="10"/>
  <c r="C151" i="10"/>
  <c r="B151" i="10"/>
  <c r="A151" i="10"/>
  <c r="D150" i="10"/>
  <c r="C150" i="10"/>
  <c r="B150" i="10"/>
  <c r="A150" i="10"/>
  <c r="D149" i="10"/>
  <c r="C149" i="10"/>
  <c r="B149" i="10"/>
  <c r="A149" i="10"/>
  <c r="D148" i="10"/>
  <c r="C148" i="10"/>
  <c r="B148" i="10"/>
  <c r="A148" i="10"/>
  <c r="D147" i="10"/>
  <c r="C147" i="10"/>
  <c r="B147" i="10"/>
  <c r="A147" i="10"/>
  <c r="D146" i="10"/>
  <c r="C146" i="10"/>
  <c r="B146" i="10"/>
  <c r="A146" i="10"/>
  <c r="D145" i="10"/>
  <c r="C145" i="10"/>
  <c r="B145" i="10"/>
  <c r="A145" i="10"/>
  <c r="D144" i="10"/>
  <c r="C144" i="10"/>
  <c r="B144" i="10"/>
  <c r="A144" i="10"/>
  <c r="D143" i="10"/>
  <c r="C143" i="10"/>
  <c r="B143" i="10"/>
  <c r="A143" i="10"/>
  <c r="D142" i="10"/>
  <c r="C142" i="10"/>
  <c r="B142" i="10"/>
  <c r="A142" i="10"/>
  <c r="D141" i="10"/>
  <c r="C141" i="10"/>
  <c r="B141" i="10"/>
  <c r="A141" i="10"/>
  <c r="D140" i="10"/>
  <c r="C140" i="10"/>
  <c r="B140" i="10"/>
  <c r="A140" i="10"/>
  <c r="D139" i="10"/>
  <c r="C139" i="10"/>
  <c r="B139" i="10"/>
  <c r="A139" i="10"/>
  <c r="D138" i="10"/>
  <c r="C138" i="10"/>
  <c r="B138" i="10"/>
  <c r="A138" i="10"/>
  <c r="D137" i="10"/>
  <c r="C137" i="10"/>
  <c r="B137" i="10"/>
  <c r="A137" i="10"/>
  <c r="D136" i="10"/>
  <c r="C136" i="10"/>
  <c r="B136" i="10"/>
  <c r="A136" i="10"/>
  <c r="D135" i="10"/>
  <c r="C135" i="10"/>
  <c r="B135" i="10"/>
  <c r="A135" i="10"/>
  <c r="D134" i="10"/>
  <c r="C134" i="10"/>
  <c r="B134" i="10"/>
  <c r="A134" i="10"/>
  <c r="D133" i="10"/>
  <c r="C133" i="10"/>
  <c r="B133" i="10"/>
  <c r="A133" i="10"/>
  <c r="D132" i="10"/>
  <c r="C132" i="10"/>
  <c r="B132" i="10"/>
  <c r="A132" i="10"/>
  <c r="D131" i="10"/>
  <c r="C131" i="10"/>
  <c r="B131" i="10"/>
  <c r="A131" i="10"/>
  <c r="D130" i="10"/>
  <c r="C130" i="10"/>
  <c r="B130" i="10"/>
  <c r="A130" i="10"/>
  <c r="D129" i="10"/>
  <c r="C129" i="10"/>
  <c r="B129" i="10"/>
  <c r="A129" i="10"/>
  <c r="D128" i="10"/>
  <c r="C128" i="10"/>
  <c r="B128" i="10"/>
  <c r="A128" i="10"/>
  <c r="D127" i="10"/>
  <c r="C127" i="10"/>
  <c r="B127" i="10"/>
  <c r="A127" i="10"/>
  <c r="D126" i="10"/>
  <c r="C126" i="10"/>
  <c r="B126" i="10"/>
  <c r="A126" i="10"/>
  <c r="D125" i="10"/>
  <c r="C125" i="10"/>
  <c r="B125" i="10"/>
  <c r="A125" i="10"/>
  <c r="D124" i="10"/>
  <c r="C124" i="10"/>
  <c r="B124" i="10"/>
  <c r="A124" i="10"/>
  <c r="D123" i="10"/>
  <c r="C123" i="10"/>
  <c r="B123" i="10"/>
  <c r="A123" i="10"/>
  <c r="D122" i="10"/>
  <c r="C122" i="10"/>
  <c r="B122" i="10"/>
  <c r="A122" i="10"/>
  <c r="D121" i="10"/>
  <c r="C121" i="10"/>
  <c r="B121" i="10"/>
  <c r="A121" i="10"/>
  <c r="D120" i="10"/>
  <c r="C120" i="10"/>
  <c r="B120" i="10"/>
  <c r="A120" i="10"/>
  <c r="D119" i="10"/>
  <c r="C119" i="10"/>
  <c r="B119" i="10"/>
  <c r="A119" i="10"/>
  <c r="D118" i="10"/>
  <c r="C118" i="10"/>
  <c r="B118" i="10"/>
  <c r="A118" i="10"/>
  <c r="D117" i="10"/>
  <c r="C117" i="10"/>
  <c r="B117" i="10"/>
  <c r="A117" i="10"/>
  <c r="D116" i="10"/>
  <c r="C116" i="10"/>
  <c r="B116" i="10"/>
  <c r="A116" i="10"/>
  <c r="D115" i="10"/>
  <c r="C115" i="10"/>
  <c r="B115" i="10"/>
  <c r="A115" i="10"/>
  <c r="D114" i="10"/>
  <c r="C114" i="10"/>
  <c r="B114" i="10"/>
  <c r="A114" i="10"/>
  <c r="D113" i="10"/>
  <c r="C113" i="10"/>
  <c r="B113" i="10"/>
  <c r="A113" i="10"/>
  <c r="D112" i="10"/>
  <c r="C112" i="10"/>
  <c r="B112" i="10"/>
  <c r="A112" i="10"/>
  <c r="D111" i="10"/>
  <c r="C111" i="10"/>
  <c r="B111" i="10"/>
  <c r="A111" i="10"/>
  <c r="D110" i="10"/>
  <c r="C110" i="10"/>
  <c r="B110" i="10"/>
  <c r="A110" i="10"/>
  <c r="D109" i="10"/>
  <c r="C109" i="10"/>
  <c r="B109" i="10"/>
  <c r="A109" i="10"/>
  <c r="D108" i="10"/>
  <c r="C108" i="10"/>
  <c r="B108" i="10"/>
  <c r="A108" i="10"/>
  <c r="D107" i="10"/>
  <c r="C107" i="10"/>
  <c r="B107" i="10"/>
  <c r="A107" i="10"/>
  <c r="D106" i="10"/>
  <c r="C106" i="10"/>
  <c r="B106" i="10"/>
  <c r="A106" i="10"/>
  <c r="D105" i="10"/>
  <c r="C105" i="10"/>
  <c r="B105" i="10"/>
  <c r="A105" i="10"/>
  <c r="D104" i="10"/>
  <c r="C104" i="10"/>
  <c r="B104" i="10"/>
  <c r="A104" i="10"/>
  <c r="D103" i="10"/>
  <c r="C103" i="10"/>
  <c r="B103" i="10"/>
  <c r="A103" i="10"/>
  <c r="D102" i="10"/>
  <c r="C102" i="10"/>
  <c r="B102" i="10"/>
  <c r="A102" i="10"/>
  <c r="D101" i="10"/>
  <c r="C101" i="10"/>
  <c r="B101" i="10"/>
  <c r="A101" i="10"/>
  <c r="D100" i="10"/>
  <c r="C100" i="10"/>
  <c r="B100" i="10"/>
  <c r="A100" i="10"/>
  <c r="D99" i="10"/>
  <c r="C99" i="10"/>
  <c r="B99" i="10"/>
  <c r="A99" i="10"/>
  <c r="D98" i="10"/>
  <c r="C98" i="10"/>
  <c r="B98" i="10"/>
  <c r="A98" i="10"/>
  <c r="D97" i="10"/>
  <c r="C97" i="10"/>
  <c r="B97" i="10"/>
  <c r="A97" i="10"/>
  <c r="D96" i="10"/>
  <c r="C96" i="10"/>
  <c r="B96" i="10"/>
  <c r="A96" i="10"/>
  <c r="D95" i="10"/>
  <c r="C95" i="10"/>
  <c r="B95" i="10"/>
  <c r="A95" i="10"/>
  <c r="D94" i="10"/>
  <c r="C94" i="10"/>
  <c r="B94" i="10"/>
  <c r="A94" i="10"/>
  <c r="D93" i="10"/>
  <c r="C93" i="10"/>
  <c r="B93" i="10"/>
  <c r="A93" i="10"/>
  <c r="D92" i="10"/>
  <c r="C92" i="10"/>
  <c r="B92" i="10"/>
  <c r="A92" i="10"/>
  <c r="D91" i="10"/>
  <c r="C91" i="10"/>
  <c r="B91" i="10"/>
  <c r="A91" i="10"/>
  <c r="D90" i="10"/>
  <c r="C90" i="10"/>
  <c r="B90" i="10"/>
  <c r="A90" i="10"/>
  <c r="D89" i="10"/>
  <c r="C89" i="10"/>
  <c r="B89" i="10"/>
  <c r="A89" i="10"/>
  <c r="D88" i="10"/>
  <c r="C88" i="10"/>
  <c r="B88" i="10"/>
  <c r="A88" i="10"/>
  <c r="D87" i="10"/>
  <c r="C87" i="10"/>
  <c r="B87" i="10"/>
  <c r="A87" i="10"/>
  <c r="D86" i="10"/>
  <c r="C86" i="10"/>
  <c r="B86" i="10"/>
  <c r="A86" i="10"/>
  <c r="D85" i="10"/>
  <c r="C85" i="10"/>
  <c r="B85" i="10"/>
  <c r="A85" i="10"/>
  <c r="D84" i="10"/>
  <c r="C84" i="10"/>
  <c r="B84" i="10"/>
  <c r="A84" i="10"/>
  <c r="D83" i="10"/>
  <c r="C83" i="10"/>
  <c r="B83" i="10"/>
  <c r="A83" i="10"/>
  <c r="D82" i="10"/>
  <c r="C82" i="10"/>
  <c r="B82" i="10"/>
  <c r="A82" i="10"/>
  <c r="D81" i="10"/>
  <c r="C81" i="10"/>
  <c r="B81" i="10"/>
  <c r="A81" i="10"/>
  <c r="D80" i="10"/>
  <c r="C80" i="10"/>
  <c r="B80" i="10"/>
  <c r="A80" i="10"/>
  <c r="D79" i="10"/>
  <c r="C79" i="10"/>
  <c r="B79" i="10"/>
  <c r="A79" i="10"/>
  <c r="D78" i="10"/>
  <c r="C78" i="10"/>
  <c r="B78" i="10"/>
  <c r="A78" i="10"/>
  <c r="D77" i="10"/>
  <c r="C77" i="10"/>
  <c r="B77" i="10"/>
  <c r="A77" i="10"/>
  <c r="D76" i="10"/>
  <c r="C76" i="10"/>
  <c r="B76" i="10"/>
  <c r="A76" i="10"/>
  <c r="D75" i="10"/>
  <c r="C75" i="10"/>
  <c r="B75" i="10"/>
  <c r="A75" i="10"/>
  <c r="D74" i="10"/>
  <c r="C74" i="10"/>
  <c r="B74" i="10"/>
  <c r="A74" i="10"/>
  <c r="D73" i="10"/>
  <c r="C73" i="10"/>
  <c r="B73" i="10"/>
  <c r="A73" i="10"/>
  <c r="D72" i="10"/>
  <c r="C72" i="10"/>
  <c r="B72" i="10"/>
  <c r="A72" i="10"/>
  <c r="D71" i="10"/>
  <c r="C71" i="10"/>
  <c r="B71" i="10"/>
  <c r="A71" i="10"/>
  <c r="D70" i="10"/>
  <c r="C70" i="10"/>
  <c r="B70" i="10"/>
  <c r="A70" i="10"/>
  <c r="D69" i="10"/>
  <c r="C69" i="10"/>
  <c r="B69" i="10"/>
  <c r="A69" i="10"/>
  <c r="D68" i="10"/>
  <c r="C68" i="10"/>
  <c r="B68" i="10"/>
  <c r="A68" i="10"/>
  <c r="D67" i="10"/>
  <c r="C67" i="10"/>
  <c r="B67" i="10"/>
  <c r="A67" i="10"/>
  <c r="D66" i="10"/>
  <c r="C66" i="10"/>
  <c r="B66" i="10"/>
  <c r="A66" i="10"/>
  <c r="D65" i="10"/>
  <c r="C65" i="10"/>
  <c r="B65" i="10"/>
  <c r="A65" i="10"/>
  <c r="D64" i="10"/>
  <c r="C64" i="10"/>
  <c r="B64" i="10"/>
  <c r="A64" i="10"/>
  <c r="D63" i="10"/>
  <c r="C63" i="10"/>
  <c r="B63" i="10"/>
  <c r="A63" i="10"/>
  <c r="D62" i="10"/>
  <c r="C62" i="10"/>
  <c r="B62" i="10"/>
  <c r="A62" i="10"/>
  <c r="D61" i="10"/>
  <c r="C61" i="10"/>
  <c r="B61" i="10"/>
  <c r="A61" i="10"/>
  <c r="D60" i="10"/>
  <c r="C60" i="10"/>
  <c r="B60" i="10"/>
  <c r="A60" i="10"/>
  <c r="D59" i="10"/>
  <c r="C59" i="10"/>
  <c r="B59" i="10"/>
  <c r="A59" i="10"/>
  <c r="D58" i="10"/>
  <c r="C58" i="10"/>
  <c r="B58" i="10"/>
  <c r="A58" i="10"/>
  <c r="D57" i="10"/>
  <c r="C57" i="10"/>
  <c r="B57" i="10"/>
  <c r="A57" i="10"/>
  <c r="D56" i="10"/>
  <c r="C56" i="10"/>
  <c r="B56" i="10"/>
  <c r="A56" i="10"/>
  <c r="D55" i="10"/>
  <c r="C55" i="10"/>
  <c r="B55" i="10"/>
  <c r="A55" i="10"/>
  <c r="D54" i="10"/>
  <c r="C54" i="10"/>
  <c r="B54" i="10"/>
  <c r="A54" i="10"/>
  <c r="D53" i="10"/>
  <c r="C53" i="10"/>
  <c r="B53" i="10"/>
  <c r="A53" i="10"/>
  <c r="D52" i="10"/>
  <c r="C52" i="10"/>
  <c r="B52" i="10"/>
  <c r="A52" i="10"/>
  <c r="D51" i="10"/>
  <c r="C51" i="10"/>
  <c r="B51" i="10"/>
  <c r="A51" i="10"/>
  <c r="D50" i="10"/>
  <c r="C50" i="10"/>
  <c r="B50" i="10"/>
  <c r="A50" i="10"/>
  <c r="D49" i="10"/>
  <c r="C49" i="10"/>
  <c r="B49" i="10"/>
  <c r="A49" i="10"/>
  <c r="D48" i="10"/>
  <c r="C48" i="10"/>
  <c r="B48" i="10"/>
  <c r="A48" i="10"/>
  <c r="D47" i="10"/>
  <c r="C47" i="10"/>
  <c r="B47" i="10"/>
  <c r="A47" i="10"/>
  <c r="D46" i="10"/>
  <c r="C46" i="10"/>
  <c r="B46" i="10"/>
  <c r="A46" i="10"/>
  <c r="D45" i="10"/>
  <c r="C45" i="10"/>
  <c r="B45" i="10"/>
  <c r="A45" i="10"/>
  <c r="D44" i="10"/>
  <c r="C44" i="10"/>
  <c r="B44" i="10"/>
  <c r="A44" i="10"/>
  <c r="D43" i="10"/>
  <c r="C43" i="10"/>
  <c r="B43" i="10"/>
  <c r="A43" i="10"/>
  <c r="D42" i="10"/>
  <c r="C42" i="10"/>
  <c r="B42" i="10"/>
  <c r="A42" i="10"/>
  <c r="D41" i="10"/>
  <c r="C41" i="10"/>
  <c r="B41" i="10"/>
  <c r="A41" i="10"/>
  <c r="D40" i="10"/>
  <c r="C40" i="10"/>
  <c r="B40" i="10"/>
  <c r="A40" i="10"/>
  <c r="D39" i="10"/>
  <c r="C39" i="10"/>
  <c r="B39" i="10"/>
  <c r="A39" i="10"/>
  <c r="D38" i="10"/>
  <c r="C38" i="10"/>
  <c r="B38" i="10"/>
  <c r="A38" i="10"/>
  <c r="D37" i="10"/>
  <c r="C37" i="10"/>
  <c r="B37" i="10"/>
  <c r="A37" i="10"/>
  <c r="D36" i="10"/>
  <c r="C36" i="10"/>
  <c r="B36" i="10"/>
  <c r="A36" i="10"/>
  <c r="D35" i="10"/>
  <c r="C35" i="10"/>
  <c r="B35" i="10"/>
  <c r="A35" i="10"/>
  <c r="D34" i="10"/>
  <c r="C34" i="10"/>
  <c r="B34" i="10"/>
  <c r="A34" i="10"/>
  <c r="D33" i="10"/>
  <c r="C33" i="10"/>
  <c r="B33" i="10"/>
  <c r="A33" i="10"/>
  <c r="D32" i="10"/>
  <c r="C32" i="10"/>
  <c r="B32" i="10"/>
  <c r="A32" i="10"/>
  <c r="D31" i="10"/>
  <c r="C31" i="10"/>
  <c r="B31" i="10"/>
  <c r="A31" i="10"/>
  <c r="D30" i="10"/>
  <c r="C30" i="10"/>
  <c r="B30" i="10"/>
  <c r="A30" i="10"/>
  <c r="D29" i="10"/>
  <c r="C29" i="10"/>
  <c r="B29" i="10"/>
  <c r="A29" i="10"/>
  <c r="D28" i="10"/>
  <c r="C28" i="10"/>
  <c r="B28" i="10"/>
  <c r="A28" i="10"/>
  <c r="D27" i="10"/>
  <c r="C27" i="10"/>
  <c r="B27" i="10"/>
  <c r="A27" i="10"/>
  <c r="D26" i="10"/>
  <c r="C26" i="10"/>
  <c r="B26" i="10"/>
  <c r="A26" i="10"/>
  <c r="D25" i="10"/>
  <c r="C25" i="10"/>
  <c r="B25" i="10"/>
  <c r="A25" i="10"/>
  <c r="D24" i="10"/>
  <c r="C24" i="10"/>
  <c r="B24" i="10"/>
  <c r="A24" i="10"/>
  <c r="D23" i="10"/>
  <c r="C23" i="10"/>
  <c r="B23" i="10"/>
  <c r="A23" i="10"/>
  <c r="D22" i="10"/>
  <c r="C22" i="10"/>
  <c r="B22" i="10"/>
  <c r="A22" i="10"/>
  <c r="D21" i="10"/>
  <c r="C21" i="10"/>
  <c r="B21" i="10"/>
  <c r="A21" i="10"/>
  <c r="D20" i="10"/>
  <c r="C20" i="10"/>
  <c r="B20" i="10"/>
  <c r="A20" i="10"/>
  <c r="D19" i="10"/>
  <c r="C19" i="10"/>
  <c r="B19" i="10"/>
  <c r="A19" i="10"/>
  <c r="D18" i="10"/>
  <c r="C18" i="10"/>
  <c r="B18" i="10"/>
  <c r="A18" i="10"/>
  <c r="D17" i="10"/>
  <c r="C17" i="10"/>
  <c r="B17" i="10"/>
  <c r="A17" i="10"/>
  <c r="D16" i="10"/>
  <c r="C16" i="10"/>
  <c r="B16" i="10"/>
  <c r="A16" i="10"/>
  <c r="D15" i="10"/>
  <c r="C15" i="10"/>
  <c r="B15" i="10"/>
  <c r="A15" i="10"/>
  <c r="D14" i="10"/>
  <c r="C14" i="10"/>
  <c r="B14" i="10"/>
  <c r="A14" i="10"/>
  <c r="D13" i="10"/>
  <c r="C13" i="10"/>
  <c r="B13" i="10"/>
  <c r="A13" i="10"/>
  <c r="D12" i="10"/>
  <c r="C12" i="10"/>
  <c r="B12" i="10"/>
  <c r="A12" i="10"/>
  <c r="D11" i="10"/>
  <c r="C11" i="10"/>
  <c r="B11" i="10"/>
  <c r="A11" i="10"/>
  <c r="D10" i="10"/>
  <c r="C10" i="10"/>
  <c r="B10" i="10"/>
  <c r="A10" i="10"/>
  <c r="D9" i="10"/>
  <c r="C9" i="10"/>
  <c r="B9" i="10"/>
  <c r="A9" i="10"/>
  <c r="D8" i="10"/>
  <c r="C8" i="10"/>
  <c r="B8" i="10"/>
  <c r="A8" i="10"/>
  <c r="D7" i="10"/>
  <c r="C7" i="10"/>
  <c r="B7" i="10"/>
  <c r="A7" i="10"/>
  <c r="D6" i="10"/>
  <c r="C6" i="10"/>
  <c r="B6" i="10"/>
  <c r="A6" i="10"/>
  <c r="D5" i="10"/>
  <c r="C5" i="10"/>
  <c r="B5" i="10"/>
  <c r="A5" i="10"/>
  <c r="D4" i="10"/>
  <c r="C4" i="10"/>
  <c r="B4" i="10"/>
  <c r="A4" i="10"/>
  <c r="D3" i="10"/>
  <c r="C3" i="10"/>
  <c r="B3" i="10"/>
  <c r="A3" i="10"/>
  <c r="D2" i="10"/>
  <c r="C2" i="10"/>
  <c r="B2" i="10"/>
  <c r="A2" i="10"/>
  <c r="B501" i="9"/>
  <c r="A501" i="9"/>
  <c r="B500" i="9"/>
  <c r="A500" i="9"/>
  <c r="B499" i="9"/>
  <c r="A499" i="9"/>
  <c r="B498" i="9"/>
  <c r="A498" i="9"/>
  <c r="B497" i="9"/>
  <c r="A497" i="9"/>
  <c r="B496" i="9"/>
  <c r="A496" i="9"/>
  <c r="B495" i="9"/>
  <c r="A495" i="9"/>
  <c r="B494" i="9"/>
  <c r="A494" i="9"/>
  <c r="B493" i="9"/>
  <c r="A493" i="9"/>
  <c r="B492" i="9"/>
  <c r="A492" i="9"/>
  <c r="B491" i="9"/>
  <c r="A491" i="9"/>
  <c r="B490" i="9"/>
  <c r="A490" i="9"/>
  <c r="B489" i="9"/>
  <c r="A489" i="9"/>
  <c r="B488" i="9"/>
  <c r="A488" i="9"/>
  <c r="B487" i="9"/>
  <c r="A487" i="9"/>
  <c r="B486" i="9"/>
  <c r="A486" i="9"/>
  <c r="B485" i="9"/>
  <c r="A485" i="9"/>
  <c r="B484" i="9"/>
  <c r="A484" i="9"/>
  <c r="B483" i="9"/>
  <c r="A483" i="9"/>
  <c r="B482" i="9"/>
  <c r="A482" i="9"/>
  <c r="B481" i="9"/>
  <c r="A481" i="9"/>
  <c r="B480" i="9"/>
  <c r="A480" i="9"/>
  <c r="B479" i="9"/>
  <c r="A479" i="9"/>
  <c r="B478" i="9"/>
  <c r="A478" i="9"/>
  <c r="B477" i="9"/>
  <c r="A477" i="9"/>
  <c r="B476" i="9"/>
  <c r="A476" i="9"/>
  <c r="B475" i="9"/>
  <c r="A475" i="9"/>
  <c r="B474" i="9"/>
  <c r="A474" i="9"/>
  <c r="B473" i="9"/>
  <c r="A473" i="9"/>
  <c r="B472" i="9"/>
  <c r="A472" i="9"/>
  <c r="B471" i="9"/>
  <c r="A471" i="9"/>
  <c r="B470" i="9"/>
  <c r="A470" i="9"/>
  <c r="B469" i="9"/>
  <c r="A469" i="9"/>
  <c r="B468" i="9"/>
  <c r="A468" i="9"/>
  <c r="B467" i="9"/>
  <c r="A467" i="9"/>
  <c r="B466" i="9"/>
  <c r="A466" i="9"/>
  <c r="B465" i="9"/>
  <c r="A465" i="9"/>
  <c r="B464" i="9"/>
  <c r="A464" i="9"/>
  <c r="B463" i="9"/>
  <c r="A463" i="9"/>
  <c r="B462" i="9"/>
  <c r="A462" i="9"/>
  <c r="B461" i="9"/>
  <c r="A461" i="9"/>
  <c r="B460" i="9"/>
  <c r="A460" i="9"/>
  <c r="B459" i="9"/>
  <c r="A459" i="9"/>
  <c r="B458" i="9"/>
  <c r="A458" i="9"/>
  <c r="B457" i="9"/>
  <c r="A457" i="9"/>
  <c r="B456" i="9"/>
  <c r="A456" i="9"/>
  <c r="B455" i="9"/>
  <c r="A455" i="9"/>
  <c r="B454" i="9"/>
  <c r="A454" i="9"/>
  <c r="B453" i="9"/>
  <c r="A453" i="9"/>
  <c r="B452" i="9"/>
  <c r="A452" i="9"/>
  <c r="B451" i="9"/>
  <c r="A451" i="9"/>
  <c r="B450" i="9"/>
  <c r="A450" i="9"/>
  <c r="B449" i="9"/>
  <c r="A449" i="9"/>
  <c r="B448" i="9"/>
  <c r="A448" i="9"/>
  <c r="B447" i="9"/>
  <c r="A447" i="9"/>
  <c r="B446" i="9"/>
  <c r="A446" i="9"/>
  <c r="B445" i="9"/>
  <c r="A445" i="9"/>
  <c r="B444" i="9"/>
  <c r="A444" i="9"/>
  <c r="B443" i="9"/>
  <c r="A443" i="9"/>
  <c r="B442" i="9"/>
  <c r="A442" i="9"/>
  <c r="B441" i="9"/>
  <c r="A441" i="9"/>
  <c r="B440" i="9"/>
  <c r="A440" i="9"/>
  <c r="B439" i="9"/>
  <c r="A439" i="9"/>
  <c r="B438" i="9"/>
  <c r="A438" i="9"/>
  <c r="B437" i="9"/>
  <c r="A437" i="9"/>
  <c r="B436" i="9"/>
  <c r="A436" i="9"/>
  <c r="B435" i="9"/>
  <c r="A435" i="9"/>
  <c r="B434" i="9"/>
  <c r="A434" i="9"/>
  <c r="B433" i="9"/>
  <c r="A433" i="9"/>
  <c r="B432" i="9"/>
  <c r="A432" i="9"/>
  <c r="B431" i="9"/>
  <c r="A431" i="9"/>
  <c r="B430" i="9"/>
  <c r="A430" i="9"/>
  <c r="B429" i="9"/>
  <c r="A429" i="9"/>
  <c r="B428" i="9"/>
  <c r="A428" i="9"/>
  <c r="B427" i="9"/>
  <c r="A427" i="9"/>
  <c r="B426" i="9"/>
  <c r="A426" i="9"/>
  <c r="B425" i="9"/>
  <c r="A425" i="9"/>
  <c r="B424" i="9"/>
  <c r="A424" i="9"/>
  <c r="B423" i="9"/>
  <c r="A423" i="9"/>
  <c r="B422" i="9"/>
  <c r="A422" i="9"/>
  <c r="B421" i="9"/>
  <c r="A421" i="9"/>
  <c r="B420" i="9"/>
  <c r="A420" i="9"/>
  <c r="B419" i="9"/>
  <c r="A419" i="9"/>
  <c r="B418" i="9"/>
  <c r="A418" i="9"/>
  <c r="B417" i="9"/>
  <c r="A417" i="9"/>
  <c r="B416" i="9"/>
  <c r="A416" i="9"/>
  <c r="B415" i="9"/>
  <c r="A415" i="9"/>
  <c r="B414" i="9"/>
  <c r="A414" i="9"/>
  <c r="B413" i="9"/>
  <c r="A413" i="9"/>
  <c r="B412" i="9"/>
  <c r="A412" i="9"/>
  <c r="B411" i="9"/>
  <c r="A411" i="9"/>
  <c r="B410" i="9"/>
  <c r="A410" i="9"/>
  <c r="B409" i="9"/>
  <c r="A409" i="9"/>
  <c r="B408" i="9"/>
  <c r="A408" i="9"/>
  <c r="B407" i="9"/>
  <c r="A407" i="9"/>
  <c r="B406" i="9"/>
  <c r="A406" i="9"/>
  <c r="B405" i="9"/>
  <c r="A405" i="9"/>
  <c r="B404" i="9"/>
  <c r="A404" i="9"/>
  <c r="B403" i="9"/>
  <c r="A403" i="9"/>
  <c r="B402" i="9"/>
  <c r="A402" i="9"/>
  <c r="B401" i="9"/>
  <c r="A401" i="9"/>
  <c r="B400" i="9"/>
  <c r="A400" i="9"/>
  <c r="B399" i="9"/>
  <c r="A399" i="9"/>
  <c r="B398" i="9"/>
  <c r="A398" i="9"/>
  <c r="B397" i="9"/>
  <c r="A397" i="9"/>
  <c r="B396" i="9"/>
  <c r="A396" i="9"/>
  <c r="B395" i="9"/>
  <c r="A395" i="9"/>
  <c r="B394" i="9"/>
  <c r="A394" i="9"/>
  <c r="B393" i="9"/>
  <c r="A393" i="9"/>
  <c r="B392" i="9"/>
  <c r="A392" i="9"/>
  <c r="B391" i="9"/>
  <c r="A391" i="9"/>
  <c r="B390" i="9"/>
  <c r="A390" i="9"/>
  <c r="B389" i="9"/>
  <c r="A389" i="9"/>
  <c r="B388" i="9"/>
  <c r="A388" i="9"/>
  <c r="B387" i="9"/>
  <c r="A387" i="9"/>
  <c r="B386" i="9"/>
  <c r="A386" i="9"/>
  <c r="B385" i="9"/>
  <c r="A385" i="9"/>
  <c r="B384" i="9"/>
  <c r="A384" i="9"/>
  <c r="B383" i="9"/>
  <c r="A383" i="9"/>
  <c r="B382" i="9"/>
  <c r="A382" i="9"/>
  <c r="B381" i="9"/>
  <c r="A381" i="9"/>
  <c r="B380" i="9"/>
  <c r="A380" i="9"/>
  <c r="B379" i="9"/>
  <c r="A379" i="9"/>
  <c r="B378" i="9"/>
  <c r="A378" i="9"/>
  <c r="B377" i="9"/>
  <c r="A377" i="9"/>
  <c r="B376" i="9"/>
  <c r="A376" i="9"/>
  <c r="B375" i="9"/>
  <c r="A375" i="9"/>
  <c r="B374" i="9"/>
  <c r="A374" i="9"/>
  <c r="B373" i="9"/>
  <c r="A373" i="9"/>
  <c r="B372" i="9"/>
  <c r="A372" i="9"/>
  <c r="B371" i="9"/>
  <c r="A371" i="9"/>
  <c r="B370" i="9"/>
  <c r="A370" i="9"/>
  <c r="B369" i="9"/>
  <c r="A369" i="9"/>
  <c r="B368" i="9"/>
  <c r="A368" i="9"/>
  <c r="B367" i="9"/>
  <c r="A367" i="9"/>
  <c r="B366" i="9"/>
  <c r="A366" i="9"/>
  <c r="B365" i="9"/>
  <c r="A365" i="9"/>
  <c r="B364" i="9"/>
  <c r="A364" i="9"/>
  <c r="B363" i="9"/>
  <c r="A363" i="9"/>
  <c r="B362" i="9"/>
  <c r="A362" i="9"/>
  <c r="B361" i="9"/>
  <c r="A361" i="9"/>
  <c r="B360" i="9"/>
  <c r="A360" i="9"/>
  <c r="B359" i="9"/>
  <c r="A359" i="9"/>
  <c r="B358" i="9"/>
  <c r="A358" i="9"/>
  <c r="B357" i="9"/>
  <c r="A357" i="9"/>
  <c r="B356" i="9"/>
  <c r="A356" i="9"/>
  <c r="B355" i="9"/>
  <c r="A355" i="9"/>
  <c r="B354" i="9"/>
  <c r="A354" i="9"/>
  <c r="B353" i="9"/>
  <c r="A353" i="9"/>
  <c r="B352" i="9"/>
  <c r="A352" i="9"/>
  <c r="B351" i="9"/>
  <c r="A351" i="9"/>
  <c r="B350" i="9"/>
  <c r="A350" i="9"/>
  <c r="B349" i="9"/>
  <c r="A349" i="9"/>
  <c r="B348" i="9"/>
  <c r="A348" i="9"/>
  <c r="B347" i="9"/>
  <c r="A347" i="9"/>
  <c r="B346" i="9"/>
  <c r="A346" i="9"/>
  <c r="B345" i="9"/>
  <c r="A345" i="9"/>
  <c r="B344" i="9"/>
  <c r="A344" i="9"/>
  <c r="B343" i="9"/>
  <c r="A343" i="9"/>
  <c r="B342" i="9"/>
  <c r="A342" i="9"/>
  <c r="B341" i="9"/>
  <c r="A341" i="9"/>
  <c r="B340" i="9"/>
  <c r="A340" i="9"/>
  <c r="B339" i="9"/>
  <c r="A339" i="9"/>
  <c r="B338" i="9"/>
  <c r="A338" i="9"/>
  <c r="B337" i="9"/>
  <c r="A337" i="9"/>
  <c r="B336" i="9"/>
  <c r="A336" i="9"/>
  <c r="B335" i="9"/>
  <c r="A335" i="9"/>
  <c r="B334" i="9"/>
  <c r="A334" i="9"/>
  <c r="B333" i="9"/>
  <c r="A333" i="9"/>
  <c r="B332" i="9"/>
  <c r="A332" i="9"/>
  <c r="B331" i="9"/>
  <c r="A331" i="9"/>
  <c r="B330" i="9"/>
  <c r="A330" i="9"/>
  <c r="B329" i="9"/>
  <c r="A329" i="9"/>
  <c r="B328" i="9"/>
  <c r="A328" i="9"/>
  <c r="B327" i="9"/>
  <c r="A327" i="9"/>
  <c r="B326" i="9"/>
  <c r="A326" i="9"/>
  <c r="B325" i="9"/>
  <c r="A325" i="9"/>
  <c r="B324" i="9"/>
  <c r="A324" i="9"/>
  <c r="B323" i="9"/>
  <c r="A323" i="9"/>
  <c r="B322" i="9"/>
  <c r="A322" i="9"/>
  <c r="B321" i="9"/>
  <c r="A321" i="9"/>
  <c r="B320" i="9"/>
  <c r="A320" i="9"/>
  <c r="B319" i="9"/>
  <c r="A319" i="9"/>
  <c r="B318" i="9"/>
  <c r="A318" i="9"/>
  <c r="B317" i="9"/>
  <c r="A317" i="9"/>
  <c r="B316" i="9"/>
  <c r="A316" i="9"/>
  <c r="B315" i="9"/>
  <c r="A315" i="9"/>
  <c r="B314" i="9"/>
  <c r="A314" i="9"/>
  <c r="C313" i="9"/>
  <c r="D313" i="9" s="1"/>
  <c r="B313" i="9"/>
  <c r="A313" i="9"/>
  <c r="B312" i="9"/>
  <c r="A312" i="9"/>
  <c r="B311" i="9"/>
  <c r="A311" i="9"/>
  <c r="B310" i="9"/>
  <c r="A310" i="9"/>
  <c r="B309" i="9"/>
  <c r="A309" i="9"/>
  <c r="B308" i="9"/>
  <c r="A308" i="9"/>
  <c r="B307" i="9"/>
  <c r="A307" i="9"/>
  <c r="B306" i="9"/>
  <c r="A306" i="9"/>
  <c r="B305" i="9"/>
  <c r="A305" i="9"/>
  <c r="B304" i="9"/>
  <c r="A304" i="9"/>
  <c r="B303" i="9"/>
  <c r="A303" i="9"/>
  <c r="B302" i="9"/>
  <c r="A302" i="9"/>
  <c r="B301" i="9"/>
  <c r="A301" i="9"/>
  <c r="B300" i="9"/>
  <c r="A300" i="9"/>
  <c r="B299" i="9"/>
  <c r="A299" i="9"/>
  <c r="B298" i="9"/>
  <c r="A298" i="9"/>
  <c r="B297" i="9"/>
  <c r="A297" i="9"/>
  <c r="B296" i="9"/>
  <c r="A296" i="9"/>
  <c r="B295" i="9"/>
  <c r="A295" i="9"/>
  <c r="B294" i="9"/>
  <c r="A294" i="9"/>
  <c r="B293" i="9"/>
  <c r="A293" i="9"/>
  <c r="B292" i="9"/>
  <c r="A292" i="9"/>
  <c r="B291" i="9"/>
  <c r="A291" i="9"/>
  <c r="B290" i="9"/>
  <c r="A290" i="9"/>
  <c r="B289" i="9"/>
  <c r="A289" i="9"/>
  <c r="B288" i="9"/>
  <c r="A288" i="9"/>
  <c r="B287" i="9"/>
  <c r="A287" i="9"/>
  <c r="B286" i="9"/>
  <c r="A286" i="9"/>
  <c r="B285" i="9"/>
  <c r="A285" i="9"/>
  <c r="B284" i="9"/>
  <c r="A284" i="9"/>
  <c r="B283" i="9"/>
  <c r="A283" i="9"/>
  <c r="B282" i="9"/>
  <c r="A282" i="9"/>
  <c r="B281" i="9"/>
  <c r="A281" i="9"/>
  <c r="B280" i="9"/>
  <c r="A280" i="9"/>
  <c r="B279" i="9"/>
  <c r="A279" i="9"/>
  <c r="B278" i="9"/>
  <c r="A278" i="9"/>
  <c r="B277" i="9"/>
  <c r="A277" i="9"/>
  <c r="B276" i="9"/>
  <c r="A276" i="9"/>
  <c r="B275" i="9"/>
  <c r="A275" i="9"/>
  <c r="B274" i="9"/>
  <c r="A274" i="9"/>
  <c r="B273" i="9"/>
  <c r="A273" i="9"/>
  <c r="B272" i="9"/>
  <c r="A272" i="9"/>
  <c r="B271" i="9"/>
  <c r="A271" i="9"/>
  <c r="B270" i="9"/>
  <c r="A270" i="9"/>
  <c r="B269" i="9"/>
  <c r="A269" i="9"/>
  <c r="B268" i="9"/>
  <c r="A268" i="9"/>
  <c r="B267" i="9"/>
  <c r="A267" i="9"/>
  <c r="B266" i="9"/>
  <c r="A266" i="9"/>
  <c r="B265" i="9"/>
  <c r="A265" i="9"/>
  <c r="B264" i="9"/>
  <c r="A264" i="9"/>
  <c r="B263" i="9"/>
  <c r="A263" i="9"/>
  <c r="B262" i="9"/>
  <c r="A262" i="9"/>
  <c r="B261" i="9"/>
  <c r="A261" i="9"/>
  <c r="B260" i="9"/>
  <c r="A260" i="9"/>
  <c r="B259" i="9"/>
  <c r="A259" i="9"/>
  <c r="B258" i="9"/>
  <c r="A258" i="9"/>
  <c r="B257" i="9"/>
  <c r="A257" i="9"/>
  <c r="B256" i="9"/>
  <c r="A256" i="9"/>
  <c r="B255" i="9"/>
  <c r="A255" i="9"/>
  <c r="B254" i="9"/>
  <c r="A254" i="9"/>
  <c r="B253" i="9"/>
  <c r="A253" i="9"/>
  <c r="B252" i="9"/>
  <c r="A252" i="9"/>
  <c r="B251" i="9"/>
  <c r="A251" i="9"/>
  <c r="B250" i="9"/>
  <c r="A250" i="9"/>
  <c r="B249" i="9"/>
  <c r="A249" i="9"/>
  <c r="B248" i="9"/>
  <c r="A248" i="9"/>
  <c r="B247" i="9"/>
  <c r="A247" i="9"/>
  <c r="B246" i="9"/>
  <c r="A246" i="9"/>
  <c r="B245" i="9"/>
  <c r="A245" i="9"/>
  <c r="B244" i="9"/>
  <c r="A244" i="9"/>
  <c r="B243" i="9"/>
  <c r="A243" i="9"/>
  <c r="B242" i="9"/>
  <c r="A242" i="9"/>
  <c r="B241" i="9"/>
  <c r="A241" i="9"/>
  <c r="B240" i="9"/>
  <c r="A240" i="9"/>
  <c r="B239" i="9"/>
  <c r="A239" i="9"/>
  <c r="B238" i="9"/>
  <c r="A238" i="9"/>
  <c r="B237" i="9"/>
  <c r="A237" i="9"/>
  <c r="B236" i="9"/>
  <c r="A236" i="9"/>
  <c r="B235" i="9"/>
  <c r="A235" i="9"/>
  <c r="B234" i="9"/>
  <c r="A234" i="9"/>
  <c r="B233" i="9"/>
  <c r="A233" i="9"/>
  <c r="B232" i="9"/>
  <c r="A232" i="9"/>
  <c r="B231" i="9"/>
  <c r="A231" i="9"/>
  <c r="B230" i="9"/>
  <c r="A230" i="9"/>
  <c r="B229" i="9"/>
  <c r="A229" i="9"/>
  <c r="B228" i="9"/>
  <c r="A228" i="9"/>
  <c r="B227" i="9"/>
  <c r="A227" i="9"/>
  <c r="B226" i="9"/>
  <c r="A226" i="9"/>
  <c r="B225" i="9"/>
  <c r="A225" i="9"/>
  <c r="B224" i="9"/>
  <c r="A224" i="9"/>
  <c r="B223" i="9"/>
  <c r="A223" i="9"/>
  <c r="B222" i="9"/>
  <c r="A222" i="9"/>
  <c r="B221" i="9"/>
  <c r="A221" i="9"/>
  <c r="B220" i="9"/>
  <c r="A220" i="9"/>
  <c r="B219" i="9"/>
  <c r="A219" i="9"/>
  <c r="B218" i="9"/>
  <c r="A218" i="9"/>
  <c r="B217" i="9"/>
  <c r="A217" i="9"/>
  <c r="B216" i="9"/>
  <c r="A216" i="9"/>
  <c r="B215" i="9"/>
  <c r="A215" i="9"/>
  <c r="B214" i="9"/>
  <c r="A214" i="9"/>
  <c r="B213" i="9"/>
  <c r="A213" i="9"/>
  <c r="B212" i="9"/>
  <c r="A212" i="9"/>
  <c r="B211" i="9"/>
  <c r="A211" i="9"/>
  <c r="B210" i="9"/>
  <c r="A210" i="9"/>
  <c r="B209" i="9"/>
  <c r="A209" i="9"/>
  <c r="B208" i="9"/>
  <c r="A208" i="9"/>
  <c r="B207" i="9"/>
  <c r="A207" i="9"/>
  <c r="B206" i="9"/>
  <c r="A206" i="9"/>
  <c r="B205" i="9"/>
  <c r="A205" i="9"/>
  <c r="B204" i="9"/>
  <c r="A204" i="9"/>
  <c r="B203" i="9"/>
  <c r="A203" i="9"/>
  <c r="B202" i="9"/>
  <c r="A202" i="9"/>
  <c r="B201" i="9"/>
  <c r="A201" i="9"/>
  <c r="B200" i="9"/>
  <c r="A200" i="9"/>
  <c r="B199" i="9"/>
  <c r="A199" i="9"/>
  <c r="B198" i="9"/>
  <c r="A198" i="9"/>
  <c r="B197" i="9"/>
  <c r="A197" i="9"/>
  <c r="B196" i="9"/>
  <c r="A196" i="9"/>
  <c r="B195" i="9"/>
  <c r="A195" i="9"/>
  <c r="B194" i="9"/>
  <c r="A194" i="9"/>
  <c r="B193" i="9"/>
  <c r="A193" i="9"/>
  <c r="B192" i="9"/>
  <c r="A192" i="9"/>
  <c r="B191" i="9"/>
  <c r="A191" i="9"/>
  <c r="B190" i="9"/>
  <c r="A190" i="9"/>
  <c r="B189" i="9"/>
  <c r="A189" i="9"/>
  <c r="B188" i="9"/>
  <c r="A188" i="9"/>
  <c r="B187" i="9"/>
  <c r="A187" i="9"/>
  <c r="B186" i="9"/>
  <c r="A186" i="9"/>
  <c r="B185" i="9"/>
  <c r="A185" i="9"/>
  <c r="B184" i="9"/>
  <c r="A184" i="9"/>
  <c r="B183" i="9"/>
  <c r="A183" i="9"/>
  <c r="B182" i="9"/>
  <c r="A182" i="9"/>
  <c r="B181" i="9"/>
  <c r="A181" i="9"/>
  <c r="B180" i="9"/>
  <c r="A180" i="9"/>
  <c r="B179" i="9"/>
  <c r="A179" i="9"/>
  <c r="B178" i="9"/>
  <c r="A178" i="9"/>
  <c r="B177" i="9"/>
  <c r="A177" i="9"/>
  <c r="B176" i="9"/>
  <c r="A176" i="9"/>
  <c r="B175" i="9"/>
  <c r="A175" i="9"/>
  <c r="B174" i="9"/>
  <c r="A174" i="9"/>
  <c r="B173" i="9"/>
  <c r="A173" i="9"/>
  <c r="B172" i="9"/>
  <c r="A172" i="9"/>
  <c r="B171" i="9"/>
  <c r="A171" i="9"/>
  <c r="B170" i="9"/>
  <c r="A170" i="9"/>
  <c r="B169" i="9"/>
  <c r="A169" i="9"/>
  <c r="B168" i="9"/>
  <c r="A168" i="9"/>
  <c r="B167" i="9"/>
  <c r="A167" i="9"/>
  <c r="B166" i="9"/>
  <c r="A166" i="9"/>
  <c r="B165" i="9"/>
  <c r="A165" i="9"/>
  <c r="B164" i="9"/>
  <c r="A164" i="9"/>
  <c r="B163" i="9"/>
  <c r="A163" i="9"/>
  <c r="B162" i="9"/>
  <c r="A162" i="9"/>
  <c r="B161" i="9"/>
  <c r="A161" i="9"/>
  <c r="B160" i="9"/>
  <c r="A160" i="9"/>
  <c r="B159" i="9"/>
  <c r="A159" i="9"/>
  <c r="B158" i="9"/>
  <c r="A158" i="9"/>
  <c r="B157" i="9"/>
  <c r="A157" i="9"/>
  <c r="B156" i="9"/>
  <c r="A156" i="9"/>
  <c r="B155" i="9"/>
  <c r="A155" i="9"/>
  <c r="B154" i="9"/>
  <c r="A154" i="9"/>
  <c r="B153" i="9"/>
  <c r="A153" i="9"/>
  <c r="B152" i="9"/>
  <c r="A152" i="9"/>
  <c r="B151" i="9"/>
  <c r="A151" i="9"/>
  <c r="B150" i="9"/>
  <c r="A150" i="9"/>
  <c r="B149" i="9"/>
  <c r="A149" i="9"/>
  <c r="B148" i="9"/>
  <c r="A148" i="9"/>
  <c r="B147" i="9"/>
  <c r="A147" i="9"/>
  <c r="B146" i="9"/>
  <c r="A146" i="9"/>
  <c r="B145" i="9"/>
  <c r="A145" i="9"/>
  <c r="B144" i="9"/>
  <c r="A144" i="9"/>
  <c r="B143" i="9"/>
  <c r="A143" i="9"/>
  <c r="B142" i="9"/>
  <c r="A142" i="9"/>
  <c r="B141" i="9"/>
  <c r="A141" i="9"/>
  <c r="B140" i="9"/>
  <c r="A140" i="9"/>
  <c r="B139" i="9"/>
  <c r="A139" i="9"/>
  <c r="B138" i="9"/>
  <c r="A138" i="9"/>
  <c r="B137" i="9"/>
  <c r="A137" i="9"/>
  <c r="B136" i="9"/>
  <c r="A136" i="9"/>
  <c r="B135" i="9"/>
  <c r="A135" i="9"/>
  <c r="B134" i="9"/>
  <c r="A134" i="9"/>
  <c r="B133" i="9"/>
  <c r="A133" i="9"/>
  <c r="B132" i="9"/>
  <c r="A132" i="9"/>
  <c r="B131" i="9"/>
  <c r="A131" i="9"/>
  <c r="B130" i="9"/>
  <c r="A130" i="9"/>
  <c r="B129" i="9"/>
  <c r="A129" i="9"/>
  <c r="B128" i="9"/>
  <c r="A128" i="9"/>
  <c r="B127" i="9"/>
  <c r="A127" i="9"/>
  <c r="B126" i="9"/>
  <c r="A126" i="9"/>
  <c r="B125" i="9"/>
  <c r="A125" i="9"/>
  <c r="B124" i="9"/>
  <c r="A124" i="9"/>
  <c r="B123" i="9"/>
  <c r="A123" i="9"/>
  <c r="B122" i="9"/>
  <c r="A122" i="9"/>
  <c r="B121" i="9"/>
  <c r="A121" i="9"/>
  <c r="B120" i="9"/>
  <c r="A120" i="9"/>
  <c r="B119" i="9"/>
  <c r="A119" i="9"/>
  <c r="B118" i="9"/>
  <c r="A118" i="9"/>
  <c r="B117" i="9"/>
  <c r="A117" i="9"/>
  <c r="B116" i="9"/>
  <c r="A116" i="9"/>
  <c r="B115" i="9"/>
  <c r="A115" i="9"/>
  <c r="B114" i="9"/>
  <c r="A114" i="9"/>
  <c r="B113" i="9"/>
  <c r="A113" i="9"/>
  <c r="B112" i="9"/>
  <c r="A112" i="9"/>
  <c r="B111" i="9"/>
  <c r="A111" i="9"/>
  <c r="B110" i="9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C78" i="9" s="1"/>
  <c r="D78" i="9" s="1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B47" i="9"/>
  <c r="A47" i="9"/>
  <c r="B46" i="9"/>
  <c r="A46" i="9"/>
  <c r="B45" i="9"/>
  <c r="A45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B37" i="9"/>
  <c r="A37" i="9"/>
  <c r="B36" i="9"/>
  <c r="A36" i="9"/>
  <c r="B35" i="9"/>
  <c r="A35" i="9"/>
  <c r="B34" i="9"/>
  <c r="A34" i="9"/>
  <c r="B33" i="9"/>
  <c r="A33" i="9"/>
  <c r="B32" i="9"/>
  <c r="A32" i="9"/>
  <c r="B31" i="9"/>
  <c r="A31" i="9"/>
  <c r="B30" i="9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B18" i="9"/>
  <c r="A18" i="9"/>
  <c r="B17" i="9"/>
  <c r="A17" i="9"/>
  <c r="B16" i="9"/>
  <c r="A16" i="9"/>
  <c r="B15" i="9"/>
  <c r="A15" i="9"/>
  <c r="B14" i="9"/>
  <c r="A14" i="9"/>
  <c r="B13" i="9"/>
  <c r="A13" i="9"/>
  <c r="B12" i="9"/>
  <c r="A12" i="9"/>
  <c r="B11" i="9"/>
  <c r="A11" i="9"/>
  <c r="B10" i="9"/>
  <c r="A10" i="9"/>
  <c r="B9" i="9"/>
  <c r="A9" i="9"/>
  <c r="B8" i="9"/>
  <c r="A8" i="9"/>
  <c r="B7" i="9"/>
  <c r="A7" i="9"/>
  <c r="B6" i="9"/>
  <c r="A6" i="9"/>
  <c r="B5" i="9"/>
  <c r="A5" i="9"/>
  <c r="B4" i="9"/>
  <c r="A4" i="9"/>
  <c r="B3" i="9"/>
  <c r="A3" i="9"/>
  <c r="B2" i="9"/>
  <c r="A2" i="9"/>
  <c r="J501" i="8"/>
  <c r="H501" i="8"/>
  <c r="G501" i="8"/>
  <c r="I501" i="8" s="1"/>
  <c r="E501" i="8"/>
  <c r="F501" i="8" s="1"/>
  <c r="J500" i="8"/>
  <c r="H500" i="8"/>
  <c r="G500" i="8"/>
  <c r="I500" i="8" s="1"/>
  <c r="E500" i="8"/>
  <c r="F500" i="8" s="1"/>
  <c r="J499" i="8"/>
  <c r="H499" i="8"/>
  <c r="G499" i="8"/>
  <c r="I499" i="8" s="1"/>
  <c r="E499" i="8"/>
  <c r="F499" i="8" s="1"/>
  <c r="J498" i="8"/>
  <c r="H498" i="8"/>
  <c r="G498" i="8"/>
  <c r="I498" i="8" s="1"/>
  <c r="E498" i="8"/>
  <c r="F498" i="8" s="1"/>
  <c r="J497" i="8"/>
  <c r="H497" i="8"/>
  <c r="G497" i="8"/>
  <c r="I497" i="8" s="1"/>
  <c r="E497" i="8"/>
  <c r="F497" i="8" s="1"/>
  <c r="J496" i="8"/>
  <c r="H496" i="8"/>
  <c r="G496" i="8"/>
  <c r="I496" i="8" s="1"/>
  <c r="E496" i="8"/>
  <c r="F496" i="8" s="1"/>
  <c r="J495" i="8"/>
  <c r="H495" i="8"/>
  <c r="G495" i="8"/>
  <c r="I495" i="8" s="1"/>
  <c r="E495" i="8"/>
  <c r="F495" i="8" s="1"/>
  <c r="J494" i="8"/>
  <c r="H494" i="8"/>
  <c r="G494" i="8"/>
  <c r="I494" i="8" s="1"/>
  <c r="E494" i="8"/>
  <c r="F494" i="8" s="1"/>
  <c r="J493" i="8"/>
  <c r="H493" i="8"/>
  <c r="G493" i="8"/>
  <c r="I493" i="8" s="1"/>
  <c r="E493" i="8"/>
  <c r="F493" i="8" s="1"/>
  <c r="J492" i="8"/>
  <c r="H492" i="8"/>
  <c r="G492" i="8"/>
  <c r="I492" i="8" s="1"/>
  <c r="E492" i="8"/>
  <c r="F492" i="8" s="1"/>
  <c r="J491" i="8"/>
  <c r="H491" i="8"/>
  <c r="G491" i="8"/>
  <c r="I491" i="8" s="1"/>
  <c r="E491" i="8"/>
  <c r="F491" i="8" s="1"/>
  <c r="J490" i="8"/>
  <c r="H490" i="8"/>
  <c r="G490" i="8"/>
  <c r="I490" i="8" s="1"/>
  <c r="E490" i="8"/>
  <c r="F490" i="8" s="1"/>
  <c r="J489" i="8"/>
  <c r="H489" i="8"/>
  <c r="G489" i="8"/>
  <c r="I489" i="8" s="1"/>
  <c r="E489" i="8"/>
  <c r="F489" i="8" s="1"/>
  <c r="J488" i="8"/>
  <c r="H488" i="8"/>
  <c r="G488" i="8"/>
  <c r="I488" i="8" s="1"/>
  <c r="E488" i="8"/>
  <c r="F488" i="8" s="1"/>
  <c r="J487" i="8"/>
  <c r="H487" i="8"/>
  <c r="G487" i="8"/>
  <c r="I487" i="8" s="1"/>
  <c r="E487" i="8"/>
  <c r="F487" i="8" s="1"/>
  <c r="J486" i="8"/>
  <c r="H486" i="8"/>
  <c r="G486" i="8"/>
  <c r="I486" i="8" s="1"/>
  <c r="E486" i="8"/>
  <c r="F486" i="8" s="1"/>
  <c r="J485" i="8"/>
  <c r="H485" i="8"/>
  <c r="G485" i="8"/>
  <c r="I485" i="8" s="1"/>
  <c r="E485" i="8"/>
  <c r="F485" i="8" s="1"/>
  <c r="J484" i="8"/>
  <c r="H484" i="8"/>
  <c r="G484" i="8"/>
  <c r="I484" i="8" s="1"/>
  <c r="E484" i="8"/>
  <c r="F484" i="8" s="1"/>
  <c r="J483" i="8"/>
  <c r="H483" i="8"/>
  <c r="G483" i="8"/>
  <c r="I483" i="8" s="1"/>
  <c r="E483" i="8"/>
  <c r="F483" i="8" s="1"/>
  <c r="J482" i="8"/>
  <c r="H482" i="8"/>
  <c r="G482" i="8"/>
  <c r="I482" i="8" s="1"/>
  <c r="E482" i="8"/>
  <c r="F482" i="8" s="1"/>
  <c r="J481" i="8"/>
  <c r="H481" i="8"/>
  <c r="G481" i="8"/>
  <c r="I481" i="8" s="1"/>
  <c r="E481" i="8"/>
  <c r="F481" i="8" s="1"/>
  <c r="J480" i="8"/>
  <c r="H480" i="8"/>
  <c r="G480" i="8"/>
  <c r="I480" i="8" s="1"/>
  <c r="E480" i="8"/>
  <c r="F480" i="8" s="1"/>
  <c r="J479" i="8"/>
  <c r="H479" i="8"/>
  <c r="G479" i="8"/>
  <c r="I479" i="8" s="1"/>
  <c r="E479" i="8"/>
  <c r="F479" i="8" s="1"/>
  <c r="J478" i="8"/>
  <c r="H478" i="8"/>
  <c r="G478" i="8"/>
  <c r="I478" i="8" s="1"/>
  <c r="E478" i="8"/>
  <c r="F478" i="8" s="1"/>
  <c r="J477" i="8"/>
  <c r="H477" i="8"/>
  <c r="G477" i="8"/>
  <c r="I477" i="8" s="1"/>
  <c r="E477" i="8"/>
  <c r="F477" i="8" s="1"/>
  <c r="J476" i="8"/>
  <c r="H476" i="8"/>
  <c r="G476" i="8"/>
  <c r="I476" i="8" s="1"/>
  <c r="E476" i="8"/>
  <c r="F476" i="8" s="1"/>
  <c r="J475" i="8"/>
  <c r="H475" i="8"/>
  <c r="G475" i="8"/>
  <c r="I475" i="8" s="1"/>
  <c r="E475" i="8"/>
  <c r="F475" i="8" s="1"/>
  <c r="J474" i="8"/>
  <c r="H474" i="8"/>
  <c r="G474" i="8"/>
  <c r="I474" i="8" s="1"/>
  <c r="E474" i="8"/>
  <c r="F474" i="8" s="1"/>
  <c r="J473" i="8"/>
  <c r="H473" i="8"/>
  <c r="G473" i="8"/>
  <c r="I473" i="8" s="1"/>
  <c r="E473" i="8"/>
  <c r="F473" i="8" s="1"/>
  <c r="J472" i="8"/>
  <c r="H472" i="8"/>
  <c r="G472" i="8"/>
  <c r="I472" i="8" s="1"/>
  <c r="E472" i="8"/>
  <c r="F472" i="8" s="1"/>
  <c r="J471" i="8"/>
  <c r="H471" i="8"/>
  <c r="G471" i="8"/>
  <c r="I471" i="8" s="1"/>
  <c r="E471" i="8"/>
  <c r="F471" i="8" s="1"/>
  <c r="J470" i="8"/>
  <c r="H470" i="8"/>
  <c r="G470" i="8"/>
  <c r="I470" i="8" s="1"/>
  <c r="E470" i="8"/>
  <c r="F470" i="8" s="1"/>
  <c r="J469" i="8"/>
  <c r="H469" i="8"/>
  <c r="G469" i="8"/>
  <c r="I469" i="8" s="1"/>
  <c r="E469" i="8"/>
  <c r="F469" i="8" s="1"/>
  <c r="J468" i="8"/>
  <c r="H468" i="8"/>
  <c r="G468" i="8"/>
  <c r="I468" i="8" s="1"/>
  <c r="E468" i="8"/>
  <c r="F468" i="8" s="1"/>
  <c r="J467" i="8"/>
  <c r="H467" i="8"/>
  <c r="G467" i="8"/>
  <c r="I467" i="8" s="1"/>
  <c r="E467" i="8"/>
  <c r="F467" i="8" s="1"/>
  <c r="J466" i="8"/>
  <c r="H466" i="8"/>
  <c r="G466" i="8"/>
  <c r="I466" i="8" s="1"/>
  <c r="E466" i="8"/>
  <c r="F466" i="8" s="1"/>
  <c r="J465" i="8"/>
  <c r="H465" i="8"/>
  <c r="G465" i="8"/>
  <c r="I465" i="8" s="1"/>
  <c r="E465" i="8"/>
  <c r="F465" i="8" s="1"/>
  <c r="J464" i="8"/>
  <c r="H464" i="8"/>
  <c r="G464" i="8"/>
  <c r="I464" i="8" s="1"/>
  <c r="E464" i="8"/>
  <c r="F464" i="8" s="1"/>
  <c r="J463" i="8"/>
  <c r="H463" i="8"/>
  <c r="G463" i="8"/>
  <c r="I463" i="8" s="1"/>
  <c r="E463" i="8"/>
  <c r="F463" i="8" s="1"/>
  <c r="J462" i="8"/>
  <c r="H462" i="8"/>
  <c r="G462" i="8"/>
  <c r="I462" i="8" s="1"/>
  <c r="E462" i="8"/>
  <c r="F462" i="8" s="1"/>
  <c r="J461" i="8"/>
  <c r="H461" i="8"/>
  <c r="G461" i="8"/>
  <c r="I461" i="8" s="1"/>
  <c r="E461" i="8"/>
  <c r="F461" i="8" s="1"/>
  <c r="J460" i="8"/>
  <c r="H460" i="8"/>
  <c r="G460" i="8"/>
  <c r="I460" i="8" s="1"/>
  <c r="E460" i="8"/>
  <c r="F460" i="8" s="1"/>
  <c r="J459" i="8"/>
  <c r="H459" i="8"/>
  <c r="G459" i="8"/>
  <c r="I459" i="8" s="1"/>
  <c r="E459" i="8"/>
  <c r="F459" i="8" s="1"/>
  <c r="J458" i="8"/>
  <c r="H458" i="8"/>
  <c r="G458" i="8"/>
  <c r="I458" i="8" s="1"/>
  <c r="E458" i="8"/>
  <c r="F458" i="8" s="1"/>
  <c r="J457" i="8"/>
  <c r="H457" i="8"/>
  <c r="G457" i="8"/>
  <c r="I457" i="8" s="1"/>
  <c r="E457" i="8"/>
  <c r="F457" i="8" s="1"/>
  <c r="J456" i="8"/>
  <c r="H456" i="8"/>
  <c r="G456" i="8"/>
  <c r="I456" i="8" s="1"/>
  <c r="E456" i="8"/>
  <c r="F456" i="8" s="1"/>
  <c r="J455" i="8"/>
  <c r="H455" i="8"/>
  <c r="G455" i="8"/>
  <c r="I455" i="8" s="1"/>
  <c r="E455" i="8"/>
  <c r="F455" i="8" s="1"/>
  <c r="J454" i="8"/>
  <c r="H454" i="8"/>
  <c r="G454" i="8"/>
  <c r="I454" i="8" s="1"/>
  <c r="E454" i="8"/>
  <c r="F454" i="8" s="1"/>
  <c r="J453" i="8"/>
  <c r="H453" i="8"/>
  <c r="G453" i="8"/>
  <c r="I453" i="8" s="1"/>
  <c r="E453" i="8"/>
  <c r="F453" i="8" s="1"/>
  <c r="J452" i="8"/>
  <c r="H452" i="8"/>
  <c r="G452" i="8"/>
  <c r="I452" i="8" s="1"/>
  <c r="E452" i="8"/>
  <c r="F452" i="8" s="1"/>
  <c r="J451" i="8"/>
  <c r="H451" i="8"/>
  <c r="G451" i="8"/>
  <c r="I451" i="8" s="1"/>
  <c r="E451" i="8"/>
  <c r="F451" i="8" s="1"/>
  <c r="J450" i="8"/>
  <c r="H450" i="8"/>
  <c r="G450" i="8"/>
  <c r="I450" i="8" s="1"/>
  <c r="E450" i="8"/>
  <c r="F450" i="8" s="1"/>
  <c r="J449" i="8"/>
  <c r="H449" i="8"/>
  <c r="G449" i="8"/>
  <c r="I449" i="8" s="1"/>
  <c r="E449" i="8"/>
  <c r="F449" i="8" s="1"/>
  <c r="J448" i="8"/>
  <c r="H448" i="8"/>
  <c r="G448" i="8"/>
  <c r="I448" i="8" s="1"/>
  <c r="E448" i="8"/>
  <c r="F448" i="8" s="1"/>
  <c r="J447" i="8"/>
  <c r="H447" i="8"/>
  <c r="G447" i="8"/>
  <c r="I447" i="8" s="1"/>
  <c r="E447" i="8"/>
  <c r="F447" i="8" s="1"/>
  <c r="J446" i="8"/>
  <c r="H446" i="8"/>
  <c r="G446" i="8"/>
  <c r="I446" i="8" s="1"/>
  <c r="E446" i="8"/>
  <c r="F446" i="8" s="1"/>
  <c r="J445" i="8"/>
  <c r="H445" i="8"/>
  <c r="G445" i="8"/>
  <c r="I445" i="8" s="1"/>
  <c r="E445" i="8"/>
  <c r="F445" i="8" s="1"/>
  <c r="J444" i="8"/>
  <c r="H444" i="8"/>
  <c r="G444" i="8"/>
  <c r="I444" i="8" s="1"/>
  <c r="E444" i="8"/>
  <c r="F444" i="8" s="1"/>
  <c r="J443" i="8"/>
  <c r="H443" i="8"/>
  <c r="G443" i="8"/>
  <c r="I443" i="8" s="1"/>
  <c r="E443" i="8"/>
  <c r="F443" i="8" s="1"/>
  <c r="J442" i="8"/>
  <c r="H442" i="8"/>
  <c r="G442" i="8"/>
  <c r="I442" i="8" s="1"/>
  <c r="E442" i="8"/>
  <c r="F442" i="8" s="1"/>
  <c r="J441" i="8"/>
  <c r="H441" i="8"/>
  <c r="G441" i="8"/>
  <c r="I441" i="8" s="1"/>
  <c r="E441" i="8"/>
  <c r="F441" i="8" s="1"/>
  <c r="J440" i="8"/>
  <c r="H440" i="8"/>
  <c r="G440" i="8"/>
  <c r="I440" i="8" s="1"/>
  <c r="E440" i="8"/>
  <c r="F440" i="8" s="1"/>
  <c r="J439" i="8"/>
  <c r="H439" i="8"/>
  <c r="G439" i="8"/>
  <c r="I439" i="8" s="1"/>
  <c r="E439" i="8"/>
  <c r="F439" i="8" s="1"/>
  <c r="J438" i="8"/>
  <c r="H438" i="8"/>
  <c r="G438" i="8"/>
  <c r="I438" i="8" s="1"/>
  <c r="E438" i="8"/>
  <c r="F438" i="8" s="1"/>
  <c r="J437" i="8"/>
  <c r="H437" i="8"/>
  <c r="G437" i="8"/>
  <c r="I437" i="8" s="1"/>
  <c r="E437" i="8"/>
  <c r="F437" i="8" s="1"/>
  <c r="J436" i="8"/>
  <c r="H436" i="8"/>
  <c r="G436" i="8"/>
  <c r="I436" i="8" s="1"/>
  <c r="E436" i="8"/>
  <c r="F436" i="8" s="1"/>
  <c r="J435" i="8"/>
  <c r="H435" i="8"/>
  <c r="G435" i="8"/>
  <c r="I435" i="8" s="1"/>
  <c r="E435" i="8"/>
  <c r="F435" i="8" s="1"/>
  <c r="J434" i="8"/>
  <c r="H434" i="8"/>
  <c r="G434" i="8"/>
  <c r="I434" i="8" s="1"/>
  <c r="E434" i="8"/>
  <c r="F434" i="8" s="1"/>
  <c r="J433" i="8"/>
  <c r="H433" i="8"/>
  <c r="G433" i="8"/>
  <c r="I433" i="8" s="1"/>
  <c r="E433" i="8"/>
  <c r="F433" i="8" s="1"/>
  <c r="J432" i="8"/>
  <c r="H432" i="8"/>
  <c r="G432" i="8"/>
  <c r="I432" i="8" s="1"/>
  <c r="E432" i="8"/>
  <c r="F432" i="8" s="1"/>
  <c r="J431" i="8"/>
  <c r="H431" i="8"/>
  <c r="G431" i="8"/>
  <c r="I431" i="8" s="1"/>
  <c r="E431" i="8"/>
  <c r="F431" i="8" s="1"/>
  <c r="J430" i="8"/>
  <c r="H430" i="8"/>
  <c r="G430" i="8"/>
  <c r="I430" i="8" s="1"/>
  <c r="E430" i="8"/>
  <c r="F430" i="8" s="1"/>
  <c r="J429" i="8"/>
  <c r="H429" i="8"/>
  <c r="G429" i="8"/>
  <c r="I429" i="8" s="1"/>
  <c r="E429" i="8"/>
  <c r="F429" i="8" s="1"/>
  <c r="J428" i="8"/>
  <c r="H428" i="8"/>
  <c r="G428" i="8"/>
  <c r="I428" i="8" s="1"/>
  <c r="E428" i="8"/>
  <c r="F428" i="8" s="1"/>
  <c r="J427" i="8"/>
  <c r="H427" i="8"/>
  <c r="G427" i="8"/>
  <c r="I427" i="8" s="1"/>
  <c r="E427" i="8"/>
  <c r="F427" i="8" s="1"/>
  <c r="J426" i="8"/>
  <c r="H426" i="8"/>
  <c r="G426" i="8"/>
  <c r="I426" i="8" s="1"/>
  <c r="E426" i="8"/>
  <c r="F426" i="8" s="1"/>
  <c r="J425" i="8"/>
  <c r="H425" i="8"/>
  <c r="G425" i="8"/>
  <c r="I425" i="8" s="1"/>
  <c r="E425" i="8"/>
  <c r="F425" i="8" s="1"/>
  <c r="J424" i="8"/>
  <c r="H424" i="8"/>
  <c r="G424" i="8"/>
  <c r="I424" i="8" s="1"/>
  <c r="E424" i="8"/>
  <c r="F424" i="8" s="1"/>
  <c r="J423" i="8"/>
  <c r="H423" i="8"/>
  <c r="G423" i="8"/>
  <c r="I423" i="8" s="1"/>
  <c r="E423" i="8"/>
  <c r="F423" i="8" s="1"/>
  <c r="J422" i="8"/>
  <c r="H422" i="8"/>
  <c r="G422" i="8"/>
  <c r="I422" i="8" s="1"/>
  <c r="E422" i="8"/>
  <c r="F422" i="8" s="1"/>
  <c r="J421" i="8"/>
  <c r="H421" i="8"/>
  <c r="G421" i="8"/>
  <c r="I421" i="8" s="1"/>
  <c r="E421" i="8"/>
  <c r="F421" i="8" s="1"/>
  <c r="J420" i="8"/>
  <c r="H420" i="8"/>
  <c r="G420" i="8"/>
  <c r="I420" i="8" s="1"/>
  <c r="E420" i="8"/>
  <c r="F420" i="8" s="1"/>
  <c r="J419" i="8"/>
  <c r="H419" i="8"/>
  <c r="G419" i="8"/>
  <c r="I419" i="8" s="1"/>
  <c r="E419" i="8"/>
  <c r="F419" i="8" s="1"/>
  <c r="J418" i="8"/>
  <c r="H418" i="8"/>
  <c r="G418" i="8"/>
  <c r="I418" i="8" s="1"/>
  <c r="E418" i="8"/>
  <c r="F418" i="8" s="1"/>
  <c r="J417" i="8"/>
  <c r="H417" i="8"/>
  <c r="G417" i="8"/>
  <c r="I417" i="8" s="1"/>
  <c r="E417" i="8"/>
  <c r="F417" i="8" s="1"/>
  <c r="J416" i="8"/>
  <c r="H416" i="8"/>
  <c r="G416" i="8"/>
  <c r="I416" i="8" s="1"/>
  <c r="E416" i="8"/>
  <c r="F416" i="8" s="1"/>
  <c r="J415" i="8"/>
  <c r="H415" i="8"/>
  <c r="G415" i="8"/>
  <c r="I415" i="8" s="1"/>
  <c r="E415" i="8"/>
  <c r="F415" i="8" s="1"/>
  <c r="J414" i="8"/>
  <c r="H414" i="8"/>
  <c r="G414" i="8"/>
  <c r="I414" i="8" s="1"/>
  <c r="E414" i="8"/>
  <c r="F414" i="8" s="1"/>
  <c r="J413" i="8"/>
  <c r="H413" i="8"/>
  <c r="G413" i="8"/>
  <c r="I413" i="8" s="1"/>
  <c r="E413" i="8"/>
  <c r="F413" i="8" s="1"/>
  <c r="J412" i="8"/>
  <c r="H412" i="8"/>
  <c r="G412" i="8"/>
  <c r="I412" i="8" s="1"/>
  <c r="E412" i="8"/>
  <c r="F412" i="8" s="1"/>
  <c r="J411" i="8"/>
  <c r="H411" i="8"/>
  <c r="G411" i="8"/>
  <c r="I411" i="8" s="1"/>
  <c r="E411" i="8"/>
  <c r="F411" i="8" s="1"/>
  <c r="J410" i="8"/>
  <c r="H410" i="8"/>
  <c r="G410" i="8"/>
  <c r="I410" i="8" s="1"/>
  <c r="E410" i="8"/>
  <c r="F410" i="8" s="1"/>
  <c r="J409" i="8"/>
  <c r="H409" i="8"/>
  <c r="G409" i="8"/>
  <c r="I409" i="8" s="1"/>
  <c r="E409" i="8"/>
  <c r="F409" i="8" s="1"/>
  <c r="J408" i="8"/>
  <c r="H408" i="8"/>
  <c r="G408" i="8"/>
  <c r="I408" i="8" s="1"/>
  <c r="E408" i="8"/>
  <c r="F408" i="8" s="1"/>
  <c r="J407" i="8"/>
  <c r="H407" i="8"/>
  <c r="G407" i="8"/>
  <c r="I407" i="8" s="1"/>
  <c r="E407" i="8"/>
  <c r="F407" i="8" s="1"/>
  <c r="J406" i="8"/>
  <c r="H406" i="8"/>
  <c r="G406" i="8"/>
  <c r="I406" i="8" s="1"/>
  <c r="E406" i="8"/>
  <c r="F406" i="8" s="1"/>
  <c r="J405" i="8"/>
  <c r="H405" i="8"/>
  <c r="G405" i="8"/>
  <c r="I405" i="8" s="1"/>
  <c r="E405" i="8"/>
  <c r="F405" i="8" s="1"/>
  <c r="J404" i="8"/>
  <c r="H404" i="8"/>
  <c r="G404" i="8"/>
  <c r="I404" i="8" s="1"/>
  <c r="E404" i="8"/>
  <c r="F404" i="8" s="1"/>
  <c r="J403" i="8"/>
  <c r="H403" i="8"/>
  <c r="G403" i="8"/>
  <c r="I403" i="8" s="1"/>
  <c r="E403" i="8"/>
  <c r="F403" i="8" s="1"/>
  <c r="J402" i="8"/>
  <c r="H402" i="8"/>
  <c r="G402" i="8"/>
  <c r="I402" i="8" s="1"/>
  <c r="E402" i="8"/>
  <c r="F402" i="8" s="1"/>
  <c r="J401" i="8"/>
  <c r="H401" i="8"/>
  <c r="G401" i="8"/>
  <c r="I401" i="8" s="1"/>
  <c r="E401" i="8"/>
  <c r="F401" i="8" s="1"/>
  <c r="J400" i="8"/>
  <c r="H400" i="8"/>
  <c r="G400" i="8"/>
  <c r="I400" i="8" s="1"/>
  <c r="E400" i="8"/>
  <c r="F400" i="8" s="1"/>
  <c r="J399" i="8"/>
  <c r="H399" i="8"/>
  <c r="G399" i="8"/>
  <c r="I399" i="8" s="1"/>
  <c r="E399" i="8"/>
  <c r="F399" i="8" s="1"/>
  <c r="J398" i="8"/>
  <c r="H398" i="8"/>
  <c r="G398" i="8"/>
  <c r="I398" i="8" s="1"/>
  <c r="E398" i="8"/>
  <c r="F398" i="8" s="1"/>
  <c r="J397" i="8"/>
  <c r="H397" i="8"/>
  <c r="G397" i="8"/>
  <c r="I397" i="8" s="1"/>
  <c r="E397" i="8"/>
  <c r="F397" i="8" s="1"/>
  <c r="J396" i="8"/>
  <c r="I396" i="8"/>
  <c r="H396" i="8"/>
  <c r="G396" i="8"/>
  <c r="E396" i="8"/>
  <c r="F396" i="8" s="1"/>
  <c r="J395" i="8"/>
  <c r="H395" i="8"/>
  <c r="G395" i="8"/>
  <c r="I395" i="8" s="1"/>
  <c r="E395" i="8"/>
  <c r="F395" i="8" s="1"/>
  <c r="J394" i="8"/>
  <c r="H394" i="8"/>
  <c r="G394" i="8"/>
  <c r="I394" i="8" s="1"/>
  <c r="E394" i="8"/>
  <c r="F394" i="8" s="1"/>
  <c r="J393" i="8"/>
  <c r="H393" i="8"/>
  <c r="G393" i="8"/>
  <c r="I393" i="8" s="1"/>
  <c r="E393" i="8"/>
  <c r="F393" i="8" s="1"/>
  <c r="J392" i="8"/>
  <c r="H392" i="8"/>
  <c r="G392" i="8"/>
  <c r="I392" i="8" s="1"/>
  <c r="E392" i="8"/>
  <c r="F392" i="8" s="1"/>
  <c r="J391" i="8"/>
  <c r="H391" i="8"/>
  <c r="G391" i="8"/>
  <c r="I391" i="8" s="1"/>
  <c r="E391" i="8"/>
  <c r="F391" i="8" s="1"/>
  <c r="J390" i="8"/>
  <c r="H390" i="8"/>
  <c r="G390" i="8"/>
  <c r="I390" i="8" s="1"/>
  <c r="E390" i="8"/>
  <c r="F390" i="8" s="1"/>
  <c r="J389" i="8"/>
  <c r="H389" i="8"/>
  <c r="G389" i="8"/>
  <c r="I389" i="8" s="1"/>
  <c r="E389" i="8"/>
  <c r="F389" i="8" s="1"/>
  <c r="J388" i="8"/>
  <c r="H388" i="8"/>
  <c r="G388" i="8"/>
  <c r="I388" i="8" s="1"/>
  <c r="E388" i="8"/>
  <c r="F388" i="8" s="1"/>
  <c r="J387" i="8"/>
  <c r="H387" i="8"/>
  <c r="G387" i="8"/>
  <c r="I387" i="8" s="1"/>
  <c r="E387" i="8"/>
  <c r="F387" i="8" s="1"/>
  <c r="J386" i="8"/>
  <c r="H386" i="8"/>
  <c r="G386" i="8"/>
  <c r="I386" i="8" s="1"/>
  <c r="E386" i="8"/>
  <c r="F386" i="8" s="1"/>
  <c r="J385" i="8"/>
  <c r="H385" i="8"/>
  <c r="G385" i="8"/>
  <c r="I385" i="8" s="1"/>
  <c r="E385" i="8"/>
  <c r="F385" i="8" s="1"/>
  <c r="J384" i="8"/>
  <c r="H384" i="8"/>
  <c r="G384" i="8"/>
  <c r="I384" i="8" s="1"/>
  <c r="E384" i="8"/>
  <c r="F384" i="8" s="1"/>
  <c r="J383" i="8"/>
  <c r="H383" i="8"/>
  <c r="G383" i="8"/>
  <c r="I383" i="8" s="1"/>
  <c r="E383" i="8"/>
  <c r="F383" i="8" s="1"/>
  <c r="J382" i="8"/>
  <c r="H382" i="8"/>
  <c r="G382" i="8"/>
  <c r="I382" i="8" s="1"/>
  <c r="E382" i="8"/>
  <c r="F382" i="8" s="1"/>
  <c r="J381" i="8"/>
  <c r="H381" i="8"/>
  <c r="G381" i="8"/>
  <c r="I381" i="8" s="1"/>
  <c r="E381" i="8"/>
  <c r="F381" i="8" s="1"/>
  <c r="J380" i="8"/>
  <c r="H380" i="8"/>
  <c r="G380" i="8"/>
  <c r="I380" i="8" s="1"/>
  <c r="E380" i="8"/>
  <c r="F380" i="8" s="1"/>
  <c r="J379" i="8"/>
  <c r="H379" i="8"/>
  <c r="G379" i="8"/>
  <c r="I379" i="8" s="1"/>
  <c r="E379" i="8"/>
  <c r="F379" i="8" s="1"/>
  <c r="J378" i="8"/>
  <c r="H378" i="8"/>
  <c r="G378" i="8"/>
  <c r="I378" i="8" s="1"/>
  <c r="E378" i="8"/>
  <c r="F378" i="8" s="1"/>
  <c r="J377" i="8"/>
  <c r="H377" i="8"/>
  <c r="G377" i="8"/>
  <c r="I377" i="8" s="1"/>
  <c r="E377" i="8"/>
  <c r="F377" i="8" s="1"/>
  <c r="J376" i="8"/>
  <c r="H376" i="8"/>
  <c r="G376" i="8"/>
  <c r="I376" i="8" s="1"/>
  <c r="E376" i="8"/>
  <c r="F376" i="8" s="1"/>
  <c r="J375" i="8"/>
  <c r="H375" i="8"/>
  <c r="G375" i="8"/>
  <c r="I375" i="8" s="1"/>
  <c r="E375" i="8"/>
  <c r="F375" i="8" s="1"/>
  <c r="J374" i="8"/>
  <c r="H374" i="8"/>
  <c r="G374" i="8"/>
  <c r="I374" i="8" s="1"/>
  <c r="E374" i="8"/>
  <c r="F374" i="8" s="1"/>
  <c r="J373" i="8"/>
  <c r="H373" i="8"/>
  <c r="G373" i="8"/>
  <c r="I373" i="8" s="1"/>
  <c r="E373" i="8"/>
  <c r="F373" i="8" s="1"/>
  <c r="J372" i="8"/>
  <c r="H372" i="8"/>
  <c r="G372" i="8"/>
  <c r="I372" i="8" s="1"/>
  <c r="E372" i="8"/>
  <c r="F372" i="8" s="1"/>
  <c r="J371" i="8"/>
  <c r="H371" i="8"/>
  <c r="G371" i="8"/>
  <c r="I371" i="8" s="1"/>
  <c r="E371" i="8"/>
  <c r="F371" i="8" s="1"/>
  <c r="J370" i="8"/>
  <c r="H370" i="8"/>
  <c r="G370" i="8"/>
  <c r="I370" i="8" s="1"/>
  <c r="E370" i="8"/>
  <c r="F370" i="8" s="1"/>
  <c r="J369" i="8"/>
  <c r="H369" i="8"/>
  <c r="G369" i="8"/>
  <c r="I369" i="8" s="1"/>
  <c r="E369" i="8"/>
  <c r="F369" i="8" s="1"/>
  <c r="J368" i="8"/>
  <c r="H368" i="8"/>
  <c r="G368" i="8"/>
  <c r="I368" i="8" s="1"/>
  <c r="E368" i="8"/>
  <c r="F368" i="8" s="1"/>
  <c r="J367" i="8"/>
  <c r="H367" i="8"/>
  <c r="G367" i="8"/>
  <c r="I367" i="8" s="1"/>
  <c r="E367" i="8"/>
  <c r="F367" i="8" s="1"/>
  <c r="J366" i="8"/>
  <c r="H366" i="8"/>
  <c r="G366" i="8"/>
  <c r="I366" i="8" s="1"/>
  <c r="E366" i="8"/>
  <c r="F366" i="8" s="1"/>
  <c r="J365" i="8"/>
  <c r="H365" i="8"/>
  <c r="G365" i="8"/>
  <c r="I365" i="8" s="1"/>
  <c r="E365" i="8"/>
  <c r="F365" i="8" s="1"/>
  <c r="J364" i="8"/>
  <c r="H364" i="8"/>
  <c r="G364" i="8"/>
  <c r="I364" i="8" s="1"/>
  <c r="E364" i="8"/>
  <c r="F364" i="8" s="1"/>
  <c r="J363" i="8"/>
  <c r="H363" i="8"/>
  <c r="G363" i="8"/>
  <c r="I363" i="8" s="1"/>
  <c r="E363" i="8"/>
  <c r="F363" i="8" s="1"/>
  <c r="J362" i="8"/>
  <c r="H362" i="8"/>
  <c r="G362" i="8"/>
  <c r="I362" i="8" s="1"/>
  <c r="E362" i="8"/>
  <c r="F362" i="8" s="1"/>
  <c r="J361" i="8"/>
  <c r="H361" i="8"/>
  <c r="G361" i="8"/>
  <c r="I361" i="8" s="1"/>
  <c r="E361" i="8"/>
  <c r="F361" i="8" s="1"/>
  <c r="J360" i="8"/>
  <c r="H360" i="8"/>
  <c r="G360" i="8"/>
  <c r="I360" i="8" s="1"/>
  <c r="E360" i="8"/>
  <c r="F360" i="8" s="1"/>
  <c r="J359" i="8"/>
  <c r="H359" i="8"/>
  <c r="G359" i="8"/>
  <c r="I359" i="8" s="1"/>
  <c r="E359" i="8"/>
  <c r="F359" i="8" s="1"/>
  <c r="J358" i="8"/>
  <c r="H358" i="8"/>
  <c r="G358" i="8"/>
  <c r="I358" i="8" s="1"/>
  <c r="E358" i="8"/>
  <c r="F358" i="8" s="1"/>
  <c r="J357" i="8"/>
  <c r="H357" i="8"/>
  <c r="G357" i="8"/>
  <c r="I357" i="8" s="1"/>
  <c r="E357" i="8"/>
  <c r="F357" i="8" s="1"/>
  <c r="J356" i="8"/>
  <c r="H356" i="8"/>
  <c r="G356" i="8"/>
  <c r="I356" i="8" s="1"/>
  <c r="E356" i="8"/>
  <c r="F356" i="8" s="1"/>
  <c r="J355" i="8"/>
  <c r="H355" i="8"/>
  <c r="G355" i="8"/>
  <c r="I355" i="8" s="1"/>
  <c r="E355" i="8"/>
  <c r="F355" i="8" s="1"/>
  <c r="J354" i="8"/>
  <c r="H354" i="8"/>
  <c r="G354" i="8"/>
  <c r="I354" i="8" s="1"/>
  <c r="E354" i="8"/>
  <c r="F354" i="8" s="1"/>
  <c r="J353" i="8"/>
  <c r="H353" i="8"/>
  <c r="G353" i="8"/>
  <c r="I353" i="8" s="1"/>
  <c r="E353" i="8"/>
  <c r="F353" i="8" s="1"/>
  <c r="J352" i="8"/>
  <c r="H352" i="8"/>
  <c r="G352" i="8"/>
  <c r="I352" i="8" s="1"/>
  <c r="E352" i="8"/>
  <c r="F352" i="8" s="1"/>
  <c r="J351" i="8"/>
  <c r="H351" i="8"/>
  <c r="G351" i="8"/>
  <c r="I351" i="8" s="1"/>
  <c r="E351" i="8"/>
  <c r="F351" i="8" s="1"/>
  <c r="J350" i="8"/>
  <c r="H350" i="8"/>
  <c r="G350" i="8"/>
  <c r="I350" i="8" s="1"/>
  <c r="E350" i="8"/>
  <c r="F350" i="8" s="1"/>
  <c r="J349" i="8"/>
  <c r="H349" i="8"/>
  <c r="G349" i="8"/>
  <c r="I349" i="8" s="1"/>
  <c r="E349" i="8"/>
  <c r="F349" i="8" s="1"/>
  <c r="J348" i="8"/>
  <c r="H348" i="8"/>
  <c r="G348" i="8"/>
  <c r="I348" i="8" s="1"/>
  <c r="E348" i="8"/>
  <c r="F348" i="8" s="1"/>
  <c r="J347" i="8"/>
  <c r="H347" i="8"/>
  <c r="G347" i="8"/>
  <c r="I347" i="8" s="1"/>
  <c r="E347" i="8"/>
  <c r="F347" i="8" s="1"/>
  <c r="J346" i="8"/>
  <c r="H346" i="8"/>
  <c r="G346" i="8"/>
  <c r="I346" i="8" s="1"/>
  <c r="E346" i="8"/>
  <c r="F346" i="8" s="1"/>
  <c r="J345" i="8"/>
  <c r="H345" i="8"/>
  <c r="G345" i="8"/>
  <c r="I345" i="8" s="1"/>
  <c r="E345" i="8"/>
  <c r="F345" i="8" s="1"/>
  <c r="J344" i="8"/>
  <c r="H344" i="8"/>
  <c r="G344" i="8"/>
  <c r="I344" i="8" s="1"/>
  <c r="E344" i="8"/>
  <c r="F344" i="8" s="1"/>
  <c r="J343" i="8"/>
  <c r="H343" i="8"/>
  <c r="G343" i="8"/>
  <c r="I343" i="8" s="1"/>
  <c r="E343" i="8"/>
  <c r="F343" i="8" s="1"/>
  <c r="J342" i="8"/>
  <c r="H342" i="8"/>
  <c r="G342" i="8"/>
  <c r="I342" i="8" s="1"/>
  <c r="E342" i="8"/>
  <c r="F342" i="8" s="1"/>
  <c r="J341" i="8"/>
  <c r="H341" i="8"/>
  <c r="G341" i="8"/>
  <c r="I341" i="8" s="1"/>
  <c r="E341" i="8"/>
  <c r="F341" i="8" s="1"/>
  <c r="J340" i="8"/>
  <c r="H340" i="8"/>
  <c r="G340" i="8"/>
  <c r="I340" i="8" s="1"/>
  <c r="E340" i="8"/>
  <c r="F340" i="8" s="1"/>
  <c r="J339" i="8"/>
  <c r="H339" i="8"/>
  <c r="G339" i="8"/>
  <c r="I339" i="8" s="1"/>
  <c r="E339" i="8"/>
  <c r="F339" i="8" s="1"/>
  <c r="J338" i="8"/>
  <c r="H338" i="8"/>
  <c r="G338" i="8"/>
  <c r="I338" i="8" s="1"/>
  <c r="E338" i="8"/>
  <c r="F338" i="8" s="1"/>
  <c r="J337" i="8"/>
  <c r="H337" i="8"/>
  <c r="G337" i="8"/>
  <c r="I337" i="8" s="1"/>
  <c r="E337" i="8"/>
  <c r="F337" i="8" s="1"/>
  <c r="J336" i="8"/>
  <c r="H336" i="8"/>
  <c r="G336" i="8"/>
  <c r="I336" i="8" s="1"/>
  <c r="E336" i="8"/>
  <c r="F336" i="8" s="1"/>
  <c r="J335" i="8"/>
  <c r="H335" i="8"/>
  <c r="G335" i="8"/>
  <c r="I335" i="8" s="1"/>
  <c r="E335" i="8"/>
  <c r="F335" i="8" s="1"/>
  <c r="J334" i="8"/>
  <c r="H334" i="8"/>
  <c r="G334" i="8"/>
  <c r="I334" i="8" s="1"/>
  <c r="E334" i="8"/>
  <c r="F334" i="8" s="1"/>
  <c r="J333" i="8"/>
  <c r="H333" i="8"/>
  <c r="G333" i="8"/>
  <c r="I333" i="8" s="1"/>
  <c r="E333" i="8"/>
  <c r="F333" i="8" s="1"/>
  <c r="J332" i="8"/>
  <c r="H332" i="8"/>
  <c r="G332" i="8"/>
  <c r="I332" i="8" s="1"/>
  <c r="E332" i="8"/>
  <c r="F332" i="8" s="1"/>
  <c r="J331" i="8"/>
  <c r="H331" i="8"/>
  <c r="G331" i="8"/>
  <c r="I331" i="8" s="1"/>
  <c r="E331" i="8"/>
  <c r="F331" i="8" s="1"/>
  <c r="J330" i="8"/>
  <c r="H330" i="8"/>
  <c r="G330" i="8"/>
  <c r="I330" i="8" s="1"/>
  <c r="E330" i="8"/>
  <c r="F330" i="8" s="1"/>
  <c r="J329" i="8"/>
  <c r="H329" i="8"/>
  <c r="G329" i="8"/>
  <c r="I329" i="8" s="1"/>
  <c r="E329" i="8"/>
  <c r="F329" i="8" s="1"/>
  <c r="J328" i="8"/>
  <c r="H328" i="8"/>
  <c r="G328" i="8"/>
  <c r="I328" i="8" s="1"/>
  <c r="E328" i="8"/>
  <c r="F328" i="8" s="1"/>
  <c r="J327" i="8"/>
  <c r="H327" i="8"/>
  <c r="G327" i="8"/>
  <c r="I327" i="8" s="1"/>
  <c r="E327" i="8"/>
  <c r="F327" i="8" s="1"/>
  <c r="J326" i="8"/>
  <c r="H326" i="8"/>
  <c r="G326" i="8"/>
  <c r="I326" i="8" s="1"/>
  <c r="E326" i="8"/>
  <c r="F326" i="8" s="1"/>
  <c r="J325" i="8"/>
  <c r="H325" i="8"/>
  <c r="G325" i="8"/>
  <c r="I325" i="8" s="1"/>
  <c r="E325" i="8"/>
  <c r="F325" i="8" s="1"/>
  <c r="J324" i="8"/>
  <c r="H324" i="8"/>
  <c r="G324" i="8"/>
  <c r="I324" i="8" s="1"/>
  <c r="E324" i="8"/>
  <c r="F324" i="8" s="1"/>
  <c r="J323" i="8"/>
  <c r="H323" i="8"/>
  <c r="G323" i="8"/>
  <c r="I323" i="8" s="1"/>
  <c r="E323" i="8"/>
  <c r="F323" i="8" s="1"/>
  <c r="J322" i="8"/>
  <c r="H322" i="8"/>
  <c r="G322" i="8"/>
  <c r="I322" i="8" s="1"/>
  <c r="E322" i="8"/>
  <c r="F322" i="8" s="1"/>
  <c r="J321" i="8"/>
  <c r="H321" i="8"/>
  <c r="G321" i="8"/>
  <c r="I321" i="8" s="1"/>
  <c r="E321" i="8"/>
  <c r="F321" i="8" s="1"/>
  <c r="J320" i="8"/>
  <c r="H320" i="8"/>
  <c r="G320" i="8"/>
  <c r="I320" i="8" s="1"/>
  <c r="E320" i="8"/>
  <c r="F320" i="8" s="1"/>
  <c r="J319" i="8"/>
  <c r="H319" i="8"/>
  <c r="G319" i="8"/>
  <c r="I319" i="8" s="1"/>
  <c r="E319" i="8"/>
  <c r="F319" i="8" s="1"/>
  <c r="J318" i="8"/>
  <c r="H318" i="8"/>
  <c r="G318" i="8"/>
  <c r="I318" i="8" s="1"/>
  <c r="E318" i="8"/>
  <c r="F318" i="8" s="1"/>
  <c r="J317" i="8"/>
  <c r="H317" i="8"/>
  <c r="G317" i="8"/>
  <c r="I317" i="8" s="1"/>
  <c r="E317" i="8"/>
  <c r="F317" i="8" s="1"/>
  <c r="J316" i="8"/>
  <c r="H316" i="8"/>
  <c r="G316" i="8"/>
  <c r="I316" i="8" s="1"/>
  <c r="E316" i="8"/>
  <c r="F316" i="8" s="1"/>
  <c r="J315" i="8"/>
  <c r="H315" i="8"/>
  <c r="G315" i="8"/>
  <c r="I315" i="8" s="1"/>
  <c r="E315" i="8"/>
  <c r="F315" i="8" s="1"/>
  <c r="J314" i="8"/>
  <c r="H314" i="8"/>
  <c r="G314" i="8"/>
  <c r="I314" i="8" s="1"/>
  <c r="E314" i="8"/>
  <c r="F314" i="8" s="1"/>
  <c r="J313" i="8"/>
  <c r="H313" i="8"/>
  <c r="G313" i="8"/>
  <c r="I313" i="8" s="1"/>
  <c r="E313" i="8"/>
  <c r="F313" i="8" s="1"/>
  <c r="J312" i="8"/>
  <c r="H312" i="8"/>
  <c r="G312" i="8"/>
  <c r="I312" i="8" s="1"/>
  <c r="E312" i="8"/>
  <c r="F312" i="8" s="1"/>
  <c r="J311" i="8"/>
  <c r="H311" i="8"/>
  <c r="G311" i="8"/>
  <c r="I311" i="8" s="1"/>
  <c r="E311" i="8"/>
  <c r="F311" i="8" s="1"/>
  <c r="J310" i="8"/>
  <c r="H310" i="8"/>
  <c r="G310" i="8"/>
  <c r="I310" i="8" s="1"/>
  <c r="E310" i="8"/>
  <c r="F310" i="8" s="1"/>
  <c r="J309" i="8"/>
  <c r="H309" i="8"/>
  <c r="G309" i="8"/>
  <c r="I309" i="8" s="1"/>
  <c r="E309" i="8"/>
  <c r="F309" i="8" s="1"/>
  <c r="J308" i="8"/>
  <c r="H308" i="8"/>
  <c r="G308" i="8"/>
  <c r="I308" i="8" s="1"/>
  <c r="E308" i="8"/>
  <c r="F308" i="8" s="1"/>
  <c r="J307" i="8"/>
  <c r="H307" i="8"/>
  <c r="G307" i="8"/>
  <c r="I307" i="8" s="1"/>
  <c r="E307" i="8"/>
  <c r="F307" i="8" s="1"/>
  <c r="J306" i="8"/>
  <c r="H306" i="8"/>
  <c r="G306" i="8"/>
  <c r="I306" i="8" s="1"/>
  <c r="E306" i="8"/>
  <c r="F306" i="8" s="1"/>
  <c r="J305" i="8"/>
  <c r="H305" i="8"/>
  <c r="G305" i="8"/>
  <c r="I305" i="8" s="1"/>
  <c r="E305" i="8"/>
  <c r="F305" i="8" s="1"/>
  <c r="J304" i="8"/>
  <c r="H304" i="8"/>
  <c r="G304" i="8"/>
  <c r="I304" i="8" s="1"/>
  <c r="E304" i="8"/>
  <c r="F304" i="8" s="1"/>
  <c r="J303" i="8"/>
  <c r="H303" i="8"/>
  <c r="G303" i="8"/>
  <c r="I303" i="8" s="1"/>
  <c r="E303" i="8"/>
  <c r="F303" i="8" s="1"/>
  <c r="J302" i="8"/>
  <c r="H302" i="8"/>
  <c r="G302" i="8"/>
  <c r="I302" i="8" s="1"/>
  <c r="E302" i="8"/>
  <c r="F302" i="8" s="1"/>
  <c r="J301" i="8"/>
  <c r="H301" i="8"/>
  <c r="G301" i="8"/>
  <c r="I301" i="8" s="1"/>
  <c r="E301" i="8"/>
  <c r="F301" i="8" s="1"/>
  <c r="J300" i="8"/>
  <c r="H300" i="8"/>
  <c r="G300" i="8"/>
  <c r="I300" i="8" s="1"/>
  <c r="E300" i="8"/>
  <c r="F300" i="8" s="1"/>
  <c r="J299" i="8"/>
  <c r="H299" i="8"/>
  <c r="G299" i="8"/>
  <c r="I299" i="8" s="1"/>
  <c r="E299" i="8"/>
  <c r="F299" i="8" s="1"/>
  <c r="J298" i="8"/>
  <c r="H298" i="8"/>
  <c r="G298" i="8"/>
  <c r="I298" i="8" s="1"/>
  <c r="E298" i="8"/>
  <c r="F298" i="8" s="1"/>
  <c r="J297" i="8"/>
  <c r="H297" i="8"/>
  <c r="G297" i="8"/>
  <c r="I297" i="8" s="1"/>
  <c r="E297" i="8"/>
  <c r="F297" i="8" s="1"/>
  <c r="J296" i="8"/>
  <c r="H296" i="8"/>
  <c r="G296" i="8"/>
  <c r="I296" i="8" s="1"/>
  <c r="E296" i="8"/>
  <c r="F296" i="8" s="1"/>
  <c r="J295" i="8"/>
  <c r="H295" i="8"/>
  <c r="G295" i="8"/>
  <c r="I295" i="8" s="1"/>
  <c r="E295" i="8"/>
  <c r="F295" i="8" s="1"/>
  <c r="J294" i="8"/>
  <c r="H294" i="8"/>
  <c r="G294" i="8"/>
  <c r="I294" i="8" s="1"/>
  <c r="E294" i="8"/>
  <c r="F294" i="8" s="1"/>
  <c r="J293" i="8"/>
  <c r="H293" i="8"/>
  <c r="G293" i="8"/>
  <c r="I293" i="8" s="1"/>
  <c r="E293" i="8"/>
  <c r="F293" i="8" s="1"/>
  <c r="J292" i="8"/>
  <c r="H292" i="8"/>
  <c r="G292" i="8"/>
  <c r="I292" i="8" s="1"/>
  <c r="E292" i="8"/>
  <c r="F292" i="8" s="1"/>
  <c r="J291" i="8"/>
  <c r="H291" i="8"/>
  <c r="G291" i="8"/>
  <c r="I291" i="8" s="1"/>
  <c r="E291" i="8"/>
  <c r="F291" i="8" s="1"/>
  <c r="J290" i="8"/>
  <c r="H290" i="8"/>
  <c r="G290" i="8"/>
  <c r="I290" i="8" s="1"/>
  <c r="E290" i="8"/>
  <c r="F290" i="8" s="1"/>
  <c r="J289" i="8"/>
  <c r="H289" i="8"/>
  <c r="G289" i="8"/>
  <c r="I289" i="8" s="1"/>
  <c r="E289" i="8"/>
  <c r="F289" i="8" s="1"/>
  <c r="J288" i="8"/>
  <c r="H288" i="8"/>
  <c r="G288" i="8"/>
  <c r="I288" i="8" s="1"/>
  <c r="E288" i="8"/>
  <c r="F288" i="8" s="1"/>
  <c r="J287" i="8"/>
  <c r="H287" i="8"/>
  <c r="G287" i="8"/>
  <c r="I287" i="8" s="1"/>
  <c r="E287" i="8"/>
  <c r="F287" i="8" s="1"/>
  <c r="J286" i="8"/>
  <c r="H286" i="8"/>
  <c r="G286" i="8"/>
  <c r="I286" i="8" s="1"/>
  <c r="E286" i="8"/>
  <c r="F286" i="8" s="1"/>
  <c r="J285" i="8"/>
  <c r="H285" i="8"/>
  <c r="G285" i="8"/>
  <c r="I285" i="8" s="1"/>
  <c r="E285" i="8"/>
  <c r="F285" i="8" s="1"/>
  <c r="J284" i="8"/>
  <c r="H284" i="8"/>
  <c r="G284" i="8"/>
  <c r="I284" i="8" s="1"/>
  <c r="E284" i="8"/>
  <c r="F284" i="8" s="1"/>
  <c r="J283" i="8"/>
  <c r="H283" i="8"/>
  <c r="G283" i="8"/>
  <c r="I283" i="8" s="1"/>
  <c r="E283" i="8"/>
  <c r="F283" i="8" s="1"/>
  <c r="J282" i="8"/>
  <c r="H282" i="8"/>
  <c r="G282" i="8"/>
  <c r="I282" i="8" s="1"/>
  <c r="E282" i="8"/>
  <c r="F282" i="8" s="1"/>
  <c r="J281" i="8"/>
  <c r="H281" i="8"/>
  <c r="G281" i="8"/>
  <c r="I281" i="8" s="1"/>
  <c r="E281" i="8"/>
  <c r="F281" i="8" s="1"/>
  <c r="J280" i="8"/>
  <c r="H280" i="8"/>
  <c r="G280" i="8"/>
  <c r="I280" i="8" s="1"/>
  <c r="E280" i="8"/>
  <c r="F280" i="8" s="1"/>
  <c r="J279" i="8"/>
  <c r="H279" i="8"/>
  <c r="G279" i="8"/>
  <c r="I279" i="8" s="1"/>
  <c r="E279" i="8"/>
  <c r="F279" i="8" s="1"/>
  <c r="J278" i="8"/>
  <c r="H278" i="8"/>
  <c r="G278" i="8"/>
  <c r="I278" i="8" s="1"/>
  <c r="E278" i="8"/>
  <c r="F278" i="8" s="1"/>
  <c r="J277" i="8"/>
  <c r="H277" i="8"/>
  <c r="G277" i="8"/>
  <c r="I277" i="8" s="1"/>
  <c r="E277" i="8"/>
  <c r="F277" i="8" s="1"/>
  <c r="J276" i="8"/>
  <c r="H276" i="8"/>
  <c r="G276" i="8"/>
  <c r="I276" i="8" s="1"/>
  <c r="E276" i="8"/>
  <c r="F276" i="8" s="1"/>
  <c r="J275" i="8"/>
  <c r="H275" i="8"/>
  <c r="G275" i="8"/>
  <c r="I275" i="8" s="1"/>
  <c r="E275" i="8"/>
  <c r="F275" i="8" s="1"/>
  <c r="J274" i="8"/>
  <c r="H274" i="8"/>
  <c r="G274" i="8"/>
  <c r="I274" i="8" s="1"/>
  <c r="E274" i="8"/>
  <c r="F274" i="8" s="1"/>
  <c r="J273" i="8"/>
  <c r="H273" i="8"/>
  <c r="G273" i="8"/>
  <c r="I273" i="8" s="1"/>
  <c r="E273" i="8"/>
  <c r="F273" i="8" s="1"/>
  <c r="J272" i="8"/>
  <c r="H272" i="8"/>
  <c r="G272" i="8"/>
  <c r="I272" i="8" s="1"/>
  <c r="E272" i="8"/>
  <c r="F272" i="8" s="1"/>
  <c r="J271" i="8"/>
  <c r="H271" i="8"/>
  <c r="G271" i="8"/>
  <c r="I271" i="8" s="1"/>
  <c r="E271" i="8"/>
  <c r="F271" i="8" s="1"/>
  <c r="J270" i="8"/>
  <c r="H270" i="8"/>
  <c r="G270" i="8"/>
  <c r="I270" i="8" s="1"/>
  <c r="E270" i="8"/>
  <c r="F270" i="8" s="1"/>
  <c r="J269" i="8"/>
  <c r="H269" i="8"/>
  <c r="G269" i="8"/>
  <c r="I269" i="8" s="1"/>
  <c r="E269" i="8"/>
  <c r="F269" i="8" s="1"/>
  <c r="J268" i="8"/>
  <c r="H268" i="8"/>
  <c r="G268" i="8"/>
  <c r="I268" i="8" s="1"/>
  <c r="E268" i="8"/>
  <c r="F268" i="8" s="1"/>
  <c r="J267" i="8"/>
  <c r="H267" i="8"/>
  <c r="G267" i="8"/>
  <c r="I267" i="8" s="1"/>
  <c r="E267" i="8"/>
  <c r="F267" i="8" s="1"/>
  <c r="J266" i="8"/>
  <c r="H266" i="8"/>
  <c r="G266" i="8"/>
  <c r="I266" i="8" s="1"/>
  <c r="E266" i="8"/>
  <c r="F266" i="8" s="1"/>
  <c r="J265" i="8"/>
  <c r="H265" i="8"/>
  <c r="G265" i="8"/>
  <c r="I265" i="8" s="1"/>
  <c r="E265" i="8"/>
  <c r="F265" i="8" s="1"/>
  <c r="J264" i="8"/>
  <c r="H264" i="8"/>
  <c r="G264" i="8"/>
  <c r="I264" i="8" s="1"/>
  <c r="E264" i="8"/>
  <c r="F264" i="8" s="1"/>
  <c r="J263" i="8"/>
  <c r="H263" i="8"/>
  <c r="G263" i="8"/>
  <c r="I263" i="8" s="1"/>
  <c r="E263" i="8"/>
  <c r="F263" i="8" s="1"/>
  <c r="J262" i="8"/>
  <c r="H262" i="8"/>
  <c r="G262" i="8"/>
  <c r="I262" i="8" s="1"/>
  <c r="E262" i="8"/>
  <c r="F262" i="8" s="1"/>
  <c r="J261" i="8"/>
  <c r="H261" i="8"/>
  <c r="G261" i="8"/>
  <c r="I261" i="8" s="1"/>
  <c r="E261" i="8"/>
  <c r="F261" i="8" s="1"/>
  <c r="J260" i="8"/>
  <c r="H260" i="8"/>
  <c r="G260" i="8"/>
  <c r="I260" i="8" s="1"/>
  <c r="E260" i="8"/>
  <c r="F260" i="8" s="1"/>
  <c r="J259" i="8"/>
  <c r="H259" i="8"/>
  <c r="G259" i="8"/>
  <c r="I259" i="8" s="1"/>
  <c r="E259" i="8"/>
  <c r="F259" i="8" s="1"/>
  <c r="J258" i="8"/>
  <c r="H258" i="8"/>
  <c r="G258" i="8"/>
  <c r="I258" i="8" s="1"/>
  <c r="E258" i="8"/>
  <c r="F258" i="8" s="1"/>
  <c r="J257" i="8"/>
  <c r="H257" i="8"/>
  <c r="G257" i="8"/>
  <c r="I257" i="8" s="1"/>
  <c r="E257" i="8"/>
  <c r="F257" i="8" s="1"/>
  <c r="J256" i="8"/>
  <c r="H256" i="8"/>
  <c r="G256" i="8"/>
  <c r="I256" i="8" s="1"/>
  <c r="E256" i="8"/>
  <c r="F256" i="8" s="1"/>
  <c r="J255" i="8"/>
  <c r="H255" i="8"/>
  <c r="G255" i="8"/>
  <c r="I255" i="8" s="1"/>
  <c r="E255" i="8"/>
  <c r="F255" i="8" s="1"/>
  <c r="J254" i="8"/>
  <c r="H254" i="8"/>
  <c r="G254" i="8"/>
  <c r="I254" i="8" s="1"/>
  <c r="E254" i="8"/>
  <c r="F254" i="8" s="1"/>
  <c r="J253" i="8"/>
  <c r="H253" i="8"/>
  <c r="G253" i="8"/>
  <c r="I253" i="8" s="1"/>
  <c r="E253" i="8"/>
  <c r="F253" i="8" s="1"/>
  <c r="J252" i="8"/>
  <c r="H252" i="8"/>
  <c r="G252" i="8"/>
  <c r="I252" i="8" s="1"/>
  <c r="E252" i="8"/>
  <c r="F252" i="8" s="1"/>
  <c r="J251" i="8"/>
  <c r="H251" i="8"/>
  <c r="G251" i="8"/>
  <c r="I251" i="8" s="1"/>
  <c r="E251" i="8"/>
  <c r="F251" i="8" s="1"/>
  <c r="J250" i="8"/>
  <c r="H250" i="8"/>
  <c r="G250" i="8"/>
  <c r="I250" i="8" s="1"/>
  <c r="E250" i="8"/>
  <c r="F250" i="8" s="1"/>
  <c r="J249" i="8"/>
  <c r="H249" i="8"/>
  <c r="G249" i="8"/>
  <c r="I249" i="8" s="1"/>
  <c r="E249" i="8"/>
  <c r="F249" i="8" s="1"/>
  <c r="J248" i="8"/>
  <c r="H248" i="8"/>
  <c r="G248" i="8"/>
  <c r="I248" i="8" s="1"/>
  <c r="E248" i="8"/>
  <c r="F248" i="8" s="1"/>
  <c r="J247" i="8"/>
  <c r="H247" i="8"/>
  <c r="G247" i="8"/>
  <c r="I247" i="8" s="1"/>
  <c r="E247" i="8"/>
  <c r="F247" i="8" s="1"/>
  <c r="J246" i="8"/>
  <c r="H246" i="8"/>
  <c r="G246" i="8"/>
  <c r="I246" i="8" s="1"/>
  <c r="E246" i="8"/>
  <c r="F246" i="8" s="1"/>
  <c r="J245" i="8"/>
  <c r="H245" i="8"/>
  <c r="G245" i="8"/>
  <c r="I245" i="8" s="1"/>
  <c r="E245" i="8"/>
  <c r="F245" i="8" s="1"/>
  <c r="J244" i="8"/>
  <c r="H244" i="8"/>
  <c r="G244" i="8"/>
  <c r="I244" i="8" s="1"/>
  <c r="E244" i="8"/>
  <c r="F244" i="8" s="1"/>
  <c r="J243" i="8"/>
  <c r="H243" i="8"/>
  <c r="G243" i="8"/>
  <c r="I243" i="8" s="1"/>
  <c r="E243" i="8"/>
  <c r="F243" i="8" s="1"/>
  <c r="J242" i="8"/>
  <c r="H242" i="8"/>
  <c r="G242" i="8"/>
  <c r="I242" i="8" s="1"/>
  <c r="E242" i="8"/>
  <c r="F242" i="8" s="1"/>
  <c r="J241" i="8"/>
  <c r="H241" i="8"/>
  <c r="G241" i="8"/>
  <c r="I241" i="8" s="1"/>
  <c r="E241" i="8"/>
  <c r="F241" i="8" s="1"/>
  <c r="J240" i="8"/>
  <c r="H240" i="8"/>
  <c r="G240" i="8"/>
  <c r="I240" i="8" s="1"/>
  <c r="E240" i="8"/>
  <c r="F240" i="8" s="1"/>
  <c r="J239" i="8"/>
  <c r="H239" i="8"/>
  <c r="G239" i="8"/>
  <c r="I239" i="8" s="1"/>
  <c r="E239" i="8"/>
  <c r="F239" i="8" s="1"/>
  <c r="J238" i="8"/>
  <c r="H238" i="8"/>
  <c r="G238" i="8"/>
  <c r="I238" i="8" s="1"/>
  <c r="E238" i="8"/>
  <c r="F238" i="8" s="1"/>
  <c r="J237" i="8"/>
  <c r="H237" i="8"/>
  <c r="G237" i="8"/>
  <c r="I237" i="8" s="1"/>
  <c r="E237" i="8"/>
  <c r="F237" i="8" s="1"/>
  <c r="J236" i="8"/>
  <c r="H236" i="8"/>
  <c r="G236" i="8"/>
  <c r="I236" i="8" s="1"/>
  <c r="E236" i="8"/>
  <c r="F236" i="8" s="1"/>
  <c r="J235" i="8"/>
  <c r="H235" i="8"/>
  <c r="G235" i="8"/>
  <c r="I235" i="8" s="1"/>
  <c r="E235" i="8"/>
  <c r="F235" i="8" s="1"/>
  <c r="J234" i="8"/>
  <c r="H234" i="8"/>
  <c r="G234" i="8"/>
  <c r="I234" i="8" s="1"/>
  <c r="E234" i="8"/>
  <c r="F234" i="8" s="1"/>
  <c r="J233" i="8"/>
  <c r="H233" i="8"/>
  <c r="G233" i="8"/>
  <c r="I233" i="8" s="1"/>
  <c r="E233" i="8"/>
  <c r="F233" i="8" s="1"/>
  <c r="J232" i="8"/>
  <c r="H232" i="8"/>
  <c r="G232" i="8"/>
  <c r="I232" i="8" s="1"/>
  <c r="E232" i="8"/>
  <c r="F232" i="8" s="1"/>
  <c r="J231" i="8"/>
  <c r="H231" i="8"/>
  <c r="G231" i="8"/>
  <c r="I231" i="8" s="1"/>
  <c r="E231" i="8"/>
  <c r="F231" i="8" s="1"/>
  <c r="J230" i="8"/>
  <c r="H230" i="8"/>
  <c r="G230" i="8"/>
  <c r="I230" i="8" s="1"/>
  <c r="E230" i="8"/>
  <c r="F230" i="8" s="1"/>
  <c r="J229" i="8"/>
  <c r="H229" i="8"/>
  <c r="G229" i="8"/>
  <c r="I229" i="8" s="1"/>
  <c r="E229" i="8"/>
  <c r="F229" i="8" s="1"/>
  <c r="J228" i="8"/>
  <c r="H228" i="8"/>
  <c r="G228" i="8"/>
  <c r="I228" i="8" s="1"/>
  <c r="E228" i="8"/>
  <c r="F228" i="8" s="1"/>
  <c r="J227" i="8"/>
  <c r="H227" i="8"/>
  <c r="G227" i="8"/>
  <c r="I227" i="8" s="1"/>
  <c r="E227" i="8"/>
  <c r="F227" i="8" s="1"/>
  <c r="J226" i="8"/>
  <c r="H226" i="8"/>
  <c r="G226" i="8"/>
  <c r="I226" i="8" s="1"/>
  <c r="E226" i="8"/>
  <c r="F226" i="8" s="1"/>
  <c r="J225" i="8"/>
  <c r="H225" i="8"/>
  <c r="G225" i="8"/>
  <c r="I225" i="8" s="1"/>
  <c r="E225" i="8"/>
  <c r="F225" i="8" s="1"/>
  <c r="J224" i="8"/>
  <c r="H224" i="8"/>
  <c r="G224" i="8"/>
  <c r="I224" i="8" s="1"/>
  <c r="E224" i="8"/>
  <c r="F224" i="8" s="1"/>
  <c r="J223" i="8"/>
  <c r="H223" i="8"/>
  <c r="G223" i="8"/>
  <c r="I223" i="8" s="1"/>
  <c r="E223" i="8"/>
  <c r="F223" i="8" s="1"/>
  <c r="J222" i="8"/>
  <c r="H222" i="8"/>
  <c r="G222" i="8"/>
  <c r="I222" i="8" s="1"/>
  <c r="E222" i="8"/>
  <c r="F222" i="8" s="1"/>
  <c r="J221" i="8"/>
  <c r="H221" i="8"/>
  <c r="G221" i="8"/>
  <c r="I221" i="8" s="1"/>
  <c r="E221" i="8"/>
  <c r="F221" i="8" s="1"/>
  <c r="J220" i="8"/>
  <c r="H220" i="8"/>
  <c r="G220" i="8"/>
  <c r="I220" i="8" s="1"/>
  <c r="E220" i="8"/>
  <c r="F220" i="8" s="1"/>
  <c r="J219" i="8"/>
  <c r="H219" i="8"/>
  <c r="G219" i="8"/>
  <c r="I219" i="8" s="1"/>
  <c r="E219" i="8"/>
  <c r="F219" i="8" s="1"/>
  <c r="J218" i="8"/>
  <c r="H218" i="8"/>
  <c r="G218" i="8"/>
  <c r="I218" i="8" s="1"/>
  <c r="E218" i="8"/>
  <c r="F218" i="8" s="1"/>
  <c r="J217" i="8"/>
  <c r="H217" i="8"/>
  <c r="G217" i="8"/>
  <c r="I217" i="8" s="1"/>
  <c r="E217" i="8"/>
  <c r="F217" i="8" s="1"/>
  <c r="J216" i="8"/>
  <c r="H216" i="8"/>
  <c r="G216" i="8"/>
  <c r="I216" i="8" s="1"/>
  <c r="E216" i="8"/>
  <c r="F216" i="8" s="1"/>
  <c r="J215" i="8"/>
  <c r="H215" i="8"/>
  <c r="G215" i="8"/>
  <c r="I215" i="8" s="1"/>
  <c r="E215" i="8"/>
  <c r="F215" i="8" s="1"/>
  <c r="J214" i="8"/>
  <c r="H214" i="8"/>
  <c r="G214" i="8"/>
  <c r="I214" i="8" s="1"/>
  <c r="E214" i="8"/>
  <c r="F214" i="8" s="1"/>
  <c r="J213" i="8"/>
  <c r="H213" i="8"/>
  <c r="G213" i="8"/>
  <c r="I213" i="8" s="1"/>
  <c r="E213" i="8"/>
  <c r="F213" i="8" s="1"/>
  <c r="J212" i="8"/>
  <c r="H212" i="8"/>
  <c r="G212" i="8"/>
  <c r="I212" i="8" s="1"/>
  <c r="E212" i="8"/>
  <c r="F212" i="8" s="1"/>
  <c r="J211" i="8"/>
  <c r="H211" i="8"/>
  <c r="G211" i="8"/>
  <c r="I211" i="8" s="1"/>
  <c r="E211" i="8"/>
  <c r="F211" i="8" s="1"/>
  <c r="J210" i="8"/>
  <c r="H210" i="8"/>
  <c r="G210" i="8"/>
  <c r="I210" i="8" s="1"/>
  <c r="E210" i="8"/>
  <c r="F210" i="8" s="1"/>
  <c r="J209" i="8"/>
  <c r="H209" i="8"/>
  <c r="G209" i="8"/>
  <c r="I209" i="8" s="1"/>
  <c r="E209" i="8"/>
  <c r="F209" i="8" s="1"/>
  <c r="J208" i="8"/>
  <c r="H208" i="8"/>
  <c r="G208" i="8"/>
  <c r="I208" i="8" s="1"/>
  <c r="E208" i="8"/>
  <c r="F208" i="8" s="1"/>
  <c r="J207" i="8"/>
  <c r="H207" i="8"/>
  <c r="G207" i="8"/>
  <c r="I207" i="8" s="1"/>
  <c r="E207" i="8"/>
  <c r="F207" i="8" s="1"/>
  <c r="J206" i="8"/>
  <c r="H206" i="8"/>
  <c r="G206" i="8"/>
  <c r="I206" i="8" s="1"/>
  <c r="E206" i="8"/>
  <c r="F206" i="8" s="1"/>
  <c r="J205" i="8"/>
  <c r="H205" i="8"/>
  <c r="G205" i="8"/>
  <c r="I205" i="8" s="1"/>
  <c r="E205" i="8"/>
  <c r="F205" i="8" s="1"/>
  <c r="J204" i="8"/>
  <c r="H204" i="8"/>
  <c r="G204" i="8"/>
  <c r="I204" i="8" s="1"/>
  <c r="E204" i="8"/>
  <c r="F204" i="8" s="1"/>
  <c r="J203" i="8"/>
  <c r="H203" i="8"/>
  <c r="G203" i="8"/>
  <c r="I203" i="8" s="1"/>
  <c r="E203" i="8"/>
  <c r="F203" i="8" s="1"/>
  <c r="J202" i="8"/>
  <c r="H202" i="8"/>
  <c r="G202" i="8"/>
  <c r="I202" i="8" s="1"/>
  <c r="E202" i="8"/>
  <c r="F202" i="8" s="1"/>
  <c r="J201" i="8"/>
  <c r="H201" i="8"/>
  <c r="G201" i="8"/>
  <c r="I201" i="8" s="1"/>
  <c r="E201" i="8"/>
  <c r="F201" i="8" s="1"/>
  <c r="J200" i="8"/>
  <c r="H200" i="8"/>
  <c r="G200" i="8"/>
  <c r="I200" i="8" s="1"/>
  <c r="E200" i="8"/>
  <c r="F200" i="8" s="1"/>
  <c r="J199" i="8"/>
  <c r="H199" i="8"/>
  <c r="G199" i="8"/>
  <c r="I199" i="8" s="1"/>
  <c r="E199" i="8"/>
  <c r="F199" i="8" s="1"/>
  <c r="J198" i="8"/>
  <c r="H198" i="8"/>
  <c r="G198" i="8"/>
  <c r="I198" i="8" s="1"/>
  <c r="E198" i="8"/>
  <c r="F198" i="8" s="1"/>
  <c r="J197" i="8"/>
  <c r="H197" i="8"/>
  <c r="G197" i="8"/>
  <c r="I197" i="8" s="1"/>
  <c r="E197" i="8"/>
  <c r="F197" i="8" s="1"/>
  <c r="J196" i="8"/>
  <c r="H196" i="8"/>
  <c r="G196" i="8"/>
  <c r="I196" i="8" s="1"/>
  <c r="E196" i="8"/>
  <c r="F196" i="8" s="1"/>
  <c r="J195" i="8"/>
  <c r="H195" i="8"/>
  <c r="G195" i="8"/>
  <c r="I195" i="8" s="1"/>
  <c r="E195" i="8"/>
  <c r="F195" i="8" s="1"/>
  <c r="J194" i="8"/>
  <c r="H194" i="8"/>
  <c r="G194" i="8"/>
  <c r="I194" i="8" s="1"/>
  <c r="E194" i="8"/>
  <c r="F194" i="8" s="1"/>
  <c r="J193" i="8"/>
  <c r="H193" i="8"/>
  <c r="G193" i="8"/>
  <c r="I193" i="8" s="1"/>
  <c r="E193" i="8"/>
  <c r="F193" i="8" s="1"/>
  <c r="J192" i="8"/>
  <c r="H192" i="8"/>
  <c r="G192" i="8"/>
  <c r="I192" i="8" s="1"/>
  <c r="E192" i="8"/>
  <c r="F192" i="8" s="1"/>
  <c r="J191" i="8"/>
  <c r="H191" i="8"/>
  <c r="G191" i="8"/>
  <c r="I191" i="8" s="1"/>
  <c r="E191" i="8"/>
  <c r="F191" i="8" s="1"/>
  <c r="J190" i="8"/>
  <c r="H190" i="8"/>
  <c r="G190" i="8"/>
  <c r="I190" i="8" s="1"/>
  <c r="E190" i="8"/>
  <c r="F190" i="8" s="1"/>
  <c r="J189" i="8"/>
  <c r="H189" i="8"/>
  <c r="G189" i="8"/>
  <c r="I189" i="8" s="1"/>
  <c r="E189" i="8"/>
  <c r="F189" i="8" s="1"/>
  <c r="J188" i="8"/>
  <c r="H188" i="8"/>
  <c r="G188" i="8"/>
  <c r="I188" i="8" s="1"/>
  <c r="E188" i="8"/>
  <c r="F188" i="8" s="1"/>
  <c r="J187" i="8"/>
  <c r="H187" i="8"/>
  <c r="G187" i="8"/>
  <c r="I187" i="8" s="1"/>
  <c r="E187" i="8"/>
  <c r="F187" i="8" s="1"/>
  <c r="J186" i="8"/>
  <c r="H186" i="8"/>
  <c r="G186" i="8"/>
  <c r="I186" i="8" s="1"/>
  <c r="E186" i="8"/>
  <c r="F186" i="8" s="1"/>
  <c r="J185" i="8"/>
  <c r="H185" i="8"/>
  <c r="G185" i="8"/>
  <c r="I185" i="8" s="1"/>
  <c r="E185" i="8"/>
  <c r="F185" i="8" s="1"/>
  <c r="J184" i="8"/>
  <c r="H184" i="8"/>
  <c r="G184" i="8"/>
  <c r="I184" i="8" s="1"/>
  <c r="E184" i="8"/>
  <c r="F184" i="8" s="1"/>
  <c r="J183" i="8"/>
  <c r="H183" i="8"/>
  <c r="G183" i="8"/>
  <c r="I183" i="8" s="1"/>
  <c r="E183" i="8"/>
  <c r="F183" i="8" s="1"/>
  <c r="J182" i="8"/>
  <c r="H182" i="8"/>
  <c r="G182" i="8"/>
  <c r="I182" i="8" s="1"/>
  <c r="E182" i="8"/>
  <c r="F182" i="8" s="1"/>
  <c r="J181" i="8"/>
  <c r="H181" i="8"/>
  <c r="G181" i="8"/>
  <c r="I181" i="8" s="1"/>
  <c r="E181" i="8"/>
  <c r="F181" i="8" s="1"/>
  <c r="J180" i="8"/>
  <c r="H180" i="8"/>
  <c r="G180" i="8"/>
  <c r="I180" i="8" s="1"/>
  <c r="E180" i="8"/>
  <c r="F180" i="8" s="1"/>
  <c r="J179" i="8"/>
  <c r="H179" i="8"/>
  <c r="G179" i="8"/>
  <c r="I179" i="8" s="1"/>
  <c r="E179" i="8"/>
  <c r="F179" i="8" s="1"/>
  <c r="J178" i="8"/>
  <c r="H178" i="8"/>
  <c r="G178" i="8"/>
  <c r="I178" i="8" s="1"/>
  <c r="E178" i="8"/>
  <c r="F178" i="8" s="1"/>
  <c r="J177" i="8"/>
  <c r="H177" i="8"/>
  <c r="G177" i="8"/>
  <c r="I177" i="8" s="1"/>
  <c r="E177" i="8"/>
  <c r="F177" i="8" s="1"/>
  <c r="J176" i="8"/>
  <c r="H176" i="8"/>
  <c r="G176" i="8"/>
  <c r="I176" i="8" s="1"/>
  <c r="E176" i="8"/>
  <c r="F176" i="8" s="1"/>
  <c r="J175" i="8"/>
  <c r="H175" i="8"/>
  <c r="G175" i="8"/>
  <c r="I175" i="8" s="1"/>
  <c r="E175" i="8"/>
  <c r="F175" i="8" s="1"/>
  <c r="J174" i="8"/>
  <c r="H174" i="8"/>
  <c r="G174" i="8"/>
  <c r="I174" i="8" s="1"/>
  <c r="E174" i="8"/>
  <c r="F174" i="8" s="1"/>
  <c r="J173" i="8"/>
  <c r="H173" i="8"/>
  <c r="G173" i="8"/>
  <c r="I173" i="8" s="1"/>
  <c r="E173" i="8"/>
  <c r="F173" i="8" s="1"/>
  <c r="J172" i="8"/>
  <c r="H172" i="8"/>
  <c r="G172" i="8"/>
  <c r="I172" i="8" s="1"/>
  <c r="E172" i="8"/>
  <c r="F172" i="8" s="1"/>
  <c r="J171" i="8"/>
  <c r="H171" i="8"/>
  <c r="G171" i="8"/>
  <c r="I171" i="8" s="1"/>
  <c r="E171" i="8"/>
  <c r="F171" i="8" s="1"/>
  <c r="J170" i="8"/>
  <c r="H170" i="8"/>
  <c r="G170" i="8"/>
  <c r="I170" i="8" s="1"/>
  <c r="E170" i="8"/>
  <c r="F170" i="8" s="1"/>
  <c r="J169" i="8"/>
  <c r="H169" i="8"/>
  <c r="G169" i="8"/>
  <c r="I169" i="8" s="1"/>
  <c r="E169" i="8"/>
  <c r="F169" i="8" s="1"/>
  <c r="J168" i="8"/>
  <c r="H168" i="8"/>
  <c r="G168" i="8"/>
  <c r="I168" i="8" s="1"/>
  <c r="E168" i="8"/>
  <c r="F168" i="8" s="1"/>
  <c r="J167" i="8"/>
  <c r="H167" i="8"/>
  <c r="G167" i="8"/>
  <c r="I167" i="8" s="1"/>
  <c r="E167" i="8"/>
  <c r="F167" i="8" s="1"/>
  <c r="J166" i="8"/>
  <c r="H166" i="8"/>
  <c r="G166" i="8"/>
  <c r="I166" i="8" s="1"/>
  <c r="E166" i="8"/>
  <c r="F166" i="8" s="1"/>
  <c r="J165" i="8"/>
  <c r="H165" i="8"/>
  <c r="G165" i="8"/>
  <c r="I165" i="8" s="1"/>
  <c r="E165" i="8"/>
  <c r="F165" i="8" s="1"/>
  <c r="J164" i="8"/>
  <c r="H164" i="8"/>
  <c r="G164" i="8"/>
  <c r="I164" i="8" s="1"/>
  <c r="E164" i="8"/>
  <c r="F164" i="8" s="1"/>
  <c r="J163" i="8"/>
  <c r="H163" i="8"/>
  <c r="G163" i="8"/>
  <c r="I163" i="8" s="1"/>
  <c r="E163" i="8"/>
  <c r="F163" i="8" s="1"/>
  <c r="J162" i="8"/>
  <c r="H162" i="8"/>
  <c r="G162" i="8"/>
  <c r="I162" i="8" s="1"/>
  <c r="E162" i="8"/>
  <c r="F162" i="8" s="1"/>
  <c r="J161" i="8"/>
  <c r="H161" i="8"/>
  <c r="G161" i="8"/>
  <c r="I161" i="8" s="1"/>
  <c r="E161" i="8"/>
  <c r="F161" i="8" s="1"/>
  <c r="J160" i="8"/>
  <c r="H160" i="8"/>
  <c r="G160" i="8"/>
  <c r="I160" i="8" s="1"/>
  <c r="E160" i="8"/>
  <c r="F160" i="8" s="1"/>
  <c r="J159" i="8"/>
  <c r="H159" i="8"/>
  <c r="G159" i="8"/>
  <c r="I159" i="8" s="1"/>
  <c r="E159" i="8"/>
  <c r="F159" i="8" s="1"/>
  <c r="J158" i="8"/>
  <c r="H158" i="8"/>
  <c r="G158" i="8"/>
  <c r="I158" i="8" s="1"/>
  <c r="E158" i="8"/>
  <c r="F158" i="8" s="1"/>
  <c r="J157" i="8"/>
  <c r="H157" i="8"/>
  <c r="G157" i="8"/>
  <c r="I157" i="8" s="1"/>
  <c r="E157" i="8"/>
  <c r="F157" i="8" s="1"/>
  <c r="J156" i="8"/>
  <c r="H156" i="8"/>
  <c r="G156" i="8"/>
  <c r="I156" i="8" s="1"/>
  <c r="E156" i="8"/>
  <c r="F156" i="8" s="1"/>
  <c r="J155" i="8"/>
  <c r="H155" i="8"/>
  <c r="G155" i="8"/>
  <c r="I155" i="8" s="1"/>
  <c r="E155" i="8"/>
  <c r="F155" i="8" s="1"/>
  <c r="J154" i="8"/>
  <c r="H154" i="8"/>
  <c r="G154" i="8"/>
  <c r="I154" i="8" s="1"/>
  <c r="E154" i="8"/>
  <c r="F154" i="8" s="1"/>
  <c r="J153" i="8"/>
  <c r="H153" i="8"/>
  <c r="G153" i="8"/>
  <c r="I153" i="8" s="1"/>
  <c r="E153" i="8"/>
  <c r="F153" i="8" s="1"/>
  <c r="J152" i="8"/>
  <c r="H152" i="8"/>
  <c r="G152" i="8"/>
  <c r="I152" i="8" s="1"/>
  <c r="E152" i="8"/>
  <c r="F152" i="8" s="1"/>
  <c r="J151" i="8"/>
  <c r="H151" i="8"/>
  <c r="G151" i="8"/>
  <c r="I151" i="8" s="1"/>
  <c r="E151" i="8"/>
  <c r="F151" i="8" s="1"/>
  <c r="J150" i="8"/>
  <c r="H150" i="8"/>
  <c r="G150" i="8"/>
  <c r="I150" i="8" s="1"/>
  <c r="E150" i="8"/>
  <c r="F150" i="8" s="1"/>
  <c r="J149" i="8"/>
  <c r="H149" i="8"/>
  <c r="G149" i="8"/>
  <c r="I149" i="8" s="1"/>
  <c r="E149" i="8"/>
  <c r="F149" i="8" s="1"/>
  <c r="J148" i="8"/>
  <c r="H148" i="8"/>
  <c r="G148" i="8"/>
  <c r="I148" i="8" s="1"/>
  <c r="E148" i="8"/>
  <c r="F148" i="8" s="1"/>
  <c r="J147" i="8"/>
  <c r="H147" i="8"/>
  <c r="G147" i="8"/>
  <c r="I147" i="8" s="1"/>
  <c r="E147" i="8"/>
  <c r="F147" i="8" s="1"/>
  <c r="J146" i="8"/>
  <c r="H146" i="8"/>
  <c r="G146" i="8"/>
  <c r="I146" i="8" s="1"/>
  <c r="E146" i="8"/>
  <c r="F146" i="8" s="1"/>
  <c r="J145" i="8"/>
  <c r="H145" i="8"/>
  <c r="G145" i="8"/>
  <c r="I145" i="8" s="1"/>
  <c r="E145" i="8"/>
  <c r="F145" i="8" s="1"/>
  <c r="J144" i="8"/>
  <c r="H144" i="8"/>
  <c r="G144" i="8"/>
  <c r="I144" i="8" s="1"/>
  <c r="E144" i="8"/>
  <c r="F144" i="8" s="1"/>
  <c r="J143" i="8"/>
  <c r="H143" i="8"/>
  <c r="G143" i="8"/>
  <c r="I143" i="8" s="1"/>
  <c r="E143" i="8"/>
  <c r="F143" i="8" s="1"/>
  <c r="J142" i="8"/>
  <c r="H142" i="8"/>
  <c r="G142" i="8"/>
  <c r="I142" i="8" s="1"/>
  <c r="E142" i="8"/>
  <c r="F142" i="8" s="1"/>
  <c r="J141" i="8"/>
  <c r="H141" i="8"/>
  <c r="G141" i="8"/>
  <c r="I141" i="8" s="1"/>
  <c r="E141" i="8"/>
  <c r="F141" i="8" s="1"/>
  <c r="J140" i="8"/>
  <c r="H140" i="8"/>
  <c r="G140" i="8"/>
  <c r="I140" i="8" s="1"/>
  <c r="E140" i="8"/>
  <c r="F140" i="8" s="1"/>
  <c r="J139" i="8"/>
  <c r="H139" i="8"/>
  <c r="G139" i="8"/>
  <c r="I139" i="8" s="1"/>
  <c r="E139" i="8"/>
  <c r="F139" i="8" s="1"/>
  <c r="J138" i="8"/>
  <c r="H138" i="8"/>
  <c r="G138" i="8"/>
  <c r="I138" i="8" s="1"/>
  <c r="E138" i="8"/>
  <c r="F138" i="8" s="1"/>
  <c r="J137" i="8"/>
  <c r="H137" i="8"/>
  <c r="G137" i="8"/>
  <c r="I137" i="8" s="1"/>
  <c r="E137" i="8"/>
  <c r="F137" i="8" s="1"/>
  <c r="J136" i="8"/>
  <c r="H136" i="8"/>
  <c r="G136" i="8"/>
  <c r="I136" i="8" s="1"/>
  <c r="E136" i="8"/>
  <c r="F136" i="8" s="1"/>
  <c r="J135" i="8"/>
  <c r="H135" i="8"/>
  <c r="G135" i="8"/>
  <c r="I135" i="8" s="1"/>
  <c r="E135" i="8"/>
  <c r="F135" i="8" s="1"/>
  <c r="J134" i="8"/>
  <c r="H134" i="8"/>
  <c r="G134" i="8"/>
  <c r="I134" i="8" s="1"/>
  <c r="E134" i="8"/>
  <c r="F134" i="8" s="1"/>
  <c r="J133" i="8"/>
  <c r="H133" i="8"/>
  <c r="G133" i="8"/>
  <c r="I133" i="8" s="1"/>
  <c r="E133" i="8"/>
  <c r="F133" i="8" s="1"/>
  <c r="J132" i="8"/>
  <c r="H132" i="8"/>
  <c r="G132" i="8"/>
  <c r="I132" i="8" s="1"/>
  <c r="E132" i="8"/>
  <c r="F132" i="8" s="1"/>
  <c r="J131" i="8"/>
  <c r="H131" i="8"/>
  <c r="G131" i="8"/>
  <c r="I131" i="8" s="1"/>
  <c r="E131" i="8"/>
  <c r="F131" i="8" s="1"/>
  <c r="J130" i="8"/>
  <c r="H130" i="8"/>
  <c r="G130" i="8"/>
  <c r="I130" i="8" s="1"/>
  <c r="E130" i="8"/>
  <c r="F130" i="8" s="1"/>
  <c r="J129" i="8"/>
  <c r="H129" i="8"/>
  <c r="G129" i="8"/>
  <c r="I129" i="8" s="1"/>
  <c r="E129" i="8"/>
  <c r="F129" i="8" s="1"/>
  <c r="J128" i="8"/>
  <c r="H128" i="8"/>
  <c r="G128" i="8"/>
  <c r="I128" i="8" s="1"/>
  <c r="E128" i="8"/>
  <c r="F128" i="8" s="1"/>
  <c r="J127" i="8"/>
  <c r="H127" i="8"/>
  <c r="G127" i="8"/>
  <c r="I127" i="8" s="1"/>
  <c r="E127" i="8"/>
  <c r="F127" i="8" s="1"/>
  <c r="J126" i="8"/>
  <c r="H126" i="8"/>
  <c r="G126" i="8"/>
  <c r="I126" i="8" s="1"/>
  <c r="E126" i="8"/>
  <c r="F126" i="8" s="1"/>
  <c r="J125" i="8"/>
  <c r="H125" i="8"/>
  <c r="G125" i="8"/>
  <c r="I125" i="8" s="1"/>
  <c r="E125" i="8"/>
  <c r="F125" i="8" s="1"/>
  <c r="J124" i="8"/>
  <c r="H124" i="8"/>
  <c r="G124" i="8"/>
  <c r="I124" i="8" s="1"/>
  <c r="E124" i="8"/>
  <c r="F124" i="8" s="1"/>
  <c r="J123" i="8"/>
  <c r="H123" i="8"/>
  <c r="G123" i="8"/>
  <c r="I123" i="8" s="1"/>
  <c r="E123" i="8"/>
  <c r="F123" i="8" s="1"/>
  <c r="J122" i="8"/>
  <c r="H122" i="8"/>
  <c r="G122" i="8"/>
  <c r="I122" i="8" s="1"/>
  <c r="E122" i="8"/>
  <c r="F122" i="8" s="1"/>
  <c r="J121" i="8"/>
  <c r="H121" i="8"/>
  <c r="G121" i="8"/>
  <c r="I121" i="8" s="1"/>
  <c r="E121" i="8"/>
  <c r="F121" i="8" s="1"/>
  <c r="J120" i="8"/>
  <c r="H120" i="8"/>
  <c r="G120" i="8"/>
  <c r="I120" i="8" s="1"/>
  <c r="E120" i="8"/>
  <c r="F120" i="8" s="1"/>
  <c r="J119" i="8"/>
  <c r="H119" i="8"/>
  <c r="G119" i="8"/>
  <c r="I119" i="8" s="1"/>
  <c r="E119" i="8"/>
  <c r="F119" i="8" s="1"/>
  <c r="J118" i="8"/>
  <c r="H118" i="8"/>
  <c r="G118" i="8"/>
  <c r="I118" i="8" s="1"/>
  <c r="E118" i="8"/>
  <c r="F118" i="8" s="1"/>
  <c r="J117" i="8"/>
  <c r="H117" i="8"/>
  <c r="G117" i="8"/>
  <c r="I117" i="8" s="1"/>
  <c r="E117" i="8"/>
  <c r="F117" i="8" s="1"/>
  <c r="J116" i="8"/>
  <c r="H116" i="8"/>
  <c r="G116" i="8"/>
  <c r="I116" i="8" s="1"/>
  <c r="E116" i="8"/>
  <c r="F116" i="8" s="1"/>
  <c r="J115" i="8"/>
  <c r="H115" i="8"/>
  <c r="G115" i="8"/>
  <c r="I115" i="8" s="1"/>
  <c r="E115" i="8"/>
  <c r="F115" i="8" s="1"/>
  <c r="J114" i="8"/>
  <c r="H114" i="8"/>
  <c r="G114" i="8"/>
  <c r="I114" i="8" s="1"/>
  <c r="E114" i="8"/>
  <c r="F114" i="8" s="1"/>
  <c r="J113" i="8"/>
  <c r="H113" i="8"/>
  <c r="G113" i="8"/>
  <c r="I113" i="8" s="1"/>
  <c r="E113" i="8"/>
  <c r="F113" i="8" s="1"/>
  <c r="J112" i="8"/>
  <c r="H112" i="8"/>
  <c r="G112" i="8"/>
  <c r="I112" i="8" s="1"/>
  <c r="E112" i="8"/>
  <c r="F112" i="8" s="1"/>
  <c r="J111" i="8"/>
  <c r="H111" i="8"/>
  <c r="G111" i="8"/>
  <c r="I111" i="8" s="1"/>
  <c r="E111" i="8"/>
  <c r="F111" i="8" s="1"/>
  <c r="J110" i="8"/>
  <c r="H110" i="8"/>
  <c r="G110" i="8"/>
  <c r="I110" i="8" s="1"/>
  <c r="E110" i="8"/>
  <c r="F110" i="8" s="1"/>
  <c r="J109" i="8"/>
  <c r="H109" i="8"/>
  <c r="G109" i="8"/>
  <c r="I109" i="8" s="1"/>
  <c r="E109" i="8"/>
  <c r="F109" i="8" s="1"/>
  <c r="J108" i="8"/>
  <c r="H108" i="8"/>
  <c r="G108" i="8"/>
  <c r="I108" i="8" s="1"/>
  <c r="E108" i="8"/>
  <c r="F108" i="8" s="1"/>
  <c r="J107" i="8"/>
  <c r="H107" i="8"/>
  <c r="G107" i="8"/>
  <c r="I107" i="8" s="1"/>
  <c r="E107" i="8"/>
  <c r="F107" i="8" s="1"/>
  <c r="J106" i="8"/>
  <c r="H106" i="8"/>
  <c r="G106" i="8"/>
  <c r="I106" i="8" s="1"/>
  <c r="E106" i="8"/>
  <c r="F106" i="8" s="1"/>
  <c r="J105" i="8"/>
  <c r="H105" i="8"/>
  <c r="G105" i="8"/>
  <c r="I105" i="8" s="1"/>
  <c r="E105" i="8"/>
  <c r="F105" i="8" s="1"/>
  <c r="J104" i="8"/>
  <c r="H104" i="8"/>
  <c r="G104" i="8"/>
  <c r="I104" i="8" s="1"/>
  <c r="E104" i="8"/>
  <c r="F104" i="8" s="1"/>
  <c r="J103" i="8"/>
  <c r="H103" i="8"/>
  <c r="G103" i="8"/>
  <c r="I103" i="8" s="1"/>
  <c r="E103" i="8"/>
  <c r="F103" i="8" s="1"/>
  <c r="J102" i="8"/>
  <c r="H102" i="8"/>
  <c r="G102" i="8"/>
  <c r="I102" i="8" s="1"/>
  <c r="E102" i="8"/>
  <c r="F102" i="8" s="1"/>
  <c r="J101" i="8"/>
  <c r="H101" i="8"/>
  <c r="G101" i="8"/>
  <c r="I101" i="8" s="1"/>
  <c r="E101" i="8"/>
  <c r="F101" i="8" s="1"/>
  <c r="J100" i="8"/>
  <c r="H100" i="8"/>
  <c r="G100" i="8"/>
  <c r="I100" i="8" s="1"/>
  <c r="E100" i="8"/>
  <c r="F100" i="8" s="1"/>
  <c r="J99" i="8"/>
  <c r="H99" i="8"/>
  <c r="G99" i="8"/>
  <c r="I99" i="8" s="1"/>
  <c r="E99" i="8"/>
  <c r="F99" i="8" s="1"/>
  <c r="J98" i="8"/>
  <c r="H98" i="8"/>
  <c r="G98" i="8"/>
  <c r="I98" i="8" s="1"/>
  <c r="E98" i="8"/>
  <c r="F98" i="8" s="1"/>
  <c r="J97" i="8"/>
  <c r="H97" i="8"/>
  <c r="G97" i="8"/>
  <c r="I97" i="8" s="1"/>
  <c r="E97" i="8"/>
  <c r="F97" i="8" s="1"/>
  <c r="J96" i="8"/>
  <c r="H96" i="8"/>
  <c r="G96" i="8"/>
  <c r="I96" i="8" s="1"/>
  <c r="E96" i="8"/>
  <c r="F96" i="8" s="1"/>
  <c r="J95" i="8"/>
  <c r="H95" i="8"/>
  <c r="G95" i="8"/>
  <c r="I95" i="8" s="1"/>
  <c r="E95" i="8"/>
  <c r="F95" i="8" s="1"/>
  <c r="J94" i="8"/>
  <c r="H94" i="8"/>
  <c r="G94" i="8"/>
  <c r="I94" i="8" s="1"/>
  <c r="E94" i="8"/>
  <c r="F94" i="8" s="1"/>
  <c r="J93" i="8"/>
  <c r="H93" i="8"/>
  <c r="G93" i="8"/>
  <c r="I93" i="8" s="1"/>
  <c r="E93" i="8"/>
  <c r="F93" i="8" s="1"/>
  <c r="J92" i="8"/>
  <c r="H92" i="8"/>
  <c r="G92" i="8"/>
  <c r="I92" i="8" s="1"/>
  <c r="E92" i="8"/>
  <c r="F92" i="8" s="1"/>
  <c r="J91" i="8"/>
  <c r="H91" i="8"/>
  <c r="G91" i="8"/>
  <c r="I91" i="8" s="1"/>
  <c r="E91" i="8"/>
  <c r="F91" i="8" s="1"/>
  <c r="J90" i="8"/>
  <c r="H90" i="8"/>
  <c r="G90" i="8"/>
  <c r="I90" i="8" s="1"/>
  <c r="E90" i="8"/>
  <c r="F90" i="8" s="1"/>
  <c r="J89" i="8"/>
  <c r="H89" i="8"/>
  <c r="G89" i="8"/>
  <c r="I89" i="8" s="1"/>
  <c r="E89" i="8"/>
  <c r="F89" i="8" s="1"/>
  <c r="J88" i="8"/>
  <c r="H88" i="8"/>
  <c r="G88" i="8"/>
  <c r="I88" i="8" s="1"/>
  <c r="E88" i="8"/>
  <c r="F88" i="8" s="1"/>
  <c r="J87" i="8"/>
  <c r="H87" i="8"/>
  <c r="G87" i="8"/>
  <c r="I87" i="8" s="1"/>
  <c r="E87" i="8"/>
  <c r="F87" i="8" s="1"/>
  <c r="J86" i="8"/>
  <c r="H86" i="8"/>
  <c r="G86" i="8"/>
  <c r="I86" i="8" s="1"/>
  <c r="E86" i="8"/>
  <c r="F86" i="8" s="1"/>
  <c r="J85" i="8"/>
  <c r="H85" i="8"/>
  <c r="G85" i="8"/>
  <c r="I85" i="8" s="1"/>
  <c r="E85" i="8"/>
  <c r="F85" i="8" s="1"/>
  <c r="J84" i="8"/>
  <c r="H84" i="8"/>
  <c r="G84" i="8"/>
  <c r="I84" i="8" s="1"/>
  <c r="E84" i="8"/>
  <c r="F84" i="8" s="1"/>
  <c r="J83" i="8"/>
  <c r="I83" i="8"/>
  <c r="H83" i="8"/>
  <c r="G83" i="8"/>
  <c r="E83" i="8"/>
  <c r="F83" i="8" s="1"/>
  <c r="J82" i="8"/>
  <c r="H82" i="8"/>
  <c r="G82" i="8"/>
  <c r="I82" i="8" s="1"/>
  <c r="E82" i="8"/>
  <c r="F82" i="8" s="1"/>
  <c r="J81" i="8"/>
  <c r="H81" i="8"/>
  <c r="G81" i="8"/>
  <c r="I81" i="8" s="1"/>
  <c r="E81" i="8"/>
  <c r="F81" i="8" s="1"/>
  <c r="J80" i="8"/>
  <c r="H80" i="8"/>
  <c r="G80" i="8"/>
  <c r="I80" i="8" s="1"/>
  <c r="E80" i="8"/>
  <c r="F80" i="8" s="1"/>
  <c r="J79" i="8"/>
  <c r="H79" i="8"/>
  <c r="G79" i="8"/>
  <c r="I79" i="8" s="1"/>
  <c r="E79" i="8"/>
  <c r="F79" i="8" s="1"/>
  <c r="J78" i="8"/>
  <c r="H78" i="8"/>
  <c r="G78" i="8"/>
  <c r="I78" i="8" s="1"/>
  <c r="E78" i="8"/>
  <c r="F78" i="8" s="1"/>
  <c r="J77" i="8"/>
  <c r="H77" i="8"/>
  <c r="G77" i="8"/>
  <c r="I77" i="8" s="1"/>
  <c r="E77" i="8"/>
  <c r="F77" i="8" s="1"/>
  <c r="J76" i="8"/>
  <c r="H76" i="8"/>
  <c r="G76" i="8"/>
  <c r="I76" i="8" s="1"/>
  <c r="E76" i="8"/>
  <c r="F76" i="8" s="1"/>
  <c r="J75" i="8"/>
  <c r="H75" i="8"/>
  <c r="G75" i="8"/>
  <c r="I75" i="8" s="1"/>
  <c r="E75" i="8"/>
  <c r="F75" i="8" s="1"/>
  <c r="J74" i="8"/>
  <c r="H74" i="8"/>
  <c r="G74" i="8"/>
  <c r="I74" i="8" s="1"/>
  <c r="E74" i="8"/>
  <c r="F74" i="8" s="1"/>
  <c r="J73" i="8"/>
  <c r="H73" i="8"/>
  <c r="G73" i="8"/>
  <c r="I73" i="8" s="1"/>
  <c r="E73" i="8"/>
  <c r="F73" i="8" s="1"/>
  <c r="J72" i="8"/>
  <c r="H72" i="8"/>
  <c r="G72" i="8"/>
  <c r="I72" i="8" s="1"/>
  <c r="E72" i="8"/>
  <c r="F72" i="8" s="1"/>
  <c r="J71" i="8"/>
  <c r="H71" i="8"/>
  <c r="G71" i="8"/>
  <c r="I71" i="8" s="1"/>
  <c r="E71" i="8"/>
  <c r="F71" i="8" s="1"/>
  <c r="J70" i="8"/>
  <c r="H70" i="8"/>
  <c r="G70" i="8"/>
  <c r="I70" i="8" s="1"/>
  <c r="E70" i="8"/>
  <c r="F70" i="8" s="1"/>
  <c r="J69" i="8"/>
  <c r="H69" i="8"/>
  <c r="G69" i="8"/>
  <c r="I69" i="8" s="1"/>
  <c r="E69" i="8"/>
  <c r="F69" i="8" s="1"/>
  <c r="J68" i="8"/>
  <c r="H68" i="8"/>
  <c r="G68" i="8"/>
  <c r="I68" i="8" s="1"/>
  <c r="E68" i="8"/>
  <c r="F68" i="8" s="1"/>
  <c r="J67" i="8"/>
  <c r="H67" i="8"/>
  <c r="G67" i="8"/>
  <c r="I67" i="8" s="1"/>
  <c r="E67" i="8"/>
  <c r="F67" i="8" s="1"/>
  <c r="J66" i="8"/>
  <c r="H66" i="8"/>
  <c r="G66" i="8"/>
  <c r="I66" i="8" s="1"/>
  <c r="E66" i="8"/>
  <c r="F66" i="8" s="1"/>
  <c r="J65" i="8"/>
  <c r="H65" i="8"/>
  <c r="G65" i="8"/>
  <c r="I65" i="8" s="1"/>
  <c r="E65" i="8"/>
  <c r="F65" i="8" s="1"/>
  <c r="J64" i="8"/>
  <c r="H64" i="8"/>
  <c r="G64" i="8"/>
  <c r="I64" i="8" s="1"/>
  <c r="E64" i="8"/>
  <c r="F64" i="8" s="1"/>
  <c r="J63" i="8"/>
  <c r="H63" i="8"/>
  <c r="G63" i="8"/>
  <c r="I63" i="8" s="1"/>
  <c r="E63" i="8"/>
  <c r="F63" i="8" s="1"/>
  <c r="J62" i="8"/>
  <c r="H62" i="8"/>
  <c r="G62" i="8"/>
  <c r="I62" i="8" s="1"/>
  <c r="E62" i="8"/>
  <c r="F62" i="8" s="1"/>
  <c r="J61" i="8"/>
  <c r="H61" i="8"/>
  <c r="G61" i="8"/>
  <c r="I61" i="8" s="1"/>
  <c r="E61" i="8"/>
  <c r="F61" i="8" s="1"/>
  <c r="J60" i="8"/>
  <c r="H60" i="8"/>
  <c r="G60" i="8"/>
  <c r="I60" i="8" s="1"/>
  <c r="E60" i="8"/>
  <c r="F60" i="8" s="1"/>
  <c r="J59" i="8"/>
  <c r="H59" i="8"/>
  <c r="G59" i="8"/>
  <c r="I59" i="8" s="1"/>
  <c r="E59" i="8"/>
  <c r="F59" i="8" s="1"/>
  <c r="J58" i="8"/>
  <c r="H58" i="8"/>
  <c r="G58" i="8"/>
  <c r="I58" i="8" s="1"/>
  <c r="E58" i="8"/>
  <c r="F58" i="8" s="1"/>
  <c r="J57" i="8"/>
  <c r="H57" i="8"/>
  <c r="G57" i="8"/>
  <c r="I57" i="8" s="1"/>
  <c r="E57" i="8"/>
  <c r="F57" i="8" s="1"/>
  <c r="J56" i="8"/>
  <c r="H56" i="8"/>
  <c r="G56" i="8"/>
  <c r="I56" i="8" s="1"/>
  <c r="E56" i="8"/>
  <c r="F56" i="8" s="1"/>
  <c r="J55" i="8"/>
  <c r="H55" i="8"/>
  <c r="G55" i="8"/>
  <c r="I55" i="8" s="1"/>
  <c r="E55" i="8"/>
  <c r="F55" i="8" s="1"/>
  <c r="J54" i="8"/>
  <c r="H54" i="8"/>
  <c r="G54" i="8"/>
  <c r="I54" i="8" s="1"/>
  <c r="E54" i="8"/>
  <c r="F54" i="8" s="1"/>
  <c r="J53" i="8"/>
  <c r="H53" i="8"/>
  <c r="G53" i="8"/>
  <c r="I53" i="8" s="1"/>
  <c r="E53" i="8"/>
  <c r="F53" i="8" s="1"/>
  <c r="J52" i="8"/>
  <c r="H52" i="8"/>
  <c r="G52" i="8"/>
  <c r="I52" i="8" s="1"/>
  <c r="E52" i="8"/>
  <c r="F52" i="8" s="1"/>
  <c r="J51" i="8"/>
  <c r="H51" i="8"/>
  <c r="G51" i="8"/>
  <c r="I51" i="8" s="1"/>
  <c r="E51" i="8"/>
  <c r="F51" i="8" s="1"/>
  <c r="J50" i="8"/>
  <c r="H50" i="8"/>
  <c r="G50" i="8"/>
  <c r="I50" i="8" s="1"/>
  <c r="E50" i="8"/>
  <c r="F50" i="8" s="1"/>
  <c r="J49" i="8"/>
  <c r="H49" i="8"/>
  <c r="G49" i="8"/>
  <c r="I49" i="8" s="1"/>
  <c r="E49" i="8"/>
  <c r="F49" i="8" s="1"/>
  <c r="J48" i="8"/>
  <c r="H48" i="8"/>
  <c r="G48" i="8"/>
  <c r="I48" i="8" s="1"/>
  <c r="E48" i="8"/>
  <c r="F48" i="8" s="1"/>
  <c r="J47" i="8"/>
  <c r="H47" i="8"/>
  <c r="G47" i="8"/>
  <c r="I47" i="8" s="1"/>
  <c r="E47" i="8"/>
  <c r="F47" i="8" s="1"/>
  <c r="J46" i="8"/>
  <c r="H46" i="8"/>
  <c r="G46" i="8"/>
  <c r="I46" i="8" s="1"/>
  <c r="E46" i="8"/>
  <c r="F46" i="8" s="1"/>
  <c r="J45" i="8"/>
  <c r="H45" i="8"/>
  <c r="G45" i="8"/>
  <c r="I45" i="8" s="1"/>
  <c r="E45" i="8"/>
  <c r="F45" i="8" s="1"/>
  <c r="J44" i="8"/>
  <c r="H44" i="8"/>
  <c r="G44" i="8"/>
  <c r="I44" i="8" s="1"/>
  <c r="E44" i="8"/>
  <c r="F44" i="8" s="1"/>
  <c r="J43" i="8"/>
  <c r="H43" i="8"/>
  <c r="G43" i="8"/>
  <c r="I43" i="8" s="1"/>
  <c r="E43" i="8"/>
  <c r="F43" i="8" s="1"/>
  <c r="J42" i="8"/>
  <c r="H42" i="8"/>
  <c r="G42" i="8"/>
  <c r="I42" i="8" s="1"/>
  <c r="E42" i="8"/>
  <c r="F42" i="8" s="1"/>
  <c r="J41" i="8"/>
  <c r="H41" i="8"/>
  <c r="G41" i="8"/>
  <c r="I41" i="8" s="1"/>
  <c r="E41" i="8"/>
  <c r="F41" i="8" s="1"/>
  <c r="J40" i="8"/>
  <c r="H40" i="8"/>
  <c r="G40" i="8"/>
  <c r="I40" i="8" s="1"/>
  <c r="E40" i="8"/>
  <c r="F40" i="8" s="1"/>
  <c r="J39" i="8"/>
  <c r="H39" i="8"/>
  <c r="G39" i="8"/>
  <c r="I39" i="8" s="1"/>
  <c r="E39" i="8"/>
  <c r="F39" i="8" s="1"/>
  <c r="J38" i="8"/>
  <c r="H38" i="8"/>
  <c r="G38" i="8"/>
  <c r="I38" i="8" s="1"/>
  <c r="E38" i="8"/>
  <c r="F38" i="8" s="1"/>
  <c r="J37" i="8"/>
  <c r="H37" i="8"/>
  <c r="G37" i="8"/>
  <c r="I37" i="8" s="1"/>
  <c r="E37" i="8"/>
  <c r="F37" i="8" s="1"/>
  <c r="J36" i="8"/>
  <c r="H36" i="8"/>
  <c r="G36" i="8"/>
  <c r="I36" i="8" s="1"/>
  <c r="E36" i="8"/>
  <c r="F36" i="8" s="1"/>
  <c r="J35" i="8"/>
  <c r="H35" i="8"/>
  <c r="G35" i="8"/>
  <c r="I35" i="8" s="1"/>
  <c r="E35" i="8"/>
  <c r="F35" i="8" s="1"/>
  <c r="J34" i="8"/>
  <c r="H34" i="8"/>
  <c r="G34" i="8"/>
  <c r="I34" i="8" s="1"/>
  <c r="E34" i="8"/>
  <c r="F34" i="8" s="1"/>
  <c r="J33" i="8"/>
  <c r="H33" i="8"/>
  <c r="G33" i="8"/>
  <c r="I33" i="8" s="1"/>
  <c r="E33" i="8"/>
  <c r="F33" i="8" s="1"/>
  <c r="J32" i="8"/>
  <c r="H32" i="8"/>
  <c r="G32" i="8"/>
  <c r="I32" i="8" s="1"/>
  <c r="E32" i="8"/>
  <c r="F32" i="8" s="1"/>
  <c r="J31" i="8"/>
  <c r="H31" i="8"/>
  <c r="G31" i="8"/>
  <c r="I31" i="8" s="1"/>
  <c r="E31" i="8"/>
  <c r="F31" i="8" s="1"/>
  <c r="J30" i="8"/>
  <c r="H30" i="8"/>
  <c r="G30" i="8"/>
  <c r="I30" i="8" s="1"/>
  <c r="E30" i="8"/>
  <c r="F30" i="8" s="1"/>
  <c r="J29" i="8"/>
  <c r="H29" i="8"/>
  <c r="G29" i="8"/>
  <c r="I29" i="8" s="1"/>
  <c r="E29" i="8"/>
  <c r="F29" i="8" s="1"/>
  <c r="J28" i="8"/>
  <c r="H28" i="8"/>
  <c r="G28" i="8"/>
  <c r="I28" i="8" s="1"/>
  <c r="E28" i="8"/>
  <c r="F28" i="8" s="1"/>
  <c r="J27" i="8"/>
  <c r="H27" i="8"/>
  <c r="G27" i="8"/>
  <c r="I27" i="8" s="1"/>
  <c r="E27" i="8"/>
  <c r="F27" i="8" s="1"/>
  <c r="J26" i="8"/>
  <c r="H26" i="8"/>
  <c r="G26" i="8"/>
  <c r="I26" i="8" s="1"/>
  <c r="E26" i="8"/>
  <c r="F26" i="8" s="1"/>
  <c r="J25" i="8"/>
  <c r="H25" i="8"/>
  <c r="G25" i="8"/>
  <c r="I25" i="8" s="1"/>
  <c r="E25" i="8"/>
  <c r="F25" i="8" s="1"/>
  <c r="J24" i="8"/>
  <c r="H24" i="8"/>
  <c r="G24" i="8"/>
  <c r="I24" i="8" s="1"/>
  <c r="E24" i="8"/>
  <c r="F24" i="8" s="1"/>
  <c r="J23" i="8"/>
  <c r="H23" i="8"/>
  <c r="G23" i="8"/>
  <c r="I23" i="8" s="1"/>
  <c r="E23" i="8"/>
  <c r="F23" i="8" s="1"/>
  <c r="J22" i="8"/>
  <c r="H22" i="8"/>
  <c r="G22" i="8"/>
  <c r="I22" i="8" s="1"/>
  <c r="E22" i="8"/>
  <c r="F22" i="8" s="1"/>
  <c r="J21" i="8"/>
  <c r="H21" i="8"/>
  <c r="G21" i="8"/>
  <c r="I21" i="8" s="1"/>
  <c r="E21" i="8"/>
  <c r="F21" i="8" s="1"/>
  <c r="J20" i="8"/>
  <c r="H20" i="8"/>
  <c r="G20" i="8"/>
  <c r="I20" i="8" s="1"/>
  <c r="E20" i="8"/>
  <c r="F20" i="8" s="1"/>
  <c r="J19" i="8"/>
  <c r="H19" i="8"/>
  <c r="G19" i="8"/>
  <c r="I19" i="8" s="1"/>
  <c r="E19" i="8"/>
  <c r="F19" i="8" s="1"/>
  <c r="J18" i="8"/>
  <c r="H18" i="8"/>
  <c r="G18" i="8"/>
  <c r="I18" i="8" s="1"/>
  <c r="E18" i="8"/>
  <c r="F18" i="8" s="1"/>
  <c r="J17" i="8"/>
  <c r="H17" i="8"/>
  <c r="G17" i="8"/>
  <c r="I17" i="8" s="1"/>
  <c r="E17" i="8"/>
  <c r="F17" i="8" s="1"/>
  <c r="J16" i="8"/>
  <c r="H16" i="8"/>
  <c r="G16" i="8"/>
  <c r="I16" i="8" s="1"/>
  <c r="E16" i="8"/>
  <c r="F16" i="8" s="1"/>
  <c r="J15" i="8"/>
  <c r="H15" i="8"/>
  <c r="G15" i="8"/>
  <c r="I15" i="8" s="1"/>
  <c r="E15" i="8"/>
  <c r="F15" i="8" s="1"/>
  <c r="J14" i="8"/>
  <c r="H14" i="8"/>
  <c r="G14" i="8"/>
  <c r="I14" i="8" s="1"/>
  <c r="E14" i="8"/>
  <c r="F14" i="8" s="1"/>
  <c r="J13" i="8"/>
  <c r="H13" i="8"/>
  <c r="G13" i="8"/>
  <c r="I13" i="8" s="1"/>
  <c r="E13" i="8"/>
  <c r="F13" i="8" s="1"/>
  <c r="J12" i="8"/>
  <c r="H12" i="8"/>
  <c r="G12" i="8"/>
  <c r="I12" i="8" s="1"/>
  <c r="E12" i="8"/>
  <c r="F12" i="8" s="1"/>
  <c r="J11" i="8"/>
  <c r="H11" i="8"/>
  <c r="G11" i="8"/>
  <c r="I11" i="8" s="1"/>
  <c r="E11" i="8"/>
  <c r="F11" i="8" s="1"/>
  <c r="J10" i="8"/>
  <c r="H10" i="8"/>
  <c r="G10" i="8"/>
  <c r="I10" i="8" s="1"/>
  <c r="E10" i="8"/>
  <c r="F10" i="8" s="1"/>
  <c r="J9" i="8"/>
  <c r="H9" i="8"/>
  <c r="G9" i="8"/>
  <c r="I9" i="8" s="1"/>
  <c r="E9" i="8"/>
  <c r="F9" i="8" s="1"/>
  <c r="J8" i="8"/>
  <c r="H8" i="8"/>
  <c r="G8" i="8"/>
  <c r="I8" i="8" s="1"/>
  <c r="E8" i="8"/>
  <c r="F8" i="8" s="1"/>
  <c r="J7" i="8"/>
  <c r="H7" i="8"/>
  <c r="G7" i="8"/>
  <c r="I7" i="8" s="1"/>
  <c r="E7" i="8"/>
  <c r="F7" i="8" s="1"/>
  <c r="J6" i="8"/>
  <c r="H6" i="8"/>
  <c r="G6" i="8"/>
  <c r="I6" i="8" s="1"/>
  <c r="E6" i="8"/>
  <c r="F6" i="8" s="1"/>
  <c r="J5" i="8"/>
  <c r="H5" i="8"/>
  <c r="G5" i="8"/>
  <c r="I5" i="8" s="1"/>
  <c r="E5" i="8"/>
  <c r="F5" i="8" s="1"/>
  <c r="J4" i="8"/>
  <c r="H4" i="8"/>
  <c r="G4" i="8"/>
  <c r="I4" i="8" s="1"/>
  <c r="E4" i="8"/>
  <c r="F4" i="8" s="1"/>
  <c r="F3" i="8"/>
  <c r="D3" i="8"/>
  <c r="C3" i="8"/>
  <c r="B3" i="8"/>
  <c r="A3" i="8"/>
  <c r="D2" i="8"/>
  <c r="C2" i="8"/>
  <c r="B2" i="8"/>
  <c r="A2" i="8"/>
  <c r="N501" i="7"/>
  <c r="K501" i="7"/>
  <c r="M501" i="7" s="1"/>
  <c r="H501" i="7"/>
  <c r="I501" i="7" s="1"/>
  <c r="G501" i="7"/>
  <c r="F501" i="7"/>
  <c r="E501" i="7"/>
  <c r="D501" i="7"/>
  <c r="B501" i="7"/>
  <c r="N500" i="7"/>
  <c r="K500" i="7"/>
  <c r="M500" i="7" s="1"/>
  <c r="H500" i="7"/>
  <c r="I500" i="7" s="1"/>
  <c r="G500" i="7"/>
  <c r="F500" i="7"/>
  <c r="E500" i="7"/>
  <c r="D500" i="7"/>
  <c r="B500" i="7"/>
  <c r="N499" i="7"/>
  <c r="K499" i="7"/>
  <c r="M499" i="7" s="1"/>
  <c r="H499" i="7"/>
  <c r="I499" i="7" s="1"/>
  <c r="G499" i="7"/>
  <c r="F499" i="7"/>
  <c r="E499" i="7"/>
  <c r="D499" i="7"/>
  <c r="B499" i="7"/>
  <c r="N498" i="7"/>
  <c r="K498" i="7"/>
  <c r="M498" i="7" s="1"/>
  <c r="H498" i="7"/>
  <c r="I498" i="7" s="1"/>
  <c r="G498" i="7"/>
  <c r="F498" i="7"/>
  <c r="E498" i="7"/>
  <c r="D498" i="7"/>
  <c r="B498" i="7"/>
  <c r="N497" i="7"/>
  <c r="K497" i="7"/>
  <c r="M497" i="7" s="1"/>
  <c r="H497" i="7"/>
  <c r="I497" i="7" s="1"/>
  <c r="G497" i="7"/>
  <c r="F497" i="7"/>
  <c r="E497" i="7"/>
  <c r="D497" i="7"/>
  <c r="B497" i="7"/>
  <c r="N496" i="7"/>
  <c r="K496" i="7"/>
  <c r="M496" i="7" s="1"/>
  <c r="H496" i="7"/>
  <c r="I496" i="7" s="1"/>
  <c r="G496" i="7"/>
  <c r="F496" i="7"/>
  <c r="E496" i="7"/>
  <c r="D496" i="7"/>
  <c r="B496" i="7"/>
  <c r="N495" i="7"/>
  <c r="K495" i="7"/>
  <c r="M495" i="7" s="1"/>
  <c r="H495" i="7"/>
  <c r="I495" i="7" s="1"/>
  <c r="G495" i="7"/>
  <c r="F495" i="7"/>
  <c r="E495" i="7"/>
  <c r="D495" i="7"/>
  <c r="B495" i="7"/>
  <c r="N494" i="7"/>
  <c r="K494" i="7"/>
  <c r="M494" i="7" s="1"/>
  <c r="H494" i="7"/>
  <c r="I494" i="7" s="1"/>
  <c r="G494" i="7"/>
  <c r="F494" i="7"/>
  <c r="E494" i="7"/>
  <c r="D494" i="7"/>
  <c r="B494" i="7"/>
  <c r="N493" i="7"/>
  <c r="K493" i="7"/>
  <c r="M493" i="7" s="1"/>
  <c r="H493" i="7"/>
  <c r="I493" i="7" s="1"/>
  <c r="G493" i="7"/>
  <c r="F493" i="7"/>
  <c r="E493" i="7"/>
  <c r="D493" i="7"/>
  <c r="B493" i="7"/>
  <c r="N492" i="7"/>
  <c r="K492" i="7"/>
  <c r="M492" i="7" s="1"/>
  <c r="H492" i="7"/>
  <c r="I492" i="7" s="1"/>
  <c r="G492" i="7"/>
  <c r="F492" i="7"/>
  <c r="E492" i="7"/>
  <c r="D492" i="7"/>
  <c r="B492" i="7"/>
  <c r="N491" i="7"/>
  <c r="K491" i="7"/>
  <c r="M491" i="7" s="1"/>
  <c r="H491" i="7"/>
  <c r="I491" i="7" s="1"/>
  <c r="G491" i="7"/>
  <c r="F491" i="7"/>
  <c r="E491" i="7"/>
  <c r="D491" i="7"/>
  <c r="B491" i="7"/>
  <c r="N490" i="7"/>
  <c r="K490" i="7"/>
  <c r="M490" i="7" s="1"/>
  <c r="H490" i="7"/>
  <c r="I490" i="7" s="1"/>
  <c r="G490" i="7"/>
  <c r="F490" i="7"/>
  <c r="E490" i="7"/>
  <c r="D490" i="7"/>
  <c r="B490" i="7"/>
  <c r="N489" i="7"/>
  <c r="K489" i="7"/>
  <c r="M489" i="7" s="1"/>
  <c r="H489" i="7"/>
  <c r="I489" i="7" s="1"/>
  <c r="G489" i="7"/>
  <c r="F489" i="7"/>
  <c r="E489" i="7"/>
  <c r="D489" i="7"/>
  <c r="B489" i="7"/>
  <c r="N488" i="7"/>
  <c r="K488" i="7"/>
  <c r="M488" i="7" s="1"/>
  <c r="H488" i="7"/>
  <c r="I488" i="7" s="1"/>
  <c r="G488" i="7"/>
  <c r="F488" i="7"/>
  <c r="E488" i="7"/>
  <c r="D488" i="7"/>
  <c r="B488" i="7"/>
  <c r="N487" i="7"/>
  <c r="K487" i="7"/>
  <c r="M487" i="7" s="1"/>
  <c r="H487" i="7"/>
  <c r="I487" i="7" s="1"/>
  <c r="G487" i="7"/>
  <c r="F487" i="7"/>
  <c r="E487" i="7"/>
  <c r="D487" i="7"/>
  <c r="B487" i="7"/>
  <c r="N486" i="7"/>
  <c r="K486" i="7"/>
  <c r="M486" i="7" s="1"/>
  <c r="H486" i="7"/>
  <c r="I486" i="7" s="1"/>
  <c r="G486" i="7"/>
  <c r="F486" i="7"/>
  <c r="E486" i="7"/>
  <c r="D486" i="7"/>
  <c r="B486" i="7"/>
  <c r="N485" i="7"/>
  <c r="K485" i="7"/>
  <c r="M485" i="7" s="1"/>
  <c r="H485" i="7"/>
  <c r="I485" i="7" s="1"/>
  <c r="G485" i="7"/>
  <c r="F485" i="7"/>
  <c r="E485" i="7"/>
  <c r="D485" i="7"/>
  <c r="B485" i="7"/>
  <c r="N484" i="7"/>
  <c r="K484" i="7"/>
  <c r="M484" i="7" s="1"/>
  <c r="H484" i="7"/>
  <c r="I484" i="7" s="1"/>
  <c r="G484" i="7"/>
  <c r="F484" i="7"/>
  <c r="E484" i="7"/>
  <c r="D484" i="7"/>
  <c r="B484" i="7"/>
  <c r="N483" i="7"/>
  <c r="K483" i="7"/>
  <c r="M483" i="7" s="1"/>
  <c r="H483" i="7"/>
  <c r="I483" i="7" s="1"/>
  <c r="G483" i="7"/>
  <c r="F483" i="7"/>
  <c r="E483" i="7"/>
  <c r="D483" i="7"/>
  <c r="B483" i="7"/>
  <c r="N482" i="7"/>
  <c r="K482" i="7"/>
  <c r="M482" i="7" s="1"/>
  <c r="H482" i="7"/>
  <c r="I482" i="7" s="1"/>
  <c r="G482" i="7"/>
  <c r="F482" i="7"/>
  <c r="E482" i="7"/>
  <c r="D482" i="7"/>
  <c r="B482" i="7"/>
  <c r="N481" i="7"/>
  <c r="K481" i="7"/>
  <c r="M481" i="7" s="1"/>
  <c r="H481" i="7"/>
  <c r="I481" i="7" s="1"/>
  <c r="G481" i="7"/>
  <c r="F481" i="7"/>
  <c r="E481" i="7"/>
  <c r="D481" i="7"/>
  <c r="B481" i="7"/>
  <c r="N480" i="7"/>
  <c r="K480" i="7"/>
  <c r="M480" i="7" s="1"/>
  <c r="H480" i="7"/>
  <c r="I480" i="7" s="1"/>
  <c r="G480" i="7"/>
  <c r="F480" i="7"/>
  <c r="E480" i="7"/>
  <c r="D480" i="7"/>
  <c r="B480" i="7"/>
  <c r="N479" i="7"/>
  <c r="K479" i="7"/>
  <c r="M479" i="7" s="1"/>
  <c r="H479" i="7"/>
  <c r="I479" i="7" s="1"/>
  <c r="G479" i="7"/>
  <c r="F479" i="7"/>
  <c r="E479" i="7"/>
  <c r="D479" i="7"/>
  <c r="B479" i="7"/>
  <c r="N478" i="7"/>
  <c r="K478" i="7"/>
  <c r="M478" i="7" s="1"/>
  <c r="H478" i="7"/>
  <c r="I478" i="7" s="1"/>
  <c r="G478" i="7"/>
  <c r="F478" i="7"/>
  <c r="E478" i="7"/>
  <c r="D478" i="7"/>
  <c r="B478" i="7"/>
  <c r="N477" i="7"/>
  <c r="K477" i="7"/>
  <c r="M477" i="7" s="1"/>
  <c r="H477" i="7"/>
  <c r="I477" i="7" s="1"/>
  <c r="G477" i="7"/>
  <c r="F477" i="7"/>
  <c r="E477" i="7"/>
  <c r="D477" i="7"/>
  <c r="B477" i="7"/>
  <c r="N476" i="7"/>
  <c r="K476" i="7"/>
  <c r="M476" i="7" s="1"/>
  <c r="H476" i="7"/>
  <c r="I476" i="7" s="1"/>
  <c r="G476" i="7"/>
  <c r="F476" i="7"/>
  <c r="E476" i="7"/>
  <c r="D476" i="7"/>
  <c r="B476" i="7"/>
  <c r="N475" i="7"/>
  <c r="K475" i="7"/>
  <c r="M475" i="7" s="1"/>
  <c r="H475" i="7"/>
  <c r="I475" i="7" s="1"/>
  <c r="G475" i="7"/>
  <c r="F475" i="7"/>
  <c r="E475" i="7"/>
  <c r="D475" i="7"/>
  <c r="B475" i="7"/>
  <c r="N474" i="7"/>
  <c r="K474" i="7"/>
  <c r="M474" i="7" s="1"/>
  <c r="H474" i="7"/>
  <c r="I474" i="7" s="1"/>
  <c r="G474" i="7"/>
  <c r="F474" i="7"/>
  <c r="E474" i="7"/>
  <c r="D474" i="7"/>
  <c r="B474" i="7"/>
  <c r="N473" i="7"/>
  <c r="K473" i="7"/>
  <c r="M473" i="7" s="1"/>
  <c r="H473" i="7"/>
  <c r="I473" i="7" s="1"/>
  <c r="G473" i="7"/>
  <c r="F473" i="7"/>
  <c r="E473" i="7"/>
  <c r="D473" i="7"/>
  <c r="B473" i="7"/>
  <c r="N472" i="7"/>
  <c r="K472" i="7"/>
  <c r="M472" i="7" s="1"/>
  <c r="H472" i="7"/>
  <c r="I472" i="7" s="1"/>
  <c r="G472" i="7"/>
  <c r="F472" i="7"/>
  <c r="E472" i="7"/>
  <c r="D472" i="7"/>
  <c r="B472" i="7"/>
  <c r="N471" i="7"/>
  <c r="K471" i="7"/>
  <c r="M471" i="7" s="1"/>
  <c r="H471" i="7"/>
  <c r="I471" i="7" s="1"/>
  <c r="G471" i="7"/>
  <c r="F471" i="7"/>
  <c r="E471" i="7"/>
  <c r="D471" i="7"/>
  <c r="B471" i="7"/>
  <c r="N470" i="7"/>
  <c r="K470" i="7"/>
  <c r="M470" i="7" s="1"/>
  <c r="H470" i="7"/>
  <c r="I470" i="7" s="1"/>
  <c r="G470" i="7"/>
  <c r="F470" i="7"/>
  <c r="E470" i="7"/>
  <c r="D470" i="7"/>
  <c r="B470" i="7"/>
  <c r="N469" i="7"/>
  <c r="K469" i="7"/>
  <c r="M469" i="7" s="1"/>
  <c r="H469" i="7"/>
  <c r="I469" i="7" s="1"/>
  <c r="G469" i="7"/>
  <c r="F469" i="7"/>
  <c r="E469" i="7"/>
  <c r="D469" i="7"/>
  <c r="B469" i="7"/>
  <c r="N468" i="7"/>
  <c r="K468" i="7"/>
  <c r="M468" i="7" s="1"/>
  <c r="H468" i="7"/>
  <c r="I468" i="7" s="1"/>
  <c r="G468" i="7"/>
  <c r="F468" i="7"/>
  <c r="E468" i="7"/>
  <c r="D468" i="7"/>
  <c r="B468" i="7"/>
  <c r="N467" i="7"/>
  <c r="K467" i="7"/>
  <c r="M467" i="7" s="1"/>
  <c r="H467" i="7"/>
  <c r="I467" i="7" s="1"/>
  <c r="G467" i="7"/>
  <c r="F467" i="7"/>
  <c r="E467" i="7"/>
  <c r="D467" i="7"/>
  <c r="B467" i="7"/>
  <c r="N466" i="7"/>
  <c r="K466" i="7"/>
  <c r="M466" i="7" s="1"/>
  <c r="H466" i="7"/>
  <c r="I466" i="7" s="1"/>
  <c r="G466" i="7"/>
  <c r="F466" i="7"/>
  <c r="E466" i="7"/>
  <c r="D466" i="7"/>
  <c r="B466" i="7"/>
  <c r="N465" i="7"/>
  <c r="K465" i="7"/>
  <c r="M465" i="7" s="1"/>
  <c r="H465" i="7"/>
  <c r="I465" i="7" s="1"/>
  <c r="G465" i="7"/>
  <c r="F465" i="7"/>
  <c r="E465" i="7"/>
  <c r="D465" i="7"/>
  <c r="B465" i="7"/>
  <c r="N464" i="7"/>
  <c r="K464" i="7"/>
  <c r="M464" i="7" s="1"/>
  <c r="H464" i="7"/>
  <c r="I464" i="7" s="1"/>
  <c r="G464" i="7"/>
  <c r="F464" i="7"/>
  <c r="E464" i="7"/>
  <c r="D464" i="7"/>
  <c r="B464" i="7"/>
  <c r="N463" i="7"/>
  <c r="K463" i="7"/>
  <c r="M463" i="7" s="1"/>
  <c r="H463" i="7"/>
  <c r="I463" i="7" s="1"/>
  <c r="G463" i="7"/>
  <c r="F463" i="7"/>
  <c r="E463" i="7"/>
  <c r="D463" i="7"/>
  <c r="B463" i="7"/>
  <c r="N462" i="7"/>
  <c r="K462" i="7"/>
  <c r="M462" i="7" s="1"/>
  <c r="H462" i="7"/>
  <c r="I462" i="7" s="1"/>
  <c r="G462" i="7"/>
  <c r="F462" i="7"/>
  <c r="E462" i="7"/>
  <c r="D462" i="7"/>
  <c r="B462" i="7"/>
  <c r="N461" i="7"/>
  <c r="K461" i="7"/>
  <c r="M461" i="7" s="1"/>
  <c r="H461" i="7"/>
  <c r="I461" i="7" s="1"/>
  <c r="G461" i="7"/>
  <c r="F461" i="7"/>
  <c r="E461" i="7"/>
  <c r="D461" i="7"/>
  <c r="B461" i="7"/>
  <c r="N460" i="7"/>
  <c r="K460" i="7"/>
  <c r="M460" i="7" s="1"/>
  <c r="H460" i="7"/>
  <c r="I460" i="7" s="1"/>
  <c r="G460" i="7"/>
  <c r="F460" i="7"/>
  <c r="E460" i="7"/>
  <c r="D460" i="7"/>
  <c r="B460" i="7"/>
  <c r="N459" i="7"/>
  <c r="K459" i="7"/>
  <c r="M459" i="7" s="1"/>
  <c r="H459" i="7"/>
  <c r="I459" i="7" s="1"/>
  <c r="G459" i="7"/>
  <c r="F459" i="7"/>
  <c r="E459" i="7"/>
  <c r="D459" i="7"/>
  <c r="B459" i="7"/>
  <c r="N458" i="7"/>
  <c r="K458" i="7"/>
  <c r="M458" i="7" s="1"/>
  <c r="H458" i="7"/>
  <c r="I458" i="7" s="1"/>
  <c r="G458" i="7"/>
  <c r="F458" i="7"/>
  <c r="E458" i="7"/>
  <c r="D458" i="7"/>
  <c r="B458" i="7"/>
  <c r="N457" i="7"/>
  <c r="K457" i="7"/>
  <c r="M457" i="7" s="1"/>
  <c r="H457" i="7"/>
  <c r="I457" i="7" s="1"/>
  <c r="G457" i="7"/>
  <c r="F457" i="7"/>
  <c r="E457" i="7"/>
  <c r="D457" i="7"/>
  <c r="B457" i="7"/>
  <c r="N456" i="7"/>
  <c r="K456" i="7"/>
  <c r="M456" i="7" s="1"/>
  <c r="H456" i="7"/>
  <c r="I456" i="7" s="1"/>
  <c r="G456" i="7"/>
  <c r="F456" i="7"/>
  <c r="E456" i="7"/>
  <c r="D456" i="7"/>
  <c r="B456" i="7"/>
  <c r="N455" i="7"/>
  <c r="K455" i="7"/>
  <c r="M455" i="7" s="1"/>
  <c r="H455" i="7"/>
  <c r="I455" i="7" s="1"/>
  <c r="G455" i="7"/>
  <c r="F455" i="7"/>
  <c r="E455" i="7"/>
  <c r="D455" i="7"/>
  <c r="B455" i="7"/>
  <c r="N454" i="7"/>
  <c r="K454" i="7"/>
  <c r="M454" i="7" s="1"/>
  <c r="H454" i="7"/>
  <c r="I454" i="7" s="1"/>
  <c r="G454" i="7"/>
  <c r="F454" i="7"/>
  <c r="E454" i="7"/>
  <c r="D454" i="7"/>
  <c r="B454" i="7"/>
  <c r="N453" i="7"/>
  <c r="K453" i="7"/>
  <c r="M453" i="7" s="1"/>
  <c r="H453" i="7"/>
  <c r="I453" i="7" s="1"/>
  <c r="G453" i="7"/>
  <c r="F453" i="7"/>
  <c r="E453" i="7"/>
  <c r="D453" i="7"/>
  <c r="B453" i="7"/>
  <c r="N452" i="7"/>
  <c r="K452" i="7"/>
  <c r="M452" i="7" s="1"/>
  <c r="H452" i="7"/>
  <c r="I452" i="7" s="1"/>
  <c r="G452" i="7"/>
  <c r="F452" i="7"/>
  <c r="E452" i="7"/>
  <c r="D452" i="7"/>
  <c r="B452" i="7"/>
  <c r="N451" i="7"/>
  <c r="K451" i="7"/>
  <c r="M451" i="7" s="1"/>
  <c r="H451" i="7"/>
  <c r="I451" i="7" s="1"/>
  <c r="G451" i="7"/>
  <c r="F451" i="7"/>
  <c r="E451" i="7"/>
  <c r="D451" i="7"/>
  <c r="B451" i="7"/>
  <c r="N450" i="7"/>
  <c r="K450" i="7"/>
  <c r="M450" i="7" s="1"/>
  <c r="H450" i="7"/>
  <c r="I450" i="7" s="1"/>
  <c r="G450" i="7"/>
  <c r="F450" i="7"/>
  <c r="E450" i="7"/>
  <c r="D450" i="7"/>
  <c r="B450" i="7"/>
  <c r="N449" i="7"/>
  <c r="K449" i="7"/>
  <c r="M449" i="7" s="1"/>
  <c r="H449" i="7"/>
  <c r="I449" i="7" s="1"/>
  <c r="G449" i="7"/>
  <c r="F449" i="7"/>
  <c r="E449" i="7"/>
  <c r="D449" i="7"/>
  <c r="B449" i="7"/>
  <c r="N448" i="7"/>
  <c r="K448" i="7"/>
  <c r="M448" i="7" s="1"/>
  <c r="H448" i="7"/>
  <c r="I448" i="7" s="1"/>
  <c r="G448" i="7"/>
  <c r="F448" i="7"/>
  <c r="E448" i="7"/>
  <c r="D448" i="7"/>
  <c r="B448" i="7"/>
  <c r="N447" i="7"/>
  <c r="K447" i="7"/>
  <c r="M447" i="7" s="1"/>
  <c r="H447" i="7"/>
  <c r="I447" i="7" s="1"/>
  <c r="G447" i="7"/>
  <c r="F447" i="7"/>
  <c r="E447" i="7"/>
  <c r="D447" i="7"/>
  <c r="B447" i="7"/>
  <c r="N446" i="7"/>
  <c r="K446" i="7"/>
  <c r="M446" i="7" s="1"/>
  <c r="H446" i="7"/>
  <c r="I446" i="7" s="1"/>
  <c r="G446" i="7"/>
  <c r="F446" i="7"/>
  <c r="E446" i="7"/>
  <c r="D446" i="7"/>
  <c r="B446" i="7"/>
  <c r="N445" i="7"/>
  <c r="K445" i="7"/>
  <c r="M445" i="7" s="1"/>
  <c r="H445" i="7"/>
  <c r="I445" i="7" s="1"/>
  <c r="G445" i="7"/>
  <c r="F445" i="7"/>
  <c r="E445" i="7"/>
  <c r="D445" i="7"/>
  <c r="B445" i="7"/>
  <c r="N444" i="7"/>
  <c r="K444" i="7"/>
  <c r="M444" i="7" s="1"/>
  <c r="H444" i="7"/>
  <c r="I444" i="7" s="1"/>
  <c r="G444" i="7"/>
  <c r="F444" i="7"/>
  <c r="E444" i="7"/>
  <c r="D444" i="7"/>
  <c r="B444" i="7"/>
  <c r="N443" i="7"/>
  <c r="K443" i="7"/>
  <c r="M443" i="7" s="1"/>
  <c r="H443" i="7"/>
  <c r="I443" i="7" s="1"/>
  <c r="G443" i="7"/>
  <c r="F443" i="7"/>
  <c r="E443" i="7"/>
  <c r="D443" i="7"/>
  <c r="B443" i="7"/>
  <c r="N442" i="7"/>
  <c r="K442" i="7"/>
  <c r="M442" i="7" s="1"/>
  <c r="H442" i="7"/>
  <c r="I442" i="7" s="1"/>
  <c r="G442" i="7"/>
  <c r="F442" i="7"/>
  <c r="E442" i="7"/>
  <c r="D442" i="7"/>
  <c r="B442" i="7"/>
  <c r="N441" i="7"/>
  <c r="K441" i="7"/>
  <c r="M441" i="7" s="1"/>
  <c r="H441" i="7"/>
  <c r="I441" i="7" s="1"/>
  <c r="G441" i="7"/>
  <c r="F441" i="7"/>
  <c r="E441" i="7"/>
  <c r="D441" i="7"/>
  <c r="B441" i="7"/>
  <c r="N440" i="7"/>
  <c r="K440" i="7"/>
  <c r="M440" i="7" s="1"/>
  <c r="H440" i="7"/>
  <c r="I440" i="7" s="1"/>
  <c r="G440" i="7"/>
  <c r="F440" i="7"/>
  <c r="E440" i="7"/>
  <c r="D440" i="7"/>
  <c r="B440" i="7"/>
  <c r="N439" i="7"/>
  <c r="K439" i="7"/>
  <c r="M439" i="7" s="1"/>
  <c r="H439" i="7"/>
  <c r="I439" i="7" s="1"/>
  <c r="G439" i="7"/>
  <c r="F439" i="7"/>
  <c r="E439" i="7"/>
  <c r="D439" i="7"/>
  <c r="B439" i="7"/>
  <c r="N438" i="7"/>
  <c r="K438" i="7"/>
  <c r="M438" i="7" s="1"/>
  <c r="H438" i="7"/>
  <c r="I438" i="7" s="1"/>
  <c r="G438" i="7"/>
  <c r="F438" i="7"/>
  <c r="E438" i="7"/>
  <c r="D438" i="7"/>
  <c r="B438" i="7"/>
  <c r="N437" i="7"/>
  <c r="K437" i="7"/>
  <c r="M437" i="7" s="1"/>
  <c r="H437" i="7"/>
  <c r="I437" i="7" s="1"/>
  <c r="G437" i="7"/>
  <c r="F437" i="7"/>
  <c r="E437" i="7"/>
  <c r="D437" i="7"/>
  <c r="B437" i="7"/>
  <c r="N436" i="7"/>
  <c r="K436" i="7"/>
  <c r="M436" i="7" s="1"/>
  <c r="H436" i="7"/>
  <c r="I436" i="7" s="1"/>
  <c r="G436" i="7"/>
  <c r="F436" i="7"/>
  <c r="E436" i="7"/>
  <c r="D436" i="7"/>
  <c r="B436" i="7"/>
  <c r="N435" i="7"/>
  <c r="K435" i="7"/>
  <c r="M435" i="7" s="1"/>
  <c r="H435" i="7"/>
  <c r="I435" i="7" s="1"/>
  <c r="G435" i="7"/>
  <c r="F435" i="7"/>
  <c r="E435" i="7"/>
  <c r="D435" i="7"/>
  <c r="B435" i="7"/>
  <c r="N434" i="7"/>
  <c r="K434" i="7"/>
  <c r="M434" i="7" s="1"/>
  <c r="H434" i="7"/>
  <c r="I434" i="7" s="1"/>
  <c r="G434" i="7"/>
  <c r="F434" i="7"/>
  <c r="E434" i="7"/>
  <c r="D434" i="7"/>
  <c r="B434" i="7"/>
  <c r="N433" i="7"/>
  <c r="K433" i="7"/>
  <c r="M433" i="7" s="1"/>
  <c r="H433" i="7"/>
  <c r="I433" i="7" s="1"/>
  <c r="G433" i="7"/>
  <c r="F433" i="7"/>
  <c r="E433" i="7"/>
  <c r="D433" i="7"/>
  <c r="B433" i="7"/>
  <c r="N432" i="7"/>
  <c r="K432" i="7"/>
  <c r="M432" i="7" s="1"/>
  <c r="H432" i="7"/>
  <c r="I432" i="7" s="1"/>
  <c r="G432" i="7"/>
  <c r="F432" i="7"/>
  <c r="E432" i="7"/>
  <c r="D432" i="7"/>
  <c r="B432" i="7"/>
  <c r="N431" i="7"/>
  <c r="K431" i="7"/>
  <c r="M431" i="7" s="1"/>
  <c r="H431" i="7"/>
  <c r="I431" i="7" s="1"/>
  <c r="G431" i="7"/>
  <c r="F431" i="7"/>
  <c r="E431" i="7"/>
  <c r="D431" i="7"/>
  <c r="B431" i="7"/>
  <c r="N430" i="7"/>
  <c r="K430" i="7"/>
  <c r="M430" i="7" s="1"/>
  <c r="H430" i="7"/>
  <c r="I430" i="7" s="1"/>
  <c r="G430" i="7"/>
  <c r="F430" i="7"/>
  <c r="E430" i="7"/>
  <c r="D430" i="7"/>
  <c r="B430" i="7"/>
  <c r="N429" i="7"/>
  <c r="K429" i="7"/>
  <c r="M429" i="7" s="1"/>
  <c r="H429" i="7"/>
  <c r="I429" i="7" s="1"/>
  <c r="G429" i="7"/>
  <c r="F429" i="7"/>
  <c r="E429" i="7"/>
  <c r="D429" i="7"/>
  <c r="B429" i="7"/>
  <c r="N428" i="7"/>
  <c r="K428" i="7"/>
  <c r="M428" i="7" s="1"/>
  <c r="H428" i="7"/>
  <c r="I428" i="7" s="1"/>
  <c r="G428" i="7"/>
  <c r="F428" i="7"/>
  <c r="E428" i="7"/>
  <c r="D428" i="7"/>
  <c r="B428" i="7"/>
  <c r="N427" i="7"/>
  <c r="K427" i="7"/>
  <c r="M427" i="7" s="1"/>
  <c r="H427" i="7"/>
  <c r="I427" i="7" s="1"/>
  <c r="G427" i="7"/>
  <c r="F427" i="7"/>
  <c r="E427" i="7"/>
  <c r="D427" i="7"/>
  <c r="B427" i="7"/>
  <c r="N426" i="7"/>
  <c r="K426" i="7"/>
  <c r="M426" i="7" s="1"/>
  <c r="H426" i="7"/>
  <c r="I426" i="7" s="1"/>
  <c r="G426" i="7"/>
  <c r="F426" i="7"/>
  <c r="E426" i="7"/>
  <c r="D426" i="7"/>
  <c r="B426" i="7"/>
  <c r="N425" i="7"/>
  <c r="K425" i="7"/>
  <c r="M425" i="7" s="1"/>
  <c r="H425" i="7"/>
  <c r="I425" i="7" s="1"/>
  <c r="G425" i="7"/>
  <c r="F425" i="7"/>
  <c r="E425" i="7"/>
  <c r="D425" i="7"/>
  <c r="B425" i="7"/>
  <c r="N424" i="7"/>
  <c r="K424" i="7"/>
  <c r="M424" i="7" s="1"/>
  <c r="H424" i="7"/>
  <c r="I424" i="7" s="1"/>
  <c r="G424" i="7"/>
  <c r="F424" i="7"/>
  <c r="E424" i="7"/>
  <c r="D424" i="7"/>
  <c r="B424" i="7"/>
  <c r="N423" i="7"/>
  <c r="K423" i="7"/>
  <c r="M423" i="7" s="1"/>
  <c r="H423" i="7"/>
  <c r="I423" i="7" s="1"/>
  <c r="G423" i="7"/>
  <c r="F423" i="7"/>
  <c r="E423" i="7"/>
  <c r="D423" i="7"/>
  <c r="B423" i="7"/>
  <c r="N422" i="7"/>
  <c r="K422" i="7"/>
  <c r="M422" i="7" s="1"/>
  <c r="H422" i="7"/>
  <c r="I422" i="7" s="1"/>
  <c r="G422" i="7"/>
  <c r="F422" i="7"/>
  <c r="E422" i="7"/>
  <c r="D422" i="7"/>
  <c r="B422" i="7"/>
  <c r="N421" i="7"/>
  <c r="K421" i="7"/>
  <c r="M421" i="7" s="1"/>
  <c r="H421" i="7"/>
  <c r="I421" i="7" s="1"/>
  <c r="G421" i="7"/>
  <c r="F421" i="7"/>
  <c r="E421" i="7"/>
  <c r="D421" i="7"/>
  <c r="B421" i="7"/>
  <c r="N420" i="7"/>
  <c r="K420" i="7"/>
  <c r="M420" i="7" s="1"/>
  <c r="H420" i="7"/>
  <c r="I420" i="7" s="1"/>
  <c r="G420" i="7"/>
  <c r="F420" i="7"/>
  <c r="E420" i="7"/>
  <c r="D420" i="7"/>
  <c r="B420" i="7"/>
  <c r="N419" i="7"/>
  <c r="K419" i="7"/>
  <c r="M419" i="7" s="1"/>
  <c r="H419" i="7"/>
  <c r="I419" i="7" s="1"/>
  <c r="G419" i="7"/>
  <c r="F419" i="7"/>
  <c r="E419" i="7"/>
  <c r="D419" i="7"/>
  <c r="B419" i="7"/>
  <c r="N418" i="7"/>
  <c r="K418" i="7"/>
  <c r="M418" i="7" s="1"/>
  <c r="H418" i="7"/>
  <c r="I418" i="7" s="1"/>
  <c r="G418" i="7"/>
  <c r="F418" i="7"/>
  <c r="E418" i="7"/>
  <c r="D418" i="7"/>
  <c r="B418" i="7"/>
  <c r="N417" i="7"/>
  <c r="K417" i="7"/>
  <c r="M417" i="7" s="1"/>
  <c r="H417" i="7"/>
  <c r="I417" i="7" s="1"/>
  <c r="G417" i="7"/>
  <c r="F417" i="7"/>
  <c r="E417" i="7"/>
  <c r="D417" i="7"/>
  <c r="B417" i="7"/>
  <c r="N416" i="7"/>
  <c r="K416" i="7"/>
  <c r="M416" i="7" s="1"/>
  <c r="H416" i="7"/>
  <c r="I416" i="7" s="1"/>
  <c r="G416" i="7"/>
  <c r="F416" i="7"/>
  <c r="E416" i="7"/>
  <c r="D416" i="7"/>
  <c r="B416" i="7"/>
  <c r="N415" i="7"/>
  <c r="K415" i="7"/>
  <c r="M415" i="7" s="1"/>
  <c r="H415" i="7"/>
  <c r="I415" i="7" s="1"/>
  <c r="G415" i="7"/>
  <c r="F415" i="7"/>
  <c r="E415" i="7"/>
  <c r="D415" i="7"/>
  <c r="B415" i="7"/>
  <c r="N414" i="7"/>
  <c r="K414" i="7"/>
  <c r="M414" i="7" s="1"/>
  <c r="H414" i="7"/>
  <c r="I414" i="7" s="1"/>
  <c r="G414" i="7"/>
  <c r="F414" i="7"/>
  <c r="E414" i="7"/>
  <c r="D414" i="7"/>
  <c r="B414" i="7"/>
  <c r="N413" i="7"/>
  <c r="K413" i="7"/>
  <c r="M413" i="7" s="1"/>
  <c r="H413" i="7"/>
  <c r="I413" i="7" s="1"/>
  <c r="G413" i="7"/>
  <c r="F413" i="7"/>
  <c r="E413" i="7"/>
  <c r="D413" i="7"/>
  <c r="B413" i="7"/>
  <c r="N412" i="7"/>
  <c r="K412" i="7"/>
  <c r="M412" i="7" s="1"/>
  <c r="H412" i="7"/>
  <c r="I412" i="7" s="1"/>
  <c r="G412" i="7"/>
  <c r="F412" i="7"/>
  <c r="E412" i="7"/>
  <c r="D412" i="7"/>
  <c r="B412" i="7"/>
  <c r="N411" i="7"/>
  <c r="K411" i="7"/>
  <c r="M411" i="7" s="1"/>
  <c r="H411" i="7"/>
  <c r="I411" i="7" s="1"/>
  <c r="G411" i="7"/>
  <c r="F411" i="7"/>
  <c r="E411" i="7"/>
  <c r="D411" i="7"/>
  <c r="B411" i="7"/>
  <c r="N410" i="7"/>
  <c r="K410" i="7"/>
  <c r="M410" i="7" s="1"/>
  <c r="H410" i="7"/>
  <c r="I410" i="7" s="1"/>
  <c r="G410" i="7"/>
  <c r="F410" i="7"/>
  <c r="E410" i="7"/>
  <c r="D410" i="7"/>
  <c r="B410" i="7"/>
  <c r="N409" i="7"/>
  <c r="K409" i="7"/>
  <c r="M409" i="7" s="1"/>
  <c r="H409" i="7"/>
  <c r="I409" i="7" s="1"/>
  <c r="G409" i="7"/>
  <c r="F409" i="7"/>
  <c r="E409" i="7"/>
  <c r="D409" i="7"/>
  <c r="B409" i="7"/>
  <c r="N408" i="7"/>
  <c r="K408" i="7"/>
  <c r="M408" i="7" s="1"/>
  <c r="H408" i="7"/>
  <c r="I408" i="7" s="1"/>
  <c r="G408" i="7"/>
  <c r="F408" i="7"/>
  <c r="E408" i="7"/>
  <c r="D408" i="7"/>
  <c r="B408" i="7"/>
  <c r="N407" i="7"/>
  <c r="K407" i="7"/>
  <c r="M407" i="7" s="1"/>
  <c r="H407" i="7"/>
  <c r="I407" i="7" s="1"/>
  <c r="G407" i="7"/>
  <c r="F407" i="7"/>
  <c r="E407" i="7"/>
  <c r="D407" i="7"/>
  <c r="B407" i="7"/>
  <c r="N406" i="7"/>
  <c r="K406" i="7"/>
  <c r="M406" i="7" s="1"/>
  <c r="H406" i="7"/>
  <c r="I406" i="7" s="1"/>
  <c r="G406" i="7"/>
  <c r="F406" i="7"/>
  <c r="E406" i="7"/>
  <c r="D406" i="7"/>
  <c r="B406" i="7"/>
  <c r="N405" i="7"/>
  <c r="K405" i="7"/>
  <c r="M405" i="7" s="1"/>
  <c r="H405" i="7"/>
  <c r="I405" i="7" s="1"/>
  <c r="G405" i="7"/>
  <c r="F405" i="7"/>
  <c r="E405" i="7"/>
  <c r="D405" i="7"/>
  <c r="B405" i="7"/>
  <c r="N404" i="7"/>
  <c r="K404" i="7"/>
  <c r="M404" i="7" s="1"/>
  <c r="H404" i="7"/>
  <c r="I404" i="7" s="1"/>
  <c r="G404" i="7"/>
  <c r="F404" i="7"/>
  <c r="E404" i="7"/>
  <c r="D404" i="7"/>
  <c r="B404" i="7"/>
  <c r="N403" i="7"/>
  <c r="K403" i="7"/>
  <c r="M403" i="7" s="1"/>
  <c r="H403" i="7"/>
  <c r="I403" i="7" s="1"/>
  <c r="G403" i="7"/>
  <c r="F403" i="7"/>
  <c r="E403" i="7"/>
  <c r="D403" i="7"/>
  <c r="B403" i="7"/>
  <c r="N402" i="7"/>
  <c r="K402" i="7"/>
  <c r="M402" i="7" s="1"/>
  <c r="H402" i="7"/>
  <c r="I402" i="7" s="1"/>
  <c r="G402" i="7"/>
  <c r="F402" i="7"/>
  <c r="E402" i="7"/>
  <c r="D402" i="7"/>
  <c r="B402" i="7"/>
  <c r="N401" i="7"/>
  <c r="K401" i="7"/>
  <c r="M401" i="7" s="1"/>
  <c r="H401" i="7"/>
  <c r="I401" i="7" s="1"/>
  <c r="G401" i="7"/>
  <c r="F401" i="7"/>
  <c r="E401" i="7"/>
  <c r="D401" i="7"/>
  <c r="B401" i="7"/>
  <c r="N400" i="7"/>
  <c r="K400" i="7"/>
  <c r="M400" i="7" s="1"/>
  <c r="H400" i="7"/>
  <c r="I400" i="7" s="1"/>
  <c r="G400" i="7"/>
  <c r="F400" i="7"/>
  <c r="E400" i="7"/>
  <c r="D400" i="7"/>
  <c r="B400" i="7"/>
  <c r="N399" i="7"/>
  <c r="K399" i="7"/>
  <c r="M399" i="7" s="1"/>
  <c r="H399" i="7"/>
  <c r="I399" i="7" s="1"/>
  <c r="G399" i="7"/>
  <c r="F399" i="7"/>
  <c r="E399" i="7"/>
  <c r="D399" i="7"/>
  <c r="B399" i="7"/>
  <c r="N398" i="7"/>
  <c r="K398" i="7"/>
  <c r="M398" i="7" s="1"/>
  <c r="H398" i="7"/>
  <c r="I398" i="7" s="1"/>
  <c r="G398" i="7"/>
  <c r="F398" i="7"/>
  <c r="E398" i="7"/>
  <c r="D398" i="7"/>
  <c r="B398" i="7"/>
  <c r="N397" i="7"/>
  <c r="K397" i="7"/>
  <c r="M397" i="7" s="1"/>
  <c r="H397" i="7"/>
  <c r="I397" i="7" s="1"/>
  <c r="G397" i="7"/>
  <c r="F397" i="7"/>
  <c r="E397" i="7"/>
  <c r="D397" i="7"/>
  <c r="B397" i="7"/>
  <c r="N396" i="7"/>
  <c r="K396" i="7"/>
  <c r="M396" i="7" s="1"/>
  <c r="H396" i="7"/>
  <c r="I396" i="7" s="1"/>
  <c r="G396" i="7"/>
  <c r="F396" i="7"/>
  <c r="E396" i="7"/>
  <c r="D396" i="7"/>
  <c r="B396" i="7"/>
  <c r="N395" i="7"/>
  <c r="K395" i="7"/>
  <c r="M395" i="7" s="1"/>
  <c r="H395" i="7"/>
  <c r="I395" i="7" s="1"/>
  <c r="G395" i="7"/>
  <c r="F395" i="7"/>
  <c r="E395" i="7"/>
  <c r="D395" i="7"/>
  <c r="B395" i="7"/>
  <c r="N394" i="7"/>
  <c r="K394" i="7"/>
  <c r="M394" i="7" s="1"/>
  <c r="H394" i="7"/>
  <c r="I394" i="7" s="1"/>
  <c r="G394" i="7"/>
  <c r="F394" i="7"/>
  <c r="E394" i="7"/>
  <c r="D394" i="7"/>
  <c r="B394" i="7"/>
  <c r="N393" i="7"/>
  <c r="K393" i="7"/>
  <c r="M393" i="7" s="1"/>
  <c r="H393" i="7"/>
  <c r="I393" i="7" s="1"/>
  <c r="G393" i="7"/>
  <c r="F393" i="7"/>
  <c r="E393" i="7"/>
  <c r="D393" i="7"/>
  <c r="B393" i="7"/>
  <c r="N392" i="7"/>
  <c r="K392" i="7"/>
  <c r="M392" i="7" s="1"/>
  <c r="H392" i="7"/>
  <c r="I392" i="7" s="1"/>
  <c r="G392" i="7"/>
  <c r="F392" i="7"/>
  <c r="E392" i="7"/>
  <c r="D392" i="7"/>
  <c r="B392" i="7"/>
  <c r="N391" i="7"/>
  <c r="K391" i="7"/>
  <c r="M391" i="7" s="1"/>
  <c r="H391" i="7"/>
  <c r="I391" i="7" s="1"/>
  <c r="G391" i="7"/>
  <c r="F391" i="7"/>
  <c r="E391" i="7"/>
  <c r="D391" i="7"/>
  <c r="B391" i="7"/>
  <c r="N390" i="7"/>
  <c r="K390" i="7"/>
  <c r="M390" i="7" s="1"/>
  <c r="H390" i="7"/>
  <c r="I390" i="7" s="1"/>
  <c r="G390" i="7"/>
  <c r="F390" i="7"/>
  <c r="E390" i="7"/>
  <c r="D390" i="7"/>
  <c r="B390" i="7"/>
  <c r="N389" i="7"/>
  <c r="K389" i="7"/>
  <c r="M389" i="7" s="1"/>
  <c r="H389" i="7"/>
  <c r="I389" i="7" s="1"/>
  <c r="G389" i="7"/>
  <c r="F389" i="7"/>
  <c r="E389" i="7"/>
  <c r="D389" i="7"/>
  <c r="B389" i="7"/>
  <c r="N388" i="7"/>
  <c r="K388" i="7"/>
  <c r="M388" i="7" s="1"/>
  <c r="H388" i="7"/>
  <c r="I388" i="7" s="1"/>
  <c r="G388" i="7"/>
  <c r="F388" i="7"/>
  <c r="E388" i="7"/>
  <c r="D388" i="7"/>
  <c r="B388" i="7"/>
  <c r="N387" i="7"/>
  <c r="K387" i="7"/>
  <c r="M387" i="7" s="1"/>
  <c r="H387" i="7"/>
  <c r="I387" i="7" s="1"/>
  <c r="G387" i="7"/>
  <c r="F387" i="7"/>
  <c r="E387" i="7"/>
  <c r="D387" i="7"/>
  <c r="B387" i="7"/>
  <c r="N386" i="7"/>
  <c r="K386" i="7"/>
  <c r="M386" i="7" s="1"/>
  <c r="H386" i="7"/>
  <c r="I386" i="7" s="1"/>
  <c r="G386" i="7"/>
  <c r="F386" i="7"/>
  <c r="E386" i="7"/>
  <c r="D386" i="7"/>
  <c r="B386" i="7"/>
  <c r="N385" i="7"/>
  <c r="K385" i="7"/>
  <c r="M385" i="7" s="1"/>
  <c r="H385" i="7"/>
  <c r="I385" i="7" s="1"/>
  <c r="G385" i="7"/>
  <c r="F385" i="7"/>
  <c r="E385" i="7"/>
  <c r="D385" i="7"/>
  <c r="B385" i="7"/>
  <c r="N384" i="7"/>
  <c r="K384" i="7"/>
  <c r="M384" i="7" s="1"/>
  <c r="H384" i="7"/>
  <c r="I384" i="7" s="1"/>
  <c r="G384" i="7"/>
  <c r="F384" i="7"/>
  <c r="E384" i="7"/>
  <c r="D384" i="7"/>
  <c r="B384" i="7"/>
  <c r="N383" i="7"/>
  <c r="K383" i="7"/>
  <c r="M383" i="7" s="1"/>
  <c r="H383" i="7"/>
  <c r="I383" i="7" s="1"/>
  <c r="G383" i="7"/>
  <c r="F383" i="7"/>
  <c r="E383" i="7"/>
  <c r="D383" i="7"/>
  <c r="B383" i="7"/>
  <c r="N382" i="7"/>
  <c r="K382" i="7"/>
  <c r="M382" i="7" s="1"/>
  <c r="H382" i="7"/>
  <c r="I382" i="7" s="1"/>
  <c r="G382" i="7"/>
  <c r="F382" i="7"/>
  <c r="E382" i="7"/>
  <c r="D382" i="7"/>
  <c r="B382" i="7"/>
  <c r="N381" i="7"/>
  <c r="K381" i="7"/>
  <c r="M381" i="7" s="1"/>
  <c r="H381" i="7"/>
  <c r="I381" i="7" s="1"/>
  <c r="G381" i="7"/>
  <c r="F381" i="7"/>
  <c r="E381" i="7"/>
  <c r="D381" i="7"/>
  <c r="B381" i="7"/>
  <c r="N380" i="7"/>
  <c r="K380" i="7"/>
  <c r="M380" i="7" s="1"/>
  <c r="H380" i="7"/>
  <c r="I380" i="7" s="1"/>
  <c r="G380" i="7"/>
  <c r="F380" i="7"/>
  <c r="E380" i="7"/>
  <c r="D380" i="7"/>
  <c r="B380" i="7"/>
  <c r="N379" i="7"/>
  <c r="K379" i="7"/>
  <c r="M379" i="7" s="1"/>
  <c r="H379" i="7"/>
  <c r="I379" i="7" s="1"/>
  <c r="G379" i="7"/>
  <c r="F379" i="7"/>
  <c r="E379" i="7"/>
  <c r="D379" i="7"/>
  <c r="B379" i="7"/>
  <c r="N378" i="7"/>
  <c r="K378" i="7"/>
  <c r="M378" i="7" s="1"/>
  <c r="H378" i="7"/>
  <c r="I378" i="7" s="1"/>
  <c r="G378" i="7"/>
  <c r="F378" i="7"/>
  <c r="E378" i="7"/>
  <c r="D378" i="7"/>
  <c r="B378" i="7"/>
  <c r="N377" i="7"/>
  <c r="K377" i="7"/>
  <c r="M377" i="7" s="1"/>
  <c r="H377" i="7"/>
  <c r="I377" i="7" s="1"/>
  <c r="G377" i="7"/>
  <c r="F377" i="7"/>
  <c r="E377" i="7"/>
  <c r="D377" i="7"/>
  <c r="B377" i="7"/>
  <c r="N376" i="7"/>
  <c r="K376" i="7"/>
  <c r="M376" i="7" s="1"/>
  <c r="H376" i="7"/>
  <c r="I376" i="7" s="1"/>
  <c r="G376" i="7"/>
  <c r="F376" i="7"/>
  <c r="E376" i="7"/>
  <c r="D376" i="7"/>
  <c r="B376" i="7"/>
  <c r="N375" i="7"/>
  <c r="K375" i="7"/>
  <c r="M375" i="7" s="1"/>
  <c r="H375" i="7"/>
  <c r="I375" i="7" s="1"/>
  <c r="G375" i="7"/>
  <c r="F375" i="7"/>
  <c r="E375" i="7"/>
  <c r="D375" i="7"/>
  <c r="B375" i="7"/>
  <c r="N374" i="7"/>
  <c r="K374" i="7"/>
  <c r="M374" i="7" s="1"/>
  <c r="H374" i="7"/>
  <c r="I374" i="7" s="1"/>
  <c r="G374" i="7"/>
  <c r="F374" i="7"/>
  <c r="E374" i="7"/>
  <c r="D374" i="7"/>
  <c r="B374" i="7"/>
  <c r="N373" i="7"/>
  <c r="K373" i="7"/>
  <c r="M373" i="7" s="1"/>
  <c r="H373" i="7"/>
  <c r="I373" i="7" s="1"/>
  <c r="G373" i="7"/>
  <c r="F373" i="7"/>
  <c r="E373" i="7"/>
  <c r="D373" i="7"/>
  <c r="B373" i="7"/>
  <c r="N372" i="7"/>
  <c r="K372" i="7"/>
  <c r="M372" i="7" s="1"/>
  <c r="H372" i="7"/>
  <c r="I372" i="7" s="1"/>
  <c r="G372" i="7"/>
  <c r="F372" i="7"/>
  <c r="E372" i="7"/>
  <c r="D372" i="7"/>
  <c r="B372" i="7"/>
  <c r="N371" i="7"/>
  <c r="K371" i="7"/>
  <c r="M371" i="7" s="1"/>
  <c r="H371" i="7"/>
  <c r="I371" i="7" s="1"/>
  <c r="G371" i="7"/>
  <c r="F371" i="7"/>
  <c r="E371" i="7"/>
  <c r="D371" i="7"/>
  <c r="B371" i="7"/>
  <c r="N370" i="7"/>
  <c r="K370" i="7"/>
  <c r="M370" i="7" s="1"/>
  <c r="H370" i="7"/>
  <c r="I370" i="7" s="1"/>
  <c r="G370" i="7"/>
  <c r="F370" i="7"/>
  <c r="E370" i="7"/>
  <c r="D370" i="7"/>
  <c r="B370" i="7"/>
  <c r="N369" i="7"/>
  <c r="K369" i="7"/>
  <c r="M369" i="7" s="1"/>
  <c r="H369" i="7"/>
  <c r="I369" i="7" s="1"/>
  <c r="G369" i="7"/>
  <c r="F369" i="7"/>
  <c r="E369" i="7"/>
  <c r="D369" i="7"/>
  <c r="B369" i="7"/>
  <c r="N368" i="7"/>
  <c r="K368" i="7"/>
  <c r="M368" i="7" s="1"/>
  <c r="H368" i="7"/>
  <c r="I368" i="7" s="1"/>
  <c r="G368" i="7"/>
  <c r="F368" i="7"/>
  <c r="E368" i="7"/>
  <c r="D368" i="7"/>
  <c r="B368" i="7"/>
  <c r="N367" i="7"/>
  <c r="K367" i="7"/>
  <c r="M367" i="7" s="1"/>
  <c r="H367" i="7"/>
  <c r="I367" i="7" s="1"/>
  <c r="G367" i="7"/>
  <c r="F367" i="7"/>
  <c r="E367" i="7"/>
  <c r="D367" i="7"/>
  <c r="B367" i="7"/>
  <c r="N366" i="7"/>
  <c r="K366" i="7"/>
  <c r="M366" i="7" s="1"/>
  <c r="H366" i="7"/>
  <c r="I366" i="7" s="1"/>
  <c r="G366" i="7"/>
  <c r="F366" i="7"/>
  <c r="E366" i="7"/>
  <c r="D366" i="7"/>
  <c r="B366" i="7"/>
  <c r="N365" i="7"/>
  <c r="K365" i="7"/>
  <c r="M365" i="7" s="1"/>
  <c r="H365" i="7"/>
  <c r="I365" i="7" s="1"/>
  <c r="G365" i="7"/>
  <c r="F365" i="7"/>
  <c r="E365" i="7"/>
  <c r="D365" i="7"/>
  <c r="B365" i="7"/>
  <c r="N364" i="7"/>
  <c r="K364" i="7"/>
  <c r="M364" i="7" s="1"/>
  <c r="H364" i="7"/>
  <c r="I364" i="7" s="1"/>
  <c r="G364" i="7"/>
  <c r="F364" i="7"/>
  <c r="E364" i="7"/>
  <c r="D364" i="7"/>
  <c r="B364" i="7"/>
  <c r="N363" i="7"/>
  <c r="K363" i="7"/>
  <c r="M363" i="7" s="1"/>
  <c r="H363" i="7"/>
  <c r="I363" i="7" s="1"/>
  <c r="G363" i="7"/>
  <c r="F363" i="7"/>
  <c r="E363" i="7"/>
  <c r="D363" i="7"/>
  <c r="B363" i="7"/>
  <c r="N362" i="7"/>
  <c r="K362" i="7"/>
  <c r="M362" i="7" s="1"/>
  <c r="H362" i="7"/>
  <c r="I362" i="7" s="1"/>
  <c r="G362" i="7"/>
  <c r="F362" i="7"/>
  <c r="E362" i="7"/>
  <c r="D362" i="7"/>
  <c r="B362" i="7"/>
  <c r="N361" i="7"/>
  <c r="K361" i="7"/>
  <c r="M361" i="7" s="1"/>
  <c r="H361" i="7"/>
  <c r="I361" i="7" s="1"/>
  <c r="G361" i="7"/>
  <c r="F361" i="7"/>
  <c r="E361" i="7"/>
  <c r="D361" i="7"/>
  <c r="B361" i="7"/>
  <c r="N360" i="7"/>
  <c r="K360" i="7"/>
  <c r="M360" i="7" s="1"/>
  <c r="H360" i="7"/>
  <c r="I360" i="7" s="1"/>
  <c r="G360" i="7"/>
  <c r="F360" i="7"/>
  <c r="E360" i="7"/>
  <c r="D360" i="7"/>
  <c r="B360" i="7"/>
  <c r="N359" i="7"/>
  <c r="K359" i="7"/>
  <c r="M359" i="7" s="1"/>
  <c r="H359" i="7"/>
  <c r="I359" i="7" s="1"/>
  <c r="G359" i="7"/>
  <c r="F359" i="7"/>
  <c r="E359" i="7"/>
  <c r="D359" i="7"/>
  <c r="B359" i="7"/>
  <c r="N358" i="7"/>
  <c r="K358" i="7"/>
  <c r="M358" i="7" s="1"/>
  <c r="H358" i="7"/>
  <c r="I358" i="7" s="1"/>
  <c r="G358" i="7"/>
  <c r="F358" i="7"/>
  <c r="E358" i="7"/>
  <c r="D358" i="7"/>
  <c r="B358" i="7"/>
  <c r="N357" i="7"/>
  <c r="K357" i="7"/>
  <c r="M357" i="7" s="1"/>
  <c r="H357" i="7"/>
  <c r="I357" i="7" s="1"/>
  <c r="G357" i="7"/>
  <c r="F357" i="7"/>
  <c r="E357" i="7"/>
  <c r="D357" i="7"/>
  <c r="B357" i="7"/>
  <c r="N356" i="7"/>
  <c r="K356" i="7"/>
  <c r="M356" i="7" s="1"/>
  <c r="H356" i="7"/>
  <c r="I356" i="7" s="1"/>
  <c r="G356" i="7"/>
  <c r="F356" i="7"/>
  <c r="E356" i="7"/>
  <c r="D356" i="7"/>
  <c r="B356" i="7"/>
  <c r="N355" i="7"/>
  <c r="K355" i="7"/>
  <c r="M355" i="7" s="1"/>
  <c r="H355" i="7"/>
  <c r="I355" i="7" s="1"/>
  <c r="G355" i="7"/>
  <c r="F355" i="7"/>
  <c r="E355" i="7"/>
  <c r="D355" i="7"/>
  <c r="B355" i="7"/>
  <c r="N354" i="7"/>
  <c r="K354" i="7"/>
  <c r="M354" i="7" s="1"/>
  <c r="H354" i="7"/>
  <c r="I354" i="7" s="1"/>
  <c r="G354" i="7"/>
  <c r="F354" i="7"/>
  <c r="E354" i="7"/>
  <c r="D354" i="7"/>
  <c r="B354" i="7"/>
  <c r="N353" i="7"/>
  <c r="K353" i="7"/>
  <c r="M353" i="7" s="1"/>
  <c r="H353" i="7"/>
  <c r="I353" i="7" s="1"/>
  <c r="G353" i="7"/>
  <c r="F353" i="7"/>
  <c r="E353" i="7"/>
  <c r="D353" i="7"/>
  <c r="B353" i="7"/>
  <c r="N352" i="7"/>
  <c r="K352" i="7"/>
  <c r="M352" i="7" s="1"/>
  <c r="H352" i="7"/>
  <c r="I352" i="7" s="1"/>
  <c r="G352" i="7"/>
  <c r="F352" i="7"/>
  <c r="E352" i="7"/>
  <c r="D352" i="7"/>
  <c r="B352" i="7"/>
  <c r="N351" i="7"/>
  <c r="K351" i="7"/>
  <c r="M351" i="7" s="1"/>
  <c r="H351" i="7"/>
  <c r="I351" i="7" s="1"/>
  <c r="G351" i="7"/>
  <c r="F351" i="7"/>
  <c r="E351" i="7"/>
  <c r="D351" i="7"/>
  <c r="B351" i="7"/>
  <c r="N350" i="7"/>
  <c r="K350" i="7"/>
  <c r="M350" i="7" s="1"/>
  <c r="H350" i="7"/>
  <c r="I350" i="7" s="1"/>
  <c r="G350" i="7"/>
  <c r="F350" i="7"/>
  <c r="E350" i="7"/>
  <c r="D350" i="7"/>
  <c r="B350" i="7"/>
  <c r="N349" i="7"/>
  <c r="K349" i="7"/>
  <c r="M349" i="7" s="1"/>
  <c r="H349" i="7"/>
  <c r="I349" i="7" s="1"/>
  <c r="G349" i="7"/>
  <c r="F349" i="7"/>
  <c r="E349" i="7"/>
  <c r="D349" i="7"/>
  <c r="B349" i="7"/>
  <c r="N348" i="7"/>
  <c r="K348" i="7"/>
  <c r="M348" i="7" s="1"/>
  <c r="H348" i="7"/>
  <c r="I348" i="7" s="1"/>
  <c r="G348" i="7"/>
  <c r="F348" i="7"/>
  <c r="E348" i="7"/>
  <c r="D348" i="7"/>
  <c r="B348" i="7"/>
  <c r="N347" i="7"/>
  <c r="K347" i="7"/>
  <c r="M347" i="7" s="1"/>
  <c r="H347" i="7"/>
  <c r="I347" i="7" s="1"/>
  <c r="G347" i="7"/>
  <c r="F347" i="7"/>
  <c r="E347" i="7"/>
  <c r="D347" i="7"/>
  <c r="B347" i="7"/>
  <c r="N346" i="7"/>
  <c r="K346" i="7"/>
  <c r="M346" i="7" s="1"/>
  <c r="H346" i="7"/>
  <c r="I346" i="7" s="1"/>
  <c r="G346" i="7"/>
  <c r="F346" i="7"/>
  <c r="E346" i="7"/>
  <c r="D346" i="7"/>
  <c r="B346" i="7"/>
  <c r="N345" i="7"/>
  <c r="K345" i="7"/>
  <c r="M345" i="7" s="1"/>
  <c r="H345" i="7"/>
  <c r="I345" i="7" s="1"/>
  <c r="G345" i="7"/>
  <c r="F345" i="7"/>
  <c r="E345" i="7"/>
  <c r="D345" i="7"/>
  <c r="B345" i="7"/>
  <c r="N344" i="7"/>
  <c r="K344" i="7"/>
  <c r="M344" i="7" s="1"/>
  <c r="H344" i="7"/>
  <c r="I344" i="7" s="1"/>
  <c r="G344" i="7"/>
  <c r="F344" i="7"/>
  <c r="E344" i="7"/>
  <c r="D344" i="7"/>
  <c r="B344" i="7"/>
  <c r="N343" i="7"/>
  <c r="K343" i="7"/>
  <c r="M343" i="7" s="1"/>
  <c r="H343" i="7"/>
  <c r="I343" i="7" s="1"/>
  <c r="G343" i="7"/>
  <c r="F343" i="7"/>
  <c r="E343" i="7"/>
  <c r="D343" i="7"/>
  <c r="B343" i="7"/>
  <c r="N342" i="7"/>
  <c r="K342" i="7"/>
  <c r="M342" i="7" s="1"/>
  <c r="H342" i="7"/>
  <c r="I342" i="7" s="1"/>
  <c r="G342" i="7"/>
  <c r="F342" i="7"/>
  <c r="E342" i="7"/>
  <c r="D342" i="7"/>
  <c r="B342" i="7"/>
  <c r="N341" i="7"/>
  <c r="K341" i="7"/>
  <c r="M341" i="7" s="1"/>
  <c r="H341" i="7"/>
  <c r="I341" i="7" s="1"/>
  <c r="G341" i="7"/>
  <c r="F341" i="7"/>
  <c r="E341" i="7"/>
  <c r="D341" i="7"/>
  <c r="B341" i="7"/>
  <c r="N340" i="7"/>
  <c r="K340" i="7"/>
  <c r="M340" i="7" s="1"/>
  <c r="H340" i="7"/>
  <c r="I340" i="7" s="1"/>
  <c r="G340" i="7"/>
  <c r="F340" i="7"/>
  <c r="E340" i="7"/>
  <c r="D340" i="7"/>
  <c r="B340" i="7"/>
  <c r="N339" i="7"/>
  <c r="K339" i="7"/>
  <c r="M339" i="7" s="1"/>
  <c r="H339" i="7"/>
  <c r="I339" i="7" s="1"/>
  <c r="G339" i="7"/>
  <c r="F339" i="7"/>
  <c r="E339" i="7"/>
  <c r="D339" i="7"/>
  <c r="B339" i="7"/>
  <c r="N338" i="7"/>
  <c r="K338" i="7"/>
  <c r="M338" i="7" s="1"/>
  <c r="H338" i="7"/>
  <c r="I338" i="7" s="1"/>
  <c r="G338" i="7"/>
  <c r="F338" i="7"/>
  <c r="E338" i="7"/>
  <c r="D338" i="7"/>
  <c r="B338" i="7"/>
  <c r="N337" i="7"/>
  <c r="K337" i="7"/>
  <c r="M337" i="7" s="1"/>
  <c r="H337" i="7"/>
  <c r="I337" i="7" s="1"/>
  <c r="G337" i="7"/>
  <c r="F337" i="7"/>
  <c r="E337" i="7"/>
  <c r="D337" i="7"/>
  <c r="B337" i="7"/>
  <c r="N336" i="7"/>
  <c r="K336" i="7"/>
  <c r="M336" i="7" s="1"/>
  <c r="H336" i="7"/>
  <c r="I336" i="7" s="1"/>
  <c r="G336" i="7"/>
  <c r="F336" i="7"/>
  <c r="E336" i="7"/>
  <c r="D336" i="7"/>
  <c r="B336" i="7"/>
  <c r="N335" i="7"/>
  <c r="K335" i="7"/>
  <c r="M335" i="7" s="1"/>
  <c r="H335" i="7"/>
  <c r="I335" i="7" s="1"/>
  <c r="G335" i="7"/>
  <c r="F335" i="7"/>
  <c r="E335" i="7"/>
  <c r="D335" i="7"/>
  <c r="B335" i="7"/>
  <c r="N334" i="7"/>
  <c r="K334" i="7"/>
  <c r="M334" i="7" s="1"/>
  <c r="H334" i="7"/>
  <c r="I334" i="7" s="1"/>
  <c r="G334" i="7"/>
  <c r="F334" i="7"/>
  <c r="E334" i="7"/>
  <c r="D334" i="7"/>
  <c r="B334" i="7"/>
  <c r="N333" i="7"/>
  <c r="K333" i="7"/>
  <c r="M333" i="7" s="1"/>
  <c r="H333" i="7"/>
  <c r="I333" i="7" s="1"/>
  <c r="G333" i="7"/>
  <c r="F333" i="7"/>
  <c r="E333" i="7"/>
  <c r="D333" i="7"/>
  <c r="B333" i="7"/>
  <c r="N332" i="7"/>
  <c r="K332" i="7"/>
  <c r="M332" i="7" s="1"/>
  <c r="H332" i="7"/>
  <c r="I332" i="7" s="1"/>
  <c r="G332" i="7"/>
  <c r="F332" i="7"/>
  <c r="E332" i="7"/>
  <c r="D332" i="7"/>
  <c r="B332" i="7"/>
  <c r="N331" i="7"/>
  <c r="K331" i="7"/>
  <c r="M331" i="7" s="1"/>
  <c r="H331" i="7"/>
  <c r="I331" i="7" s="1"/>
  <c r="G331" i="7"/>
  <c r="F331" i="7"/>
  <c r="E331" i="7"/>
  <c r="D331" i="7"/>
  <c r="B331" i="7"/>
  <c r="N330" i="7"/>
  <c r="K330" i="7"/>
  <c r="M330" i="7" s="1"/>
  <c r="H330" i="7"/>
  <c r="I330" i="7" s="1"/>
  <c r="G330" i="7"/>
  <c r="F330" i="7"/>
  <c r="E330" i="7"/>
  <c r="D330" i="7"/>
  <c r="B330" i="7"/>
  <c r="N329" i="7"/>
  <c r="K329" i="7"/>
  <c r="M329" i="7" s="1"/>
  <c r="H329" i="7"/>
  <c r="I329" i="7" s="1"/>
  <c r="G329" i="7"/>
  <c r="F329" i="7"/>
  <c r="E329" i="7"/>
  <c r="D329" i="7"/>
  <c r="B329" i="7"/>
  <c r="N328" i="7"/>
  <c r="K328" i="7"/>
  <c r="M328" i="7" s="1"/>
  <c r="H328" i="7"/>
  <c r="I328" i="7" s="1"/>
  <c r="G328" i="7"/>
  <c r="F328" i="7"/>
  <c r="E328" i="7"/>
  <c r="D328" i="7"/>
  <c r="B328" i="7"/>
  <c r="N327" i="7"/>
  <c r="K327" i="7"/>
  <c r="M327" i="7" s="1"/>
  <c r="H327" i="7"/>
  <c r="I327" i="7" s="1"/>
  <c r="G327" i="7"/>
  <c r="F327" i="7"/>
  <c r="E327" i="7"/>
  <c r="D327" i="7"/>
  <c r="B327" i="7"/>
  <c r="N326" i="7"/>
  <c r="K326" i="7"/>
  <c r="M326" i="7" s="1"/>
  <c r="H326" i="7"/>
  <c r="I326" i="7" s="1"/>
  <c r="G326" i="7"/>
  <c r="F326" i="7"/>
  <c r="E326" i="7"/>
  <c r="D326" i="7"/>
  <c r="B326" i="7"/>
  <c r="N325" i="7"/>
  <c r="K325" i="7"/>
  <c r="M325" i="7" s="1"/>
  <c r="H325" i="7"/>
  <c r="I325" i="7" s="1"/>
  <c r="G325" i="7"/>
  <c r="F325" i="7"/>
  <c r="E325" i="7"/>
  <c r="D325" i="7"/>
  <c r="B325" i="7"/>
  <c r="N324" i="7"/>
  <c r="K324" i="7"/>
  <c r="M324" i="7" s="1"/>
  <c r="H324" i="7"/>
  <c r="I324" i="7" s="1"/>
  <c r="G324" i="7"/>
  <c r="F324" i="7"/>
  <c r="E324" i="7"/>
  <c r="D324" i="7"/>
  <c r="B324" i="7"/>
  <c r="N323" i="7"/>
  <c r="K323" i="7"/>
  <c r="M323" i="7" s="1"/>
  <c r="H323" i="7"/>
  <c r="I323" i="7" s="1"/>
  <c r="G323" i="7"/>
  <c r="F323" i="7"/>
  <c r="E323" i="7"/>
  <c r="D323" i="7"/>
  <c r="B323" i="7"/>
  <c r="N322" i="7"/>
  <c r="K322" i="7"/>
  <c r="M322" i="7" s="1"/>
  <c r="H322" i="7"/>
  <c r="I322" i="7" s="1"/>
  <c r="G322" i="7"/>
  <c r="F322" i="7"/>
  <c r="E322" i="7"/>
  <c r="D322" i="7"/>
  <c r="B322" i="7"/>
  <c r="N321" i="7"/>
  <c r="K321" i="7"/>
  <c r="M321" i="7" s="1"/>
  <c r="H321" i="7"/>
  <c r="I321" i="7" s="1"/>
  <c r="G321" i="7"/>
  <c r="F321" i="7"/>
  <c r="E321" i="7"/>
  <c r="D321" i="7"/>
  <c r="B321" i="7"/>
  <c r="N320" i="7"/>
  <c r="K320" i="7"/>
  <c r="M320" i="7" s="1"/>
  <c r="H320" i="7"/>
  <c r="I320" i="7" s="1"/>
  <c r="G320" i="7"/>
  <c r="F320" i="7"/>
  <c r="E320" i="7"/>
  <c r="D320" i="7"/>
  <c r="B320" i="7"/>
  <c r="N319" i="7"/>
  <c r="K319" i="7"/>
  <c r="M319" i="7" s="1"/>
  <c r="H319" i="7"/>
  <c r="I319" i="7" s="1"/>
  <c r="G319" i="7"/>
  <c r="F319" i="7"/>
  <c r="E319" i="7"/>
  <c r="D319" i="7"/>
  <c r="B319" i="7"/>
  <c r="N318" i="7"/>
  <c r="K318" i="7"/>
  <c r="M318" i="7" s="1"/>
  <c r="H318" i="7"/>
  <c r="I318" i="7" s="1"/>
  <c r="G318" i="7"/>
  <c r="F318" i="7"/>
  <c r="E318" i="7"/>
  <c r="D318" i="7"/>
  <c r="B318" i="7"/>
  <c r="N317" i="7"/>
  <c r="K317" i="7"/>
  <c r="M317" i="7" s="1"/>
  <c r="H317" i="7"/>
  <c r="I317" i="7" s="1"/>
  <c r="G317" i="7"/>
  <c r="F317" i="7"/>
  <c r="E317" i="7"/>
  <c r="D317" i="7"/>
  <c r="B317" i="7"/>
  <c r="N316" i="7"/>
  <c r="K316" i="7"/>
  <c r="M316" i="7" s="1"/>
  <c r="H316" i="7"/>
  <c r="I316" i="7" s="1"/>
  <c r="G316" i="7"/>
  <c r="F316" i="7"/>
  <c r="E316" i="7"/>
  <c r="D316" i="7"/>
  <c r="B316" i="7"/>
  <c r="N315" i="7"/>
  <c r="K315" i="7"/>
  <c r="M315" i="7" s="1"/>
  <c r="H315" i="7"/>
  <c r="I315" i="7" s="1"/>
  <c r="G315" i="7"/>
  <c r="F315" i="7"/>
  <c r="E315" i="7"/>
  <c r="D315" i="7"/>
  <c r="B315" i="7"/>
  <c r="N314" i="7"/>
  <c r="K314" i="7"/>
  <c r="M314" i="7" s="1"/>
  <c r="H314" i="7"/>
  <c r="I314" i="7" s="1"/>
  <c r="G314" i="7"/>
  <c r="F314" i="7"/>
  <c r="E314" i="7"/>
  <c r="D314" i="7"/>
  <c r="B314" i="7"/>
  <c r="N313" i="7"/>
  <c r="K313" i="7"/>
  <c r="M313" i="7" s="1"/>
  <c r="H313" i="7"/>
  <c r="I313" i="7" s="1"/>
  <c r="G313" i="7"/>
  <c r="F313" i="7"/>
  <c r="E313" i="7"/>
  <c r="D313" i="7"/>
  <c r="B313" i="7"/>
  <c r="N312" i="7"/>
  <c r="K312" i="7"/>
  <c r="M312" i="7" s="1"/>
  <c r="H312" i="7"/>
  <c r="I312" i="7" s="1"/>
  <c r="G312" i="7"/>
  <c r="F312" i="7"/>
  <c r="E312" i="7"/>
  <c r="D312" i="7"/>
  <c r="B312" i="7"/>
  <c r="N311" i="7"/>
  <c r="K311" i="7"/>
  <c r="M311" i="7" s="1"/>
  <c r="H311" i="7"/>
  <c r="I311" i="7" s="1"/>
  <c r="G311" i="7"/>
  <c r="F311" i="7"/>
  <c r="E311" i="7"/>
  <c r="D311" i="7"/>
  <c r="B311" i="7"/>
  <c r="N310" i="7"/>
  <c r="K310" i="7"/>
  <c r="M310" i="7" s="1"/>
  <c r="H310" i="7"/>
  <c r="I310" i="7" s="1"/>
  <c r="G310" i="7"/>
  <c r="F310" i="7"/>
  <c r="E310" i="7"/>
  <c r="D310" i="7"/>
  <c r="B310" i="7"/>
  <c r="N309" i="7"/>
  <c r="K309" i="7"/>
  <c r="M309" i="7" s="1"/>
  <c r="H309" i="7"/>
  <c r="I309" i="7" s="1"/>
  <c r="G309" i="7"/>
  <c r="F309" i="7"/>
  <c r="E309" i="7"/>
  <c r="D309" i="7"/>
  <c r="B309" i="7"/>
  <c r="N308" i="7"/>
  <c r="K308" i="7"/>
  <c r="M308" i="7" s="1"/>
  <c r="H308" i="7"/>
  <c r="I308" i="7" s="1"/>
  <c r="G308" i="7"/>
  <c r="F308" i="7"/>
  <c r="E308" i="7"/>
  <c r="D308" i="7"/>
  <c r="B308" i="7"/>
  <c r="N307" i="7"/>
  <c r="K307" i="7"/>
  <c r="M307" i="7" s="1"/>
  <c r="H307" i="7"/>
  <c r="I307" i="7" s="1"/>
  <c r="G307" i="7"/>
  <c r="F307" i="7"/>
  <c r="E307" i="7"/>
  <c r="D307" i="7"/>
  <c r="B307" i="7"/>
  <c r="N306" i="7"/>
  <c r="K306" i="7"/>
  <c r="M306" i="7" s="1"/>
  <c r="H306" i="7"/>
  <c r="I306" i="7" s="1"/>
  <c r="G306" i="7"/>
  <c r="F306" i="7"/>
  <c r="E306" i="7"/>
  <c r="D306" i="7"/>
  <c r="B306" i="7"/>
  <c r="N305" i="7"/>
  <c r="K305" i="7"/>
  <c r="M305" i="7" s="1"/>
  <c r="H305" i="7"/>
  <c r="I305" i="7" s="1"/>
  <c r="G305" i="7"/>
  <c r="F305" i="7"/>
  <c r="E305" i="7"/>
  <c r="D305" i="7"/>
  <c r="B305" i="7"/>
  <c r="N304" i="7"/>
  <c r="K304" i="7"/>
  <c r="M304" i="7" s="1"/>
  <c r="H304" i="7"/>
  <c r="I304" i="7" s="1"/>
  <c r="G304" i="7"/>
  <c r="F304" i="7"/>
  <c r="E304" i="7"/>
  <c r="D304" i="7"/>
  <c r="B304" i="7"/>
  <c r="N303" i="7"/>
  <c r="K303" i="7"/>
  <c r="M303" i="7" s="1"/>
  <c r="H303" i="7"/>
  <c r="I303" i="7" s="1"/>
  <c r="G303" i="7"/>
  <c r="F303" i="7"/>
  <c r="E303" i="7"/>
  <c r="D303" i="7"/>
  <c r="B303" i="7"/>
  <c r="N302" i="7"/>
  <c r="K302" i="7"/>
  <c r="M302" i="7" s="1"/>
  <c r="H302" i="7"/>
  <c r="I302" i="7" s="1"/>
  <c r="G302" i="7"/>
  <c r="F302" i="7"/>
  <c r="E302" i="7"/>
  <c r="D302" i="7"/>
  <c r="B302" i="7"/>
  <c r="N301" i="7"/>
  <c r="K301" i="7"/>
  <c r="M301" i="7" s="1"/>
  <c r="H301" i="7"/>
  <c r="I301" i="7" s="1"/>
  <c r="G301" i="7"/>
  <c r="F301" i="7"/>
  <c r="E301" i="7"/>
  <c r="D301" i="7"/>
  <c r="B301" i="7"/>
  <c r="N300" i="7"/>
  <c r="K300" i="7"/>
  <c r="M300" i="7" s="1"/>
  <c r="H300" i="7"/>
  <c r="I300" i="7" s="1"/>
  <c r="G300" i="7"/>
  <c r="F300" i="7"/>
  <c r="E300" i="7"/>
  <c r="D300" i="7"/>
  <c r="B300" i="7"/>
  <c r="N299" i="7"/>
  <c r="K299" i="7"/>
  <c r="M299" i="7" s="1"/>
  <c r="H299" i="7"/>
  <c r="I299" i="7" s="1"/>
  <c r="G299" i="7"/>
  <c r="F299" i="7"/>
  <c r="E299" i="7"/>
  <c r="D299" i="7"/>
  <c r="B299" i="7"/>
  <c r="N298" i="7"/>
  <c r="K298" i="7"/>
  <c r="M298" i="7" s="1"/>
  <c r="H298" i="7"/>
  <c r="I298" i="7" s="1"/>
  <c r="G298" i="7"/>
  <c r="F298" i="7"/>
  <c r="E298" i="7"/>
  <c r="D298" i="7"/>
  <c r="B298" i="7"/>
  <c r="N297" i="7"/>
  <c r="K297" i="7"/>
  <c r="M297" i="7" s="1"/>
  <c r="H297" i="7"/>
  <c r="I297" i="7" s="1"/>
  <c r="G297" i="7"/>
  <c r="F297" i="7"/>
  <c r="E297" i="7"/>
  <c r="D297" i="7"/>
  <c r="B297" i="7"/>
  <c r="N296" i="7"/>
  <c r="K296" i="7"/>
  <c r="M296" i="7" s="1"/>
  <c r="H296" i="7"/>
  <c r="I296" i="7" s="1"/>
  <c r="G296" i="7"/>
  <c r="F296" i="7"/>
  <c r="E296" i="7"/>
  <c r="D296" i="7"/>
  <c r="B296" i="7"/>
  <c r="N295" i="7"/>
  <c r="K295" i="7"/>
  <c r="M295" i="7" s="1"/>
  <c r="H295" i="7"/>
  <c r="I295" i="7" s="1"/>
  <c r="G295" i="7"/>
  <c r="F295" i="7"/>
  <c r="E295" i="7"/>
  <c r="D295" i="7"/>
  <c r="B295" i="7"/>
  <c r="N294" i="7"/>
  <c r="K294" i="7"/>
  <c r="M294" i="7" s="1"/>
  <c r="H294" i="7"/>
  <c r="I294" i="7" s="1"/>
  <c r="G294" i="7"/>
  <c r="F294" i="7"/>
  <c r="E294" i="7"/>
  <c r="D294" i="7"/>
  <c r="B294" i="7"/>
  <c r="N293" i="7"/>
  <c r="K293" i="7"/>
  <c r="M293" i="7" s="1"/>
  <c r="H293" i="7"/>
  <c r="I293" i="7" s="1"/>
  <c r="G293" i="7"/>
  <c r="F293" i="7"/>
  <c r="E293" i="7"/>
  <c r="D293" i="7"/>
  <c r="B293" i="7"/>
  <c r="N292" i="7"/>
  <c r="K292" i="7"/>
  <c r="M292" i="7" s="1"/>
  <c r="H292" i="7"/>
  <c r="I292" i="7" s="1"/>
  <c r="G292" i="7"/>
  <c r="F292" i="7"/>
  <c r="E292" i="7"/>
  <c r="D292" i="7"/>
  <c r="B292" i="7"/>
  <c r="N291" i="7"/>
  <c r="K291" i="7"/>
  <c r="M291" i="7" s="1"/>
  <c r="H291" i="7"/>
  <c r="I291" i="7" s="1"/>
  <c r="G291" i="7"/>
  <c r="F291" i="7"/>
  <c r="E291" i="7"/>
  <c r="D291" i="7"/>
  <c r="B291" i="7"/>
  <c r="N290" i="7"/>
  <c r="K290" i="7"/>
  <c r="M290" i="7" s="1"/>
  <c r="H290" i="7"/>
  <c r="I290" i="7" s="1"/>
  <c r="G290" i="7"/>
  <c r="F290" i="7"/>
  <c r="E290" i="7"/>
  <c r="D290" i="7"/>
  <c r="B290" i="7"/>
  <c r="N289" i="7"/>
  <c r="K289" i="7"/>
  <c r="M289" i="7" s="1"/>
  <c r="H289" i="7"/>
  <c r="I289" i="7" s="1"/>
  <c r="G289" i="7"/>
  <c r="F289" i="7"/>
  <c r="E289" i="7"/>
  <c r="D289" i="7"/>
  <c r="B289" i="7"/>
  <c r="N288" i="7"/>
  <c r="K288" i="7"/>
  <c r="M288" i="7" s="1"/>
  <c r="H288" i="7"/>
  <c r="I288" i="7" s="1"/>
  <c r="G288" i="7"/>
  <c r="F288" i="7"/>
  <c r="E288" i="7"/>
  <c r="D288" i="7"/>
  <c r="B288" i="7"/>
  <c r="N287" i="7"/>
  <c r="K287" i="7"/>
  <c r="M287" i="7" s="1"/>
  <c r="H287" i="7"/>
  <c r="I287" i="7" s="1"/>
  <c r="G287" i="7"/>
  <c r="F287" i="7"/>
  <c r="E287" i="7"/>
  <c r="D287" i="7"/>
  <c r="B287" i="7"/>
  <c r="N286" i="7"/>
  <c r="K286" i="7"/>
  <c r="M286" i="7" s="1"/>
  <c r="H286" i="7"/>
  <c r="I286" i="7" s="1"/>
  <c r="G286" i="7"/>
  <c r="F286" i="7"/>
  <c r="E286" i="7"/>
  <c r="D286" i="7"/>
  <c r="B286" i="7"/>
  <c r="N285" i="7"/>
  <c r="K285" i="7"/>
  <c r="M285" i="7" s="1"/>
  <c r="H285" i="7"/>
  <c r="I285" i="7" s="1"/>
  <c r="G285" i="7"/>
  <c r="F285" i="7"/>
  <c r="E285" i="7"/>
  <c r="D285" i="7"/>
  <c r="B285" i="7"/>
  <c r="N284" i="7"/>
  <c r="K284" i="7"/>
  <c r="M284" i="7" s="1"/>
  <c r="H284" i="7"/>
  <c r="I284" i="7" s="1"/>
  <c r="G284" i="7"/>
  <c r="F284" i="7"/>
  <c r="E284" i="7"/>
  <c r="D284" i="7"/>
  <c r="B284" i="7"/>
  <c r="N283" i="7"/>
  <c r="K283" i="7"/>
  <c r="M283" i="7" s="1"/>
  <c r="H283" i="7"/>
  <c r="I283" i="7" s="1"/>
  <c r="G283" i="7"/>
  <c r="F283" i="7"/>
  <c r="E283" i="7"/>
  <c r="D283" i="7"/>
  <c r="B283" i="7"/>
  <c r="N282" i="7"/>
  <c r="K282" i="7"/>
  <c r="M282" i="7" s="1"/>
  <c r="H282" i="7"/>
  <c r="I282" i="7" s="1"/>
  <c r="G282" i="7"/>
  <c r="F282" i="7"/>
  <c r="E282" i="7"/>
  <c r="D282" i="7"/>
  <c r="B282" i="7"/>
  <c r="N281" i="7"/>
  <c r="K281" i="7"/>
  <c r="M281" i="7" s="1"/>
  <c r="H281" i="7"/>
  <c r="I281" i="7" s="1"/>
  <c r="G281" i="7"/>
  <c r="F281" i="7"/>
  <c r="E281" i="7"/>
  <c r="D281" i="7"/>
  <c r="B281" i="7"/>
  <c r="N280" i="7"/>
  <c r="K280" i="7"/>
  <c r="M280" i="7" s="1"/>
  <c r="H280" i="7"/>
  <c r="I280" i="7" s="1"/>
  <c r="G280" i="7"/>
  <c r="F280" i="7"/>
  <c r="E280" i="7"/>
  <c r="D280" i="7"/>
  <c r="B280" i="7"/>
  <c r="N279" i="7"/>
  <c r="K279" i="7"/>
  <c r="M279" i="7" s="1"/>
  <c r="H279" i="7"/>
  <c r="I279" i="7" s="1"/>
  <c r="G279" i="7"/>
  <c r="F279" i="7"/>
  <c r="E279" i="7"/>
  <c r="D279" i="7"/>
  <c r="B279" i="7"/>
  <c r="N278" i="7"/>
  <c r="K278" i="7"/>
  <c r="M278" i="7" s="1"/>
  <c r="H278" i="7"/>
  <c r="I278" i="7" s="1"/>
  <c r="G278" i="7"/>
  <c r="F278" i="7"/>
  <c r="E278" i="7"/>
  <c r="D278" i="7"/>
  <c r="B278" i="7"/>
  <c r="N277" i="7"/>
  <c r="K277" i="7"/>
  <c r="M277" i="7" s="1"/>
  <c r="H277" i="7"/>
  <c r="I277" i="7" s="1"/>
  <c r="G277" i="7"/>
  <c r="F277" i="7"/>
  <c r="E277" i="7"/>
  <c r="D277" i="7"/>
  <c r="B277" i="7"/>
  <c r="N276" i="7"/>
  <c r="K276" i="7"/>
  <c r="M276" i="7" s="1"/>
  <c r="H276" i="7"/>
  <c r="I276" i="7" s="1"/>
  <c r="G276" i="7"/>
  <c r="F276" i="7"/>
  <c r="E276" i="7"/>
  <c r="D276" i="7"/>
  <c r="B276" i="7"/>
  <c r="N275" i="7"/>
  <c r="K275" i="7"/>
  <c r="M275" i="7" s="1"/>
  <c r="H275" i="7"/>
  <c r="I275" i="7" s="1"/>
  <c r="G275" i="7"/>
  <c r="F275" i="7"/>
  <c r="E275" i="7"/>
  <c r="D275" i="7"/>
  <c r="B275" i="7"/>
  <c r="N274" i="7"/>
  <c r="K274" i="7"/>
  <c r="M274" i="7" s="1"/>
  <c r="H274" i="7"/>
  <c r="I274" i="7" s="1"/>
  <c r="G274" i="7"/>
  <c r="F274" i="7"/>
  <c r="E274" i="7"/>
  <c r="D274" i="7"/>
  <c r="B274" i="7"/>
  <c r="N273" i="7"/>
  <c r="K273" i="7"/>
  <c r="M273" i="7" s="1"/>
  <c r="H273" i="7"/>
  <c r="I273" i="7" s="1"/>
  <c r="G273" i="7"/>
  <c r="F273" i="7"/>
  <c r="E273" i="7"/>
  <c r="D273" i="7"/>
  <c r="B273" i="7"/>
  <c r="N272" i="7"/>
  <c r="K272" i="7"/>
  <c r="M272" i="7" s="1"/>
  <c r="H272" i="7"/>
  <c r="I272" i="7" s="1"/>
  <c r="G272" i="7"/>
  <c r="F272" i="7"/>
  <c r="E272" i="7"/>
  <c r="D272" i="7"/>
  <c r="B272" i="7"/>
  <c r="N271" i="7"/>
  <c r="K271" i="7"/>
  <c r="M271" i="7" s="1"/>
  <c r="H271" i="7"/>
  <c r="I271" i="7" s="1"/>
  <c r="G271" i="7"/>
  <c r="F271" i="7"/>
  <c r="E271" i="7"/>
  <c r="D271" i="7"/>
  <c r="B271" i="7"/>
  <c r="N270" i="7"/>
  <c r="K270" i="7"/>
  <c r="M270" i="7" s="1"/>
  <c r="H270" i="7"/>
  <c r="I270" i="7" s="1"/>
  <c r="G270" i="7"/>
  <c r="F270" i="7"/>
  <c r="E270" i="7"/>
  <c r="D270" i="7"/>
  <c r="B270" i="7"/>
  <c r="N269" i="7"/>
  <c r="K269" i="7"/>
  <c r="M269" i="7" s="1"/>
  <c r="H269" i="7"/>
  <c r="I269" i="7" s="1"/>
  <c r="G269" i="7"/>
  <c r="F269" i="7"/>
  <c r="E269" i="7"/>
  <c r="D269" i="7"/>
  <c r="B269" i="7"/>
  <c r="N268" i="7"/>
  <c r="K268" i="7"/>
  <c r="M268" i="7" s="1"/>
  <c r="H268" i="7"/>
  <c r="I268" i="7" s="1"/>
  <c r="G268" i="7"/>
  <c r="F268" i="7"/>
  <c r="E268" i="7"/>
  <c r="D268" i="7"/>
  <c r="B268" i="7"/>
  <c r="N267" i="7"/>
  <c r="K267" i="7"/>
  <c r="M267" i="7" s="1"/>
  <c r="H267" i="7"/>
  <c r="I267" i="7" s="1"/>
  <c r="G267" i="7"/>
  <c r="F267" i="7"/>
  <c r="E267" i="7"/>
  <c r="D267" i="7"/>
  <c r="B267" i="7"/>
  <c r="N266" i="7"/>
  <c r="K266" i="7"/>
  <c r="M266" i="7" s="1"/>
  <c r="H266" i="7"/>
  <c r="I266" i="7" s="1"/>
  <c r="G266" i="7"/>
  <c r="F266" i="7"/>
  <c r="E266" i="7"/>
  <c r="D266" i="7"/>
  <c r="B266" i="7"/>
  <c r="N265" i="7"/>
  <c r="K265" i="7"/>
  <c r="M265" i="7" s="1"/>
  <c r="H265" i="7"/>
  <c r="I265" i="7" s="1"/>
  <c r="G265" i="7"/>
  <c r="F265" i="7"/>
  <c r="E265" i="7"/>
  <c r="D265" i="7"/>
  <c r="B265" i="7"/>
  <c r="N264" i="7"/>
  <c r="K264" i="7"/>
  <c r="M264" i="7" s="1"/>
  <c r="H264" i="7"/>
  <c r="I264" i="7" s="1"/>
  <c r="G264" i="7"/>
  <c r="F264" i="7"/>
  <c r="E264" i="7"/>
  <c r="D264" i="7"/>
  <c r="B264" i="7"/>
  <c r="N263" i="7"/>
  <c r="K263" i="7"/>
  <c r="M263" i="7" s="1"/>
  <c r="H263" i="7"/>
  <c r="I263" i="7" s="1"/>
  <c r="G263" i="7"/>
  <c r="F263" i="7"/>
  <c r="E263" i="7"/>
  <c r="D263" i="7"/>
  <c r="B263" i="7"/>
  <c r="N262" i="7"/>
  <c r="K262" i="7"/>
  <c r="M262" i="7" s="1"/>
  <c r="H262" i="7"/>
  <c r="I262" i="7" s="1"/>
  <c r="G262" i="7"/>
  <c r="F262" i="7"/>
  <c r="E262" i="7"/>
  <c r="D262" i="7"/>
  <c r="B262" i="7"/>
  <c r="N261" i="7"/>
  <c r="K261" i="7"/>
  <c r="M261" i="7" s="1"/>
  <c r="H261" i="7"/>
  <c r="I261" i="7" s="1"/>
  <c r="G261" i="7"/>
  <c r="F261" i="7"/>
  <c r="E261" i="7"/>
  <c r="D261" i="7"/>
  <c r="B261" i="7"/>
  <c r="N260" i="7"/>
  <c r="K260" i="7"/>
  <c r="M260" i="7" s="1"/>
  <c r="H260" i="7"/>
  <c r="I260" i="7" s="1"/>
  <c r="G260" i="7"/>
  <c r="F260" i="7"/>
  <c r="E260" i="7"/>
  <c r="D260" i="7"/>
  <c r="B260" i="7"/>
  <c r="N259" i="7"/>
  <c r="K259" i="7"/>
  <c r="M259" i="7" s="1"/>
  <c r="H259" i="7"/>
  <c r="I259" i="7" s="1"/>
  <c r="G259" i="7"/>
  <c r="F259" i="7"/>
  <c r="E259" i="7"/>
  <c r="D259" i="7"/>
  <c r="B259" i="7"/>
  <c r="N258" i="7"/>
  <c r="K258" i="7"/>
  <c r="M258" i="7" s="1"/>
  <c r="H258" i="7"/>
  <c r="I258" i="7" s="1"/>
  <c r="G258" i="7"/>
  <c r="F258" i="7"/>
  <c r="E258" i="7"/>
  <c r="D258" i="7"/>
  <c r="B258" i="7"/>
  <c r="N257" i="7"/>
  <c r="K257" i="7"/>
  <c r="M257" i="7" s="1"/>
  <c r="H257" i="7"/>
  <c r="I257" i="7" s="1"/>
  <c r="G257" i="7"/>
  <c r="F257" i="7"/>
  <c r="E257" i="7"/>
  <c r="D257" i="7"/>
  <c r="B257" i="7"/>
  <c r="N256" i="7"/>
  <c r="K256" i="7"/>
  <c r="M256" i="7" s="1"/>
  <c r="H256" i="7"/>
  <c r="I256" i="7" s="1"/>
  <c r="G256" i="7"/>
  <c r="F256" i="7"/>
  <c r="E256" i="7"/>
  <c r="D256" i="7"/>
  <c r="B256" i="7"/>
  <c r="N255" i="7"/>
  <c r="K255" i="7"/>
  <c r="M255" i="7" s="1"/>
  <c r="H255" i="7"/>
  <c r="I255" i="7" s="1"/>
  <c r="G255" i="7"/>
  <c r="F255" i="7"/>
  <c r="E255" i="7"/>
  <c r="D255" i="7"/>
  <c r="B255" i="7"/>
  <c r="N254" i="7"/>
  <c r="K254" i="7"/>
  <c r="M254" i="7" s="1"/>
  <c r="H254" i="7"/>
  <c r="I254" i="7" s="1"/>
  <c r="G254" i="7"/>
  <c r="F254" i="7"/>
  <c r="E254" i="7"/>
  <c r="D254" i="7"/>
  <c r="B254" i="7"/>
  <c r="N253" i="7"/>
  <c r="K253" i="7"/>
  <c r="M253" i="7" s="1"/>
  <c r="H253" i="7"/>
  <c r="I253" i="7" s="1"/>
  <c r="G253" i="7"/>
  <c r="F253" i="7"/>
  <c r="E253" i="7"/>
  <c r="D253" i="7"/>
  <c r="B253" i="7"/>
  <c r="N252" i="7"/>
  <c r="K252" i="7"/>
  <c r="M252" i="7" s="1"/>
  <c r="H252" i="7"/>
  <c r="I252" i="7" s="1"/>
  <c r="G252" i="7"/>
  <c r="F252" i="7"/>
  <c r="E252" i="7"/>
  <c r="D252" i="7"/>
  <c r="B252" i="7"/>
  <c r="N251" i="7"/>
  <c r="K251" i="7"/>
  <c r="M251" i="7" s="1"/>
  <c r="H251" i="7"/>
  <c r="I251" i="7" s="1"/>
  <c r="G251" i="7"/>
  <c r="F251" i="7"/>
  <c r="E251" i="7"/>
  <c r="D251" i="7"/>
  <c r="B251" i="7"/>
  <c r="N250" i="7"/>
  <c r="K250" i="7"/>
  <c r="M250" i="7" s="1"/>
  <c r="H250" i="7"/>
  <c r="I250" i="7" s="1"/>
  <c r="G250" i="7"/>
  <c r="F250" i="7"/>
  <c r="E250" i="7"/>
  <c r="D250" i="7"/>
  <c r="B250" i="7"/>
  <c r="N249" i="7"/>
  <c r="K249" i="7"/>
  <c r="M249" i="7" s="1"/>
  <c r="H249" i="7"/>
  <c r="I249" i="7" s="1"/>
  <c r="G249" i="7"/>
  <c r="F249" i="7"/>
  <c r="E249" i="7"/>
  <c r="D249" i="7"/>
  <c r="B249" i="7"/>
  <c r="N248" i="7"/>
  <c r="K248" i="7"/>
  <c r="M248" i="7" s="1"/>
  <c r="H248" i="7"/>
  <c r="I248" i="7" s="1"/>
  <c r="G248" i="7"/>
  <c r="F248" i="7"/>
  <c r="E248" i="7"/>
  <c r="D248" i="7"/>
  <c r="B248" i="7"/>
  <c r="N247" i="7"/>
  <c r="K247" i="7"/>
  <c r="M247" i="7" s="1"/>
  <c r="H247" i="7"/>
  <c r="I247" i="7" s="1"/>
  <c r="G247" i="7"/>
  <c r="F247" i="7"/>
  <c r="E247" i="7"/>
  <c r="D247" i="7"/>
  <c r="B247" i="7"/>
  <c r="N246" i="7"/>
  <c r="K246" i="7"/>
  <c r="M246" i="7" s="1"/>
  <c r="H246" i="7"/>
  <c r="I246" i="7" s="1"/>
  <c r="G246" i="7"/>
  <c r="F246" i="7"/>
  <c r="E246" i="7"/>
  <c r="D246" i="7"/>
  <c r="B246" i="7"/>
  <c r="N245" i="7"/>
  <c r="K245" i="7"/>
  <c r="M245" i="7" s="1"/>
  <c r="H245" i="7"/>
  <c r="I245" i="7" s="1"/>
  <c r="G245" i="7"/>
  <c r="F245" i="7"/>
  <c r="E245" i="7"/>
  <c r="D245" i="7"/>
  <c r="B245" i="7"/>
  <c r="N244" i="7"/>
  <c r="K244" i="7"/>
  <c r="M244" i="7" s="1"/>
  <c r="H244" i="7"/>
  <c r="I244" i="7" s="1"/>
  <c r="G244" i="7"/>
  <c r="F244" i="7"/>
  <c r="E244" i="7"/>
  <c r="D244" i="7"/>
  <c r="B244" i="7"/>
  <c r="N243" i="7"/>
  <c r="K243" i="7"/>
  <c r="M243" i="7" s="1"/>
  <c r="H243" i="7"/>
  <c r="I243" i="7" s="1"/>
  <c r="G243" i="7"/>
  <c r="F243" i="7"/>
  <c r="E243" i="7"/>
  <c r="D243" i="7"/>
  <c r="B243" i="7"/>
  <c r="N242" i="7"/>
  <c r="K242" i="7"/>
  <c r="M242" i="7" s="1"/>
  <c r="H242" i="7"/>
  <c r="I242" i="7" s="1"/>
  <c r="G242" i="7"/>
  <c r="F242" i="7"/>
  <c r="E242" i="7"/>
  <c r="D242" i="7"/>
  <c r="B242" i="7"/>
  <c r="N241" i="7"/>
  <c r="K241" i="7"/>
  <c r="M241" i="7" s="1"/>
  <c r="H241" i="7"/>
  <c r="I241" i="7" s="1"/>
  <c r="G241" i="7"/>
  <c r="F241" i="7"/>
  <c r="E241" i="7"/>
  <c r="D241" i="7"/>
  <c r="B241" i="7"/>
  <c r="N240" i="7"/>
  <c r="K240" i="7"/>
  <c r="M240" i="7" s="1"/>
  <c r="H240" i="7"/>
  <c r="I240" i="7" s="1"/>
  <c r="G240" i="7"/>
  <c r="F240" i="7"/>
  <c r="E240" i="7"/>
  <c r="D240" i="7"/>
  <c r="B240" i="7"/>
  <c r="N239" i="7"/>
  <c r="K239" i="7"/>
  <c r="M239" i="7" s="1"/>
  <c r="H239" i="7"/>
  <c r="I239" i="7" s="1"/>
  <c r="G239" i="7"/>
  <c r="F239" i="7"/>
  <c r="E239" i="7"/>
  <c r="D239" i="7"/>
  <c r="B239" i="7"/>
  <c r="N238" i="7"/>
  <c r="K238" i="7"/>
  <c r="M238" i="7" s="1"/>
  <c r="H238" i="7"/>
  <c r="I238" i="7" s="1"/>
  <c r="G238" i="7"/>
  <c r="F238" i="7"/>
  <c r="E238" i="7"/>
  <c r="D238" i="7"/>
  <c r="B238" i="7"/>
  <c r="N237" i="7"/>
  <c r="K237" i="7"/>
  <c r="M237" i="7" s="1"/>
  <c r="H237" i="7"/>
  <c r="I237" i="7" s="1"/>
  <c r="G237" i="7"/>
  <c r="F237" i="7"/>
  <c r="E237" i="7"/>
  <c r="D237" i="7"/>
  <c r="B237" i="7"/>
  <c r="N236" i="7"/>
  <c r="K236" i="7"/>
  <c r="M236" i="7" s="1"/>
  <c r="H236" i="7"/>
  <c r="I236" i="7" s="1"/>
  <c r="G236" i="7"/>
  <c r="F236" i="7"/>
  <c r="E236" i="7"/>
  <c r="D236" i="7"/>
  <c r="B236" i="7"/>
  <c r="N235" i="7"/>
  <c r="K235" i="7"/>
  <c r="M235" i="7" s="1"/>
  <c r="H235" i="7"/>
  <c r="I235" i="7" s="1"/>
  <c r="G235" i="7"/>
  <c r="F235" i="7"/>
  <c r="E235" i="7"/>
  <c r="D235" i="7"/>
  <c r="B235" i="7"/>
  <c r="N234" i="7"/>
  <c r="K234" i="7"/>
  <c r="M234" i="7" s="1"/>
  <c r="H234" i="7"/>
  <c r="I234" i="7" s="1"/>
  <c r="G234" i="7"/>
  <c r="F234" i="7"/>
  <c r="E234" i="7"/>
  <c r="D234" i="7"/>
  <c r="B234" i="7"/>
  <c r="N233" i="7"/>
  <c r="K233" i="7"/>
  <c r="M233" i="7" s="1"/>
  <c r="H233" i="7"/>
  <c r="I233" i="7" s="1"/>
  <c r="G233" i="7"/>
  <c r="F233" i="7"/>
  <c r="E233" i="7"/>
  <c r="D233" i="7"/>
  <c r="B233" i="7"/>
  <c r="N232" i="7"/>
  <c r="K232" i="7"/>
  <c r="M232" i="7" s="1"/>
  <c r="H232" i="7"/>
  <c r="I232" i="7" s="1"/>
  <c r="G232" i="7"/>
  <c r="F232" i="7"/>
  <c r="E232" i="7"/>
  <c r="D232" i="7"/>
  <c r="B232" i="7"/>
  <c r="N231" i="7"/>
  <c r="K231" i="7"/>
  <c r="M231" i="7" s="1"/>
  <c r="H231" i="7"/>
  <c r="I231" i="7" s="1"/>
  <c r="G231" i="7"/>
  <c r="F231" i="7"/>
  <c r="E231" i="7"/>
  <c r="D231" i="7"/>
  <c r="B231" i="7"/>
  <c r="N230" i="7"/>
  <c r="K230" i="7"/>
  <c r="M230" i="7" s="1"/>
  <c r="H230" i="7"/>
  <c r="I230" i="7" s="1"/>
  <c r="G230" i="7"/>
  <c r="F230" i="7"/>
  <c r="E230" i="7"/>
  <c r="D230" i="7"/>
  <c r="B230" i="7"/>
  <c r="N229" i="7"/>
  <c r="K229" i="7"/>
  <c r="M229" i="7" s="1"/>
  <c r="H229" i="7"/>
  <c r="I229" i="7" s="1"/>
  <c r="G229" i="7"/>
  <c r="F229" i="7"/>
  <c r="E229" i="7"/>
  <c r="D229" i="7"/>
  <c r="B229" i="7"/>
  <c r="N228" i="7"/>
  <c r="K228" i="7"/>
  <c r="M228" i="7" s="1"/>
  <c r="H228" i="7"/>
  <c r="I228" i="7" s="1"/>
  <c r="G228" i="7"/>
  <c r="F228" i="7"/>
  <c r="E228" i="7"/>
  <c r="D228" i="7"/>
  <c r="B228" i="7"/>
  <c r="N227" i="7"/>
  <c r="K227" i="7"/>
  <c r="M227" i="7" s="1"/>
  <c r="H227" i="7"/>
  <c r="I227" i="7" s="1"/>
  <c r="G227" i="7"/>
  <c r="F227" i="7"/>
  <c r="E227" i="7"/>
  <c r="D227" i="7"/>
  <c r="B227" i="7"/>
  <c r="N226" i="7"/>
  <c r="K226" i="7"/>
  <c r="M226" i="7" s="1"/>
  <c r="H226" i="7"/>
  <c r="I226" i="7" s="1"/>
  <c r="G226" i="7"/>
  <c r="F226" i="7"/>
  <c r="E226" i="7"/>
  <c r="D226" i="7"/>
  <c r="B226" i="7"/>
  <c r="N225" i="7"/>
  <c r="K225" i="7"/>
  <c r="M225" i="7" s="1"/>
  <c r="H225" i="7"/>
  <c r="I225" i="7" s="1"/>
  <c r="G225" i="7"/>
  <c r="F225" i="7"/>
  <c r="E225" i="7"/>
  <c r="D225" i="7"/>
  <c r="B225" i="7"/>
  <c r="N224" i="7"/>
  <c r="K224" i="7"/>
  <c r="M224" i="7" s="1"/>
  <c r="H224" i="7"/>
  <c r="I224" i="7" s="1"/>
  <c r="G224" i="7"/>
  <c r="F224" i="7"/>
  <c r="E224" i="7"/>
  <c r="D224" i="7"/>
  <c r="B224" i="7"/>
  <c r="N223" i="7"/>
  <c r="K223" i="7"/>
  <c r="M223" i="7" s="1"/>
  <c r="H223" i="7"/>
  <c r="I223" i="7" s="1"/>
  <c r="G223" i="7"/>
  <c r="F223" i="7"/>
  <c r="E223" i="7"/>
  <c r="D223" i="7"/>
  <c r="B223" i="7"/>
  <c r="N222" i="7"/>
  <c r="K222" i="7"/>
  <c r="M222" i="7" s="1"/>
  <c r="H222" i="7"/>
  <c r="I222" i="7" s="1"/>
  <c r="G222" i="7"/>
  <c r="F222" i="7"/>
  <c r="E222" i="7"/>
  <c r="D222" i="7"/>
  <c r="B222" i="7"/>
  <c r="N221" i="7"/>
  <c r="K221" i="7"/>
  <c r="M221" i="7" s="1"/>
  <c r="H221" i="7"/>
  <c r="I221" i="7" s="1"/>
  <c r="G221" i="7"/>
  <c r="F221" i="7"/>
  <c r="E221" i="7"/>
  <c r="D221" i="7"/>
  <c r="B221" i="7"/>
  <c r="N220" i="7"/>
  <c r="K220" i="7"/>
  <c r="M220" i="7" s="1"/>
  <c r="H220" i="7"/>
  <c r="I220" i="7" s="1"/>
  <c r="G220" i="7"/>
  <c r="F220" i="7"/>
  <c r="E220" i="7"/>
  <c r="D220" i="7"/>
  <c r="B220" i="7"/>
  <c r="N219" i="7"/>
  <c r="K219" i="7"/>
  <c r="M219" i="7" s="1"/>
  <c r="H219" i="7"/>
  <c r="I219" i="7" s="1"/>
  <c r="G219" i="7"/>
  <c r="F219" i="7"/>
  <c r="E219" i="7"/>
  <c r="D219" i="7"/>
  <c r="B219" i="7"/>
  <c r="N218" i="7"/>
  <c r="K218" i="7"/>
  <c r="M218" i="7" s="1"/>
  <c r="H218" i="7"/>
  <c r="I218" i="7" s="1"/>
  <c r="G218" i="7"/>
  <c r="F218" i="7"/>
  <c r="E218" i="7"/>
  <c r="D218" i="7"/>
  <c r="B218" i="7"/>
  <c r="N217" i="7"/>
  <c r="K217" i="7"/>
  <c r="M217" i="7" s="1"/>
  <c r="H217" i="7"/>
  <c r="I217" i="7" s="1"/>
  <c r="G217" i="7"/>
  <c r="F217" i="7"/>
  <c r="E217" i="7"/>
  <c r="D217" i="7"/>
  <c r="B217" i="7"/>
  <c r="N216" i="7"/>
  <c r="K216" i="7"/>
  <c r="M216" i="7" s="1"/>
  <c r="H216" i="7"/>
  <c r="I216" i="7" s="1"/>
  <c r="G216" i="7"/>
  <c r="F216" i="7"/>
  <c r="E216" i="7"/>
  <c r="D216" i="7"/>
  <c r="B216" i="7"/>
  <c r="N215" i="7"/>
  <c r="K215" i="7"/>
  <c r="M215" i="7" s="1"/>
  <c r="H215" i="7"/>
  <c r="I215" i="7" s="1"/>
  <c r="G215" i="7"/>
  <c r="F215" i="7"/>
  <c r="E215" i="7"/>
  <c r="D215" i="7"/>
  <c r="B215" i="7"/>
  <c r="N214" i="7"/>
  <c r="K214" i="7"/>
  <c r="M214" i="7" s="1"/>
  <c r="H214" i="7"/>
  <c r="I214" i="7" s="1"/>
  <c r="G214" i="7"/>
  <c r="F214" i="7"/>
  <c r="E214" i="7"/>
  <c r="D214" i="7"/>
  <c r="B214" i="7"/>
  <c r="N213" i="7"/>
  <c r="K213" i="7"/>
  <c r="M213" i="7" s="1"/>
  <c r="H213" i="7"/>
  <c r="I213" i="7" s="1"/>
  <c r="G213" i="7"/>
  <c r="F213" i="7"/>
  <c r="E213" i="7"/>
  <c r="D213" i="7"/>
  <c r="B213" i="7"/>
  <c r="N212" i="7"/>
  <c r="K212" i="7"/>
  <c r="M212" i="7" s="1"/>
  <c r="H212" i="7"/>
  <c r="I212" i="7" s="1"/>
  <c r="G212" i="7"/>
  <c r="F212" i="7"/>
  <c r="E212" i="7"/>
  <c r="D212" i="7"/>
  <c r="B212" i="7"/>
  <c r="N211" i="7"/>
  <c r="K211" i="7"/>
  <c r="M211" i="7" s="1"/>
  <c r="H211" i="7"/>
  <c r="I211" i="7" s="1"/>
  <c r="G211" i="7"/>
  <c r="F211" i="7"/>
  <c r="E211" i="7"/>
  <c r="D211" i="7"/>
  <c r="B211" i="7"/>
  <c r="N210" i="7"/>
  <c r="K210" i="7"/>
  <c r="M210" i="7" s="1"/>
  <c r="H210" i="7"/>
  <c r="I210" i="7" s="1"/>
  <c r="G210" i="7"/>
  <c r="F210" i="7"/>
  <c r="E210" i="7"/>
  <c r="D210" i="7"/>
  <c r="B210" i="7"/>
  <c r="N209" i="7"/>
  <c r="K209" i="7"/>
  <c r="M209" i="7" s="1"/>
  <c r="H209" i="7"/>
  <c r="I209" i="7" s="1"/>
  <c r="G209" i="7"/>
  <c r="F209" i="7"/>
  <c r="E209" i="7"/>
  <c r="D209" i="7"/>
  <c r="B209" i="7"/>
  <c r="N208" i="7"/>
  <c r="K208" i="7"/>
  <c r="M208" i="7" s="1"/>
  <c r="H208" i="7"/>
  <c r="I208" i="7" s="1"/>
  <c r="G208" i="7"/>
  <c r="F208" i="7"/>
  <c r="E208" i="7"/>
  <c r="D208" i="7"/>
  <c r="B208" i="7"/>
  <c r="N207" i="7"/>
  <c r="K207" i="7"/>
  <c r="M207" i="7" s="1"/>
  <c r="H207" i="7"/>
  <c r="I207" i="7" s="1"/>
  <c r="G207" i="7"/>
  <c r="F207" i="7"/>
  <c r="E207" i="7"/>
  <c r="D207" i="7"/>
  <c r="B207" i="7"/>
  <c r="N206" i="7"/>
  <c r="K206" i="7"/>
  <c r="M206" i="7" s="1"/>
  <c r="H206" i="7"/>
  <c r="I206" i="7" s="1"/>
  <c r="G206" i="7"/>
  <c r="F206" i="7"/>
  <c r="E206" i="7"/>
  <c r="D206" i="7"/>
  <c r="B206" i="7"/>
  <c r="N205" i="7"/>
  <c r="K205" i="7"/>
  <c r="M205" i="7" s="1"/>
  <c r="H205" i="7"/>
  <c r="I205" i="7" s="1"/>
  <c r="G205" i="7"/>
  <c r="F205" i="7"/>
  <c r="E205" i="7"/>
  <c r="D205" i="7"/>
  <c r="B205" i="7"/>
  <c r="N204" i="7"/>
  <c r="K204" i="7"/>
  <c r="M204" i="7" s="1"/>
  <c r="H204" i="7"/>
  <c r="I204" i="7" s="1"/>
  <c r="G204" i="7"/>
  <c r="F204" i="7"/>
  <c r="E204" i="7"/>
  <c r="D204" i="7"/>
  <c r="B204" i="7"/>
  <c r="N203" i="7"/>
  <c r="K203" i="7"/>
  <c r="M203" i="7" s="1"/>
  <c r="H203" i="7"/>
  <c r="I203" i="7" s="1"/>
  <c r="G203" i="7"/>
  <c r="F203" i="7"/>
  <c r="E203" i="7"/>
  <c r="D203" i="7"/>
  <c r="B203" i="7"/>
  <c r="N202" i="7"/>
  <c r="K202" i="7"/>
  <c r="M202" i="7" s="1"/>
  <c r="H202" i="7"/>
  <c r="I202" i="7" s="1"/>
  <c r="G202" i="7"/>
  <c r="F202" i="7"/>
  <c r="E202" i="7"/>
  <c r="D202" i="7"/>
  <c r="B202" i="7"/>
  <c r="N201" i="7"/>
  <c r="K201" i="7"/>
  <c r="M201" i="7" s="1"/>
  <c r="H201" i="7"/>
  <c r="I201" i="7" s="1"/>
  <c r="G201" i="7"/>
  <c r="F201" i="7"/>
  <c r="E201" i="7"/>
  <c r="D201" i="7"/>
  <c r="B201" i="7"/>
  <c r="N200" i="7"/>
  <c r="K200" i="7"/>
  <c r="M200" i="7" s="1"/>
  <c r="H200" i="7"/>
  <c r="I200" i="7" s="1"/>
  <c r="G200" i="7"/>
  <c r="F200" i="7"/>
  <c r="E200" i="7"/>
  <c r="D200" i="7"/>
  <c r="B200" i="7"/>
  <c r="N199" i="7"/>
  <c r="K199" i="7"/>
  <c r="M199" i="7" s="1"/>
  <c r="H199" i="7"/>
  <c r="I199" i="7" s="1"/>
  <c r="G199" i="7"/>
  <c r="F199" i="7"/>
  <c r="E199" i="7"/>
  <c r="D199" i="7"/>
  <c r="B199" i="7"/>
  <c r="N198" i="7"/>
  <c r="K198" i="7"/>
  <c r="M198" i="7" s="1"/>
  <c r="H198" i="7"/>
  <c r="I198" i="7" s="1"/>
  <c r="G198" i="7"/>
  <c r="F198" i="7"/>
  <c r="E198" i="7"/>
  <c r="D198" i="7"/>
  <c r="B198" i="7"/>
  <c r="N197" i="7"/>
  <c r="K197" i="7"/>
  <c r="M197" i="7" s="1"/>
  <c r="H197" i="7"/>
  <c r="I197" i="7" s="1"/>
  <c r="G197" i="7"/>
  <c r="F197" i="7"/>
  <c r="E197" i="7"/>
  <c r="D197" i="7"/>
  <c r="B197" i="7"/>
  <c r="N196" i="7"/>
  <c r="K196" i="7"/>
  <c r="M196" i="7" s="1"/>
  <c r="H196" i="7"/>
  <c r="I196" i="7" s="1"/>
  <c r="G196" i="7"/>
  <c r="F196" i="7"/>
  <c r="E196" i="7"/>
  <c r="D196" i="7"/>
  <c r="B196" i="7"/>
  <c r="N195" i="7"/>
  <c r="K195" i="7"/>
  <c r="M195" i="7" s="1"/>
  <c r="H195" i="7"/>
  <c r="I195" i="7" s="1"/>
  <c r="G195" i="7"/>
  <c r="F195" i="7"/>
  <c r="E195" i="7"/>
  <c r="D195" i="7"/>
  <c r="B195" i="7"/>
  <c r="N194" i="7"/>
  <c r="K194" i="7"/>
  <c r="M194" i="7" s="1"/>
  <c r="H194" i="7"/>
  <c r="I194" i="7" s="1"/>
  <c r="G194" i="7"/>
  <c r="F194" i="7"/>
  <c r="E194" i="7"/>
  <c r="D194" i="7"/>
  <c r="B194" i="7"/>
  <c r="N193" i="7"/>
  <c r="K193" i="7"/>
  <c r="M193" i="7" s="1"/>
  <c r="H193" i="7"/>
  <c r="I193" i="7" s="1"/>
  <c r="G193" i="7"/>
  <c r="F193" i="7"/>
  <c r="E193" i="7"/>
  <c r="D193" i="7"/>
  <c r="B193" i="7"/>
  <c r="N192" i="7"/>
  <c r="K192" i="7"/>
  <c r="M192" i="7" s="1"/>
  <c r="H192" i="7"/>
  <c r="I192" i="7" s="1"/>
  <c r="G192" i="7"/>
  <c r="F192" i="7"/>
  <c r="E192" i="7"/>
  <c r="D192" i="7"/>
  <c r="B192" i="7"/>
  <c r="N191" i="7"/>
  <c r="K191" i="7"/>
  <c r="M191" i="7" s="1"/>
  <c r="H191" i="7"/>
  <c r="I191" i="7" s="1"/>
  <c r="G191" i="7"/>
  <c r="F191" i="7"/>
  <c r="E191" i="7"/>
  <c r="D191" i="7"/>
  <c r="B191" i="7"/>
  <c r="N190" i="7"/>
  <c r="K190" i="7"/>
  <c r="M190" i="7" s="1"/>
  <c r="H190" i="7"/>
  <c r="I190" i="7" s="1"/>
  <c r="G190" i="7"/>
  <c r="F190" i="7"/>
  <c r="E190" i="7"/>
  <c r="D190" i="7"/>
  <c r="B190" i="7"/>
  <c r="N189" i="7"/>
  <c r="K189" i="7"/>
  <c r="M189" i="7" s="1"/>
  <c r="H189" i="7"/>
  <c r="I189" i="7" s="1"/>
  <c r="G189" i="7"/>
  <c r="F189" i="7"/>
  <c r="E189" i="7"/>
  <c r="D189" i="7"/>
  <c r="B189" i="7"/>
  <c r="N188" i="7"/>
  <c r="K188" i="7"/>
  <c r="M188" i="7" s="1"/>
  <c r="H188" i="7"/>
  <c r="I188" i="7" s="1"/>
  <c r="G188" i="7"/>
  <c r="F188" i="7"/>
  <c r="E188" i="7"/>
  <c r="D188" i="7"/>
  <c r="B188" i="7"/>
  <c r="N187" i="7"/>
  <c r="K187" i="7"/>
  <c r="M187" i="7" s="1"/>
  <c r="H187" i="7"/>
  <c r="I187" i="7" s="1"/>
  <c r="G187" i="7"/>
  <c r="F187" i="7"/>
  <c r="E187" i="7"/>
  <c r="D187" i="7"/>
  <c r="B187" i="7"/>
  <c r="N186" i="7"/>
  <c r="K186" i="7"/>
  <c r="M186" i="7" s="1"/>
  <c r="H186" i="7"/>
  <c r="I186" i="7" s="1"/>
  <c r="G186" i="7"/>
  <c r="F186" i="7"/>
  <c r="E186" i="7"/>
  <c r="D186" i="7"/>
  <c r="B186" i="7"/>
  <c r="N185" i="7"/>
  <c r="K185" i="7"/>
  <c r="M185" i="7" s="1"/>
  <c r="H185" i="7"/>
  <c r="I185" i="7" s="1"/>
  <c r="G185" i="7"/>
  <c r="F185" i="7"/>
  <c r="E185" i="7"/>
  <c r="D185" i="7"/>
  <c r="B185" i="7"/>
  <c r="N184" i="7"/>
  <c r="K184" i="7"/>
  <c r="M184" i="7" s="1"/>
  <c r="H184" i="7"/>
  <c r="I184" i="7" s="1"/>
  <c r="G184" i="7"/>
  <c r="F184" i="7"/>
  <c r="E184" i="7"/>
  <c r="D184" i="7"/>
  <c r="B184" i="7"/>
  <c r="N183" i="7"/>
  <c r="K183" i="7"/>
  <c r="M183" i="7" s="1"/>
  <c r="H183" i="7"/>
  <c r="I183" i="7" s="1"/>
  <c r="G183" i="7"/>
  <c r="F183" i="7"/>
  <c r="E183" i="7"/>
  <c r="D183" i="7"/>
  <c r="B183" i="7"/>
  <c r="N182" i="7"/>
  <c r="K182" i="7"/>
  <c r="M182" i="7" s="1"/>
  <c r="H182" i="7"/>
  <c r="I182" i="7" s="1"/>
  <c r="G182" i="7"/>
  <c r="F182" i="7"/>
  <c r="E182" i="7"/>
  <c r="D182" i="7"/>
  <c r="B182" i="7"/>
  <c r="N181" i="7"/>
  <c r="K181" i="7"/>
  <c r="M181" i="7" s="1"/>
  <c r="H181" i="7"/>
  <c r="I181" i="7" s="1"/>
  <c r="G181" i="7"/>
  <c r="F181" i="7"/>
  <c r="E181" i="7"/>
  <c r="D181" i="7"/>
  <c r="B181" i="7"/>
  <c r="N180" i="7"/>
  <c r="K180" i="7"/>
  <c r="M180" i="7" s="1"/>
  <c r="H180" i="7"/>
  <c r="I180" i="7" s="1"/>
  <c r="G180" i="7"/>
  <c r="F180" i="7"/>
  <c r="E180" i="7"/>
  <c r="D180" i="7"/>
  <c r="B180" i="7"/>
  <c r="N179" i="7"/>
  <c r="K179" i="7"/>
  <c r="M179" i="7" s="1"/>
  <c r="H179" i="7"/>
  <c r="I179" i="7" s="1"/>
  <c r="G179" i="7"/>
  <c r="F179" i="7"/>
  <c r="E179" i="7"/>
  <c r="D179" i="7"/>
  <c r="B179" i="7"/>
  <c r="N178" i="7"/>
  <c r="K178" i="7"/>
  <c r="M178" i="7" s="1"/>
  <c r="H178" i="7"/>
  <c r="I178" i="7" s="1"/>
  <c r="G178" i="7"/>
  <c r="F178" i="7"/>
  <c r="E178" i="7"/>
  <c r="D178" i="7"/>
  <c r="B178" i="7"/>
  <c r="N177" i="7"/>
  <c r="K177" i="7"/>
  <c r="M177" i="7" s="1"/>
  <c r="H177" i="7"/>
  <c r="I177" i="7" s="1"/>
  <c r="G177" i="7"/>
  <c r="F177" i="7"/>
  <c r="E177" i="7"/>
  <c r="D177" i="7"/>
  <c r="B177" i="7"/>
  <c r="N176" i="7"/>
  <c r="K176" i="7"/>
  <c r="M176" i="7" s="1"/>
  <c r="H176" i="7"/>
  <c r="I176" i="7" s="1"/>
  <c r="G176" i="7"/>
  <c r="F176" i="7"/>
  <c r="E176" i="7"/>
  <c r="D176" i="7"/>
  <c r="B176" i="7"/>
  <c r="N175" i="7"/>
  <c r="K175" i="7"/>
  <c r="M175" i="7" s="1"/>
  <c r="H175" i="7"/>
  <c r="I175" i="7" s="1"/>
  <c r="G175" i="7"/>
  <c r="F175" i="7"/>
  <c r="E175" i="7"/>
  <c r="D175" i="7"/>
  <c r="B175" i="7"/>
  <c r="N174" i="7"/>
  <c r="K174" i="7"/>
  <c r="M174" i="7" s="1"/>
  <c r="H174" i="7"/>
  <c r="I174" i="7" s="1"/>
  <c r="G174" i="7"/>
  <c r="F174" i="7"/>
  <c r="E174" i="7"/>
  <c r="D174" i="7"/>
  <c r="B174" i="7"/>
  <c r="N173" i="7"/>
  <c r="K173" i="7"/>
  <c r="M173" i="7" s="1"/>
  <c r="H173" i="7"/>
  <c r="I173" i="7" s="1"/>
  <c r="G173" i="7"/>
  <c r="F173" i="7"/>
  <c r="E173" i="7"/>
  <c r="D173" i="7"/>
  <c r="B173" i="7"/>
  <c r="N172" i="7"/>
  <c r="K172" i="7"/>
  <c r="M172" i="7" s="1"/>
  <c r="H172" i="7"/>
  <c r="I172" i="7" s="1"/>
  <c r="G172" i="7"/>
  <c r="F172" i="7"/>
  <c r="E172" i="7"/>
  <c r="D172" i="7"/>
  <c r="B172" i="7"/>
  <c r="N171" i="7"/>
  <c r="K171" i="7"/>
  <c r="M171" i="7" s="1"/>
  <c r="H171" i="7"/>
  <c r="I171" i="7" s="1"/>
  <c r="G171" i="7"/>
  <c r="F171" i="7"/>
  <c r="E171" i="7"/>
  <c r="D171" i="7"/>
  <c r="B171" i="7"/>
  <c r="N170" i="7"/>
  <c r="K170" i="7"/>
  <c r="M170" i="7" s="1"/>
  <c r="H170" i="7"/>
  <c r="I170" i="7" s="1"/>
  <c r="G170" i="7"/>
  <c r="F170" i="7"/>
  <c r="E170" i="7"/>
  <c r="D170" i="7"/>
  <c r="B170" i="7"/>
  <c r="N169" i="7"/>
  <c r="K169" i="7"/>
  <c r="M169" i="7" s="1"/>
  <c r="H169" i="7"/>
  <c r="I169" i="7" s="1"/>
  <c r="G169" i="7"/>
  <c r="F169" i="7"/>
  <c r="E169" i="7"/>
  <c r="D169" i="7"/>
  <c r="B169" i="7"/>
  <c r="N168" i="7"/>
  <c r="K168" i="7"/>
  <c r="M168" i="7" s="1"/>
  <c r="H168" i="7"/>
  <c r="I168" i="7" s="1"/>
  <c r="G168" i="7"/>
  <c r="F168" i="7"/>
  <c r="E168" i="7"/>
  <c r="D168" i="7"/>
  <c r="B168" i="7"/>
  <c r="N167" i="7"/>
  <c r="K167" i="7"/>
  <c r="M167" i="7" s="1"/>
  <c r="H167" i="7"/>
  <c r="I167" i="7" s="1"/>
  <c r="G167" i="7"/>
  <c r="F167" i="7"/>
  <c r="E167" i="7"/>
  <c r="D167" i="7"/>
  <c r="B167" i="7"/>
  <c r="N166" i="7"/>
  <c r="K166" i="7"/>
  <c r="M166" i="7" s="1"/>
  <c r="H166" i="7"/>
  <c r="I166" i="7" s="1"/>
  <c r="G166" i="7"/>
  <c r="F166" i="7"/>
  <c r="E166" i="7"/>
  <c r="D166" i="7"/>
  <c r="B166" i="7"/>
  <c r="N165" i="7"/>
  <c r="K165" i="7"/>
  <c r="M165" i="7" s="1"/>
  <c r="H165" i="7"/>
  <c r="I165" i="7" s="1"/>
  <c r="G165" i="7"/>
  <c r="F165" i="7"/>
  <c r="E165" i="7"/>
  <c r="D165" i="7"/>
  <c r="B165" i="7"/>
  <c r="N164" i="7"/>
  <c r="K164" i="7"/>
  <c r="M164" i="7" s="1"/>
  <c r="H164" i="7"/>
  <c r="I164" i="7" s="1"/>
  <c r="G164" i="7"/>
  <c r="F164" i="7"/>
  <c r="E164" i="7"/>
  <c r="D164" i="7"/>
  <c r="B164" i="7"/>
  <c r="N163" i="7"/>
  <c r="K163" i="7"/>
  <c r="M163" i="7" s="1"/>
  <c r="H163" i="7"/>
  <c r="I163" i="7" s="1"/>
  <c r="G163" i="7"/>
  <c r="F163" i="7"/>
  <c r="E163" i="7"/>
  <c r="D163" i="7"/>
  <c r="B163" i="7"/>
  <c r="N162" i="7"/>
  <c r="K162" i="7"/>
  <c r="M162" i="7" s="1"/>
  <c r="H162" i="7"/>
  <c r="I162" i="7" s="1"/>
  <c r="G162" i="7"/>
  <c r="F162" i="7"/>
  <c r="E162" i="7"/>
  <c r="D162" i="7"/>
  <c r="B162" i="7"/>
  <c r="N161" i="7"/>
  <c r="K161" i="7"/>
  <c r="M161" i="7" s="1"/>
  <c r="H161" i="7"/>
  <c r="I161" i="7" s="1"/>
  <c r="G161" i="7"/>
  <c r="F161" i="7"/>
  <c r="E161" i="7"/>
  <c r="D161" i="7"/>
  <c r="B161" i="7"/>
  <c r="N160" i="7"/>
  <c r="K160" i="7"/>
  <c r="M160" i="7" s="1"/>
  <c r="H160" i="7"/>
  <c r="I160" i="7" s="1"/>
  <c r="G160" i="7"/>
  <c r="F160" i="7"/>
  <c r="E160" i="7"/>
  <c r="D160" i="7"/>
  <c r="B160" i="7"/>
  <c r="N159" i="7"/>
  <c r="K159" i="7"/>
  <c r="M159" i="7" s="1"/>
  <c r="H159" i="7"/>
  <c r="I159" i="7" s="1"/>
  <c r="G159" i="7"/>
  <c r="F159" i="7"/>
  <c r="E159" i="7"/>
  <c r="D159" i="7"/>
  <c r="B159" i="7"/>
  <c r="N158" i="7"/>
  <c r="K158" i="7"/>
  <c r="M158" i="7" s="1"/>
  <c r="H158" i="7"/>
  <c r="I158" i="7" s="1"/>
  <c r="G158" i="7"/>
  <c r="F158" i="7"/>
  <c r="E158" i="7"/>
  <c r="D158" i="7"/>
  <c r="B158" i="7"/>
  <c r="N157" i="7"/>
  <c r="K157" i="7"/>
  <c r="M157" i="7" s="1"/>
  <c r="H157" i="7"/>
  <c r="I157" i="7" s="1"/>
  <c r="G157" i="7"/>
  <c r="F157" i="7"/>
  <c r="E157" i="7"/>
  <c r="D157" i="7"/>
  <c r="B157" i="7"/>
  <c r="N156" i="7"/>
  <c r="K156" i="7"/>
  <c r="M156" i="7" s="1"/>
  <c r="H156" i="7"/>
  <c r="I156" i="7" s="1"/>
  <c r="G156" i="7"/>
  <c r="F156" i="7"/>
  <c r="E156" i="7"/>
  <c r="D156" i="7"/>
  <c r="B156" i="7"/>
  <c r="N155" i="7"/>
  <c r="K155" i="7"/>
  <c r="M155" i="7" s="1"/>
  <c r="H155" i="7"/>
  <c r="I155" i="7" s="1"/>
  <c r="G155" i="7"/>
  <c r="F155" i="7"/>
  <c r="E155" i="7"/>
  <c r="D155" i="7"/>
  <c r="B155" i="7"/>
  <c r="N154" i="7"/>
  <c r="K154" i="7"/>
  <c r="M154" i="7" s="1"/>
  <c r="H154" i="7"/>
  <c r="I154" i="7" s="1"/>
  <c r="G154" i="7"/>
  <c r="F154" i="7"/>
  <c r="E154" i="7"/>
  <c r="D154" i="7"/>
  <c r="B154" i="7"/>
  <c r="N153" i="7"/>
  <c r="K153" i="7"/>
  <c r="M153" i="7" s="1"/>
  <c r="H153" i="7"/>
  <c r="I153" i="7" s="1"/>
  <c r="G153" i="7"/>
  <c r="F153" i="7"/>
  <c r="E153" i="7"/>
  <c r="D153" i="7"/>
  <c r="B153" i="7"/>
  <c r="N152" i="7"/>
  <c r="K152" i="7"/>
  <c r="M152" i="7" s="1"/>
  <c r="H152" i="7"/>
  <c r="I152" i="7" s="1"/>
  <c r="G152" i="7"/>
  <c r="F152" i="7"/>
  <c r="E152" i="7"/>
  <c r="D152" i="7"/>
  <c r="B152" i="7"/>
  <c r="N151" i="7"/>
  <c r="K151" i="7"/>
  <c r="M151" i="7" s="1"/>
  <c r="H151" i="7"/>
  <c r="I151" i="7" s="1"/>
  <c r="G151" i="7"/>
  <c r="F151" i="7"/>
  <c r="E151" i="7"/>
  <c r="D151" i="7"/>
  <c r="B151" i="7"/>
  <c r="N150" i="7"/>
  <c r="K150" i="7"/>
  <c r="M150" i="7" s="1"/>
  <c r="H150" i="7"/>
  <c r="I150" i="7" s="1"/>
  <c r="G150" i="7"/>
  <c r="F150" i="7"/>
  <c r="E150" i="7"/>
  <c r="D150" i="7"/>
  <c r="B150" i="7"/>
  <c r="N149" i="7"/>
  <c r="K149" i="7"/>
  <c r="M149" i="7" s="1"/>
  <c r="H149" i="7"/>
  <c r="I149" i="7" s="1"/>
  <c r="G149" i="7"/>
  <c r="F149" i="7"/>
  <c r="E149" i="7"/>
  <c r="D149" i="7"/>
  <c r="B149" i="7"/>
  <c r="N148" i="7"/>
  <c r="K148" i="7"/>
  <c r="M148" i="7" s="1"/>
  <c r="H148" i="7"/>
  <c r="I148" i="7" s="1"/>
  <c r="G148" i="7"/>
  <c r="F148" i="7"/>
  <c r="E148" i="7"/>
  <c r="D148" i="7"/>
  <c r="B148" i="7"/>
  <c r="N147" i="7"/>
  <c r="K147" i="7"/>
  <c r="M147" i="7" s="1"/>
  <c r="H147" i="7"/>
  <c r="I147" i="7" s="1"/>
  <c r="G147" i="7"/>
  <c r="F147" i="7"/>
  <c r="E147" i="7"/>
  <c r="D147" i="7"/>
  <c r="B147" i="7"/>
  <c r="N146" i="7"/>
  <c r="K146" i="7"/>
  <c r="M146" i="7" s="1"/>
  <c r="H146" i="7"/>
  <c r="I146" i="7" s="1"/>
  <c r="G146" i="7"/>
  <c r="F146" i="7"/>
  <c r="E146" i="7"/>
  <c r="D146" i="7"/>
  <c r="B146" i="7"/>
  <c r="N145" i="7"/>
  <c r="K145" i="7"/>
  <c r="M145" i="7" s="1"/>
  <c r="H145" i="7"/>
  <c r="I145" i="7" s="1"/>
  <c r="G145" i="7"/>
  <c r="F145" i="7"/>
  <c r="E145" i="7"/>
  <c r="D145" i="7"/>
  <c r="B145" i="7"/>
  <c r="N144" i="7"/>
  <c r="K144" i="7"/>
  <c r="M144" i="7" s="1"/>
  <c r="H144" i="7"/>
  <c r="I144" i="7" s="1"/>
  <c r="G144" i="7"/>
  <c r="F144" i="7"/>
  <c r="E144" i="7"/>
  <c r="D144" i="7"/>
  <c r="B144" i="7"/>
  <c r="N143" i="7"/>
  <c r="K143" i="7"/>
  <c r="M143" i="7" s="1"/>
  <c r="H143" i="7"/>
  <c r="I143" i="7" s="1"/>
  <c r="G143" i="7"/>
  <c r="F143" i="7"/>
  <c r="E143" i="7"/>
  <c r="D143" i="7"/>
  <c r="B143" i="7"/>
  <c r="N142" i="7"/>
  <c r="K142" i="7"/>
  <c r="M142" i="7" s="1"/>
  <c r="H142" i="7"/>
  <c r="I142" i="7" s="1"/>
  <c r="G142" i="7"/>
  <c r="F142" i="7"/>
  <c r="E142" i="7"/>
  <c r="D142" i="7"/>
  <c r="B142" i="7"/>
  <c r="N141" i="7"/>
  <c r="K141" i="7"/>
  <c r="M141" i="7" s="1"/>
  <c r="H141" i="7"/>
  <c r="I141" i="7" s="1"/>
  <c r="G141" i="7"/>
  <c r="F141" i="7"/>
  <c r="E141" i="7"/>
  <c r="D141" i="7"/>
  <c r="B141" i="7"/>
  <c r="N140" i="7"/>
  <c r="K140" i="7"/>
  <c r="M140" i="7" s="1"/>
  <c r="H140" i="7"/>
  <c r="I140" i="7" s="1"/>
  <c r="G140" i="7"/>
  <c r="F140" i="7"/>
  <c r="E140" i="7"/>
  <c r="D140" i="7"/>
  <c r="B140" i="7"/>
  <c r="N139" i="7"/>
  <c r="K139" i="7"/>
  <c r="M139" i="7" s="1"/>
  <c r="H139" i="7"/>
  <c r="I139" i="7" s="1"/>
  <c r="G139" i="7"/>
  <c r="F139" i="7"/>
  <c r="E139" i="7"/>
  <c r="D139" i="7"/>
  <c r="B139" i="7"/>
  <c r="N138" i="7"/>
  <c r="K138" i="7"/>
  <c r="M138" i="7" s="1"/>
  <c r="H138" i="7"/>
  <c r="I138" i="7" s="1"/>
  <c r="G138" i="7"/>
  <c r="F138" i="7"/>
  <c r="E138" i="7"/>
  <c r="D138" i="7"/>
  <c r="B138" i="7"/>
  <c r="N137" i="7"/>
  <c r="K137" i="7"/>
  <c r="M137" i="7" s="1"/>
  <c r="H137" i="7"/>
  <c r="I137" i="7" s="1"/>
  <c r="G137" i="7"/>
  <c r="F137" i="7"/>
  <c r="E137" i="7"/>
  <c r="D137" i="7"/>
  <c r="B137" i="7"/>
  <c r="N136" i="7"/>
  <c r="K136" i="7"/>
  <c r="M136" i="7" s="1"/>
  <c r="H136" i="7"/>
  <c r="I136" i="7" s="1"/>
  <c r="G136" i="7"/>
  <c r="F136" i="7"/>
  <c r="E136" i="7"/>
  <c r="D136" i="7"/>
  <c r="B136" i="7"/>
  <c r="N135" i="7"/>
  <c r="K135" i="7"/>
  <c r="M135" i="7" s="1"/>
  <c r="H135" i="7"/>
  <c r="I135" i="7" s="1"/>
  <c r="G135" i="7"/>
  <c r="F135" i="7"/>
  <c r="E135" i="7"/>
  <c r="D135" i="7"/>
  <c r="B135" i="7"/>
  <c r="N134" i="7"/>
  <c r="K134" i="7"/>
  <c r="M134" i="7" s="1"/>
  <c r="H134" i="7"/>
  <c r="I134" i="7" s="1"/>
  <c r="G134" i="7"/>
  <c r="F134" i="7"/>
  <c r="E134" i="7"/>
  <c r="D134" i="7"/>
  <c r="B134" i="7"/>
  <c r="N133" i="7"/>
  <c r="K133" i="7"/>
  <c r="M133" i="7" s="1"/>
  <c r="H133" i="7"/>
  <c r="I133" i="7" s="1"/>
  <c r="G133" i="7"/>
  <c r="F133" i="7"/>
  <c r="E133" i="7"/>
  <c r="D133" i="7"/>
  <c r="B133" i="7"/>
  <c r="N132" i="7"/>
  <c r="K132" i="7"/>
  <c r="M132" i="7" s="1"/>
  <c r="H132" i="7"/>
  <c r="I132" i="7" s="1"/>
  <c r="G132" i="7"/>
  <c r="F132" i="7"/>
  <c r="E132" i="7"/>
  <c r="D132" i="7"/>
  <c r="B132" i="7"/>
  <c r="N131" i="7"/>
  <c r="K131" i="7"/>
  <c r="M131" i="7" s="1"/>
  <c r="H131" i="7"/>
  <c r="I131" i="7" s="1"/>
  <c r="G131" i="7"/>
  <c r="F131" i="7"/>
  <c r="E131" i="7"/>
  <c r="D131" i="7"/>
  <c r="B131" i="7"/>
  <c r="N130" i="7"/>
  <c r="K130" i="7"/>
  <c r="M130" i="7" s="1"/>
  <c r="H130" i="7"/>
  <c r="I130" i="7" s="1"/>
  <c r="G130" i="7"/>
  <c r="F130" i="7"/>
  <c r="E130" i="7"/>
  <c r="D130" i="7"/>
  <c r="B130" i="7"/>
  <c r="N129" i="7"/>
  <c r="K129" i="7"/>
  <c r="M129" i="7" s="1"/>
  <c r="H129" i="7"/>
  <c r="I129" i="7" s="1"/>
  <c r="G129" i="7"/>
  <c r="F129" i="7"/>
  <c r="E129" i="7"/>
  <c r="D129" i="7"/>
  <c r="B129" i="7"/>
  <c r="N128" i="7"/>
  <c r="K128" i="7"/>
  <c r="M128" i="7" s="1"/>
  <c r="H128" i="7"/>
  <c r="I128" i="7" s="1"/>
  <c r="G128" i="7"/>
  <c r="F128" i="7"/>
  <c r="E128" i="7"/>
  <c r="D128" i="7"/>
  <c r="B128" i="7"/>
  <c r="N127" i="7"/>
  <c r="K127" i="7"/>
  <c r="M127" i="7" s="1"/>
  <c r="H127" i="7"/>
  <c r="I127" i="7" s="1"/>
  <c r="G127" i="7"/>
  <c r="F127" i="7"/>
  <c r="E127" i="7"/>
  <c r="D127" i="7"/>
  <c r="B127" i="7"/>
  <c r="N126" i="7"/>
  <c r="K126" i="7"/>
  <c r="M126" i="7" s="1"/>
  <c r="H126" i="7"/>
  <c r="I126" i="7" s="1"/>
  <c r="G126" i="7"/>
  <c r="F126" i="7"/>
  <c r="E126" i="7"/>
  <c r="D126" i="7"/>
  <c r="B126" i="7"/>
  <c r="N125" i="7"/>
  <c r="K125" i="7"/>
  <c r="M125" i="7" s="1"/>
  <c r="H125" i="7"/>
  <c r="I125" i="7" s="1"/>
  <c r="G125" i="7"/>
  <c r="F125" i="7"/>
  <c r="E125" i="7"/>
  <c r="D125" i="7"/>
  <c r="B125" i="7"/>
  <c r="N124" i="7"/>
  <c r="K124" i="7"/>
  <c r="M124" i="7" s="1"/>
  <c r="H124" i="7"/>
  <c r="I124" i="7" s="1"/>
  <c r="G124" i="7"/>
  <c r="F124" i="7"/>
  <c r="E124" i="7"/>
  <c r="D124" i="7"/>
  <c r="B124" i="7"/>
  <c r="N123" i="7"/>
  <c r="K123" i="7"/>
  <c r="M123" i="7" s="1"/>
  <c r="H123" i="7"/>
  <c r="I123" i="7" s="1"/>
  <c r="G123" i="7"/>
  <c r="F123" i="7"/>
  <c r="E123" i="7"/>
  <c r="D123" i="7"/>
  <c r="B123" i="7"/>
  <c r="N122" i="7"/>
  <c r="K122" i="7"/>
  <c r="M122" i="7" s="1"/>
  <c r="H122" i="7"/>
  <c r="I122" i="7" s="1"/>
  <c r="G122" i="7"/>
  <c r="F122" i="7"/>
  <c r="E122" i="7"/>
  <c r="D122" i="7"/>
  <c r="B122" i="7"/>
  <c r="N121" i="7"/>
  <c r="K121" i="7"/>
  <c r="M121" i="7" s="1"/>
  <c r="H121" i="7"/>
  <c r="I121" i="7" s="1"/>
  <c r="G121" i="7"/>
  <c r="F121" i="7"/>
  <c r="E121" i="7"/>
  <c r="D121" i="7"/>
  <c r="B121" i="7"/>
  <c r="N120" i="7"/>
  <c r="K120" i="7"/>
  <c r="M120" i="7" s="1"/>
  <c r="H120" i="7"/>
  <c r="I120" i="7" s="1"/>
  <c r="G120" i="7"/>
  <c r="F120" i="7"/>
  <c r="E120" i="7"/>
  <c r="D120" i="7"/>
  <c r="B120" i="7"/>
  <c r="N119" i="7"/>
  <c r="K119" i="7"/>
  <c r="M119" i="7" s="1"/>
  <c r="H119" i="7"/>
  <c r="I119" i="7" s="1"/>
  <c r="G119" i="7"/>
  <c r="F119" i="7"/>
  <c r="E119" i="7"/>
  <c r="D119" i="7"/>
  <c r="B119" i="7"/>
  <c r="N118" i="7"/>
  <c r="K118" i="7"/>
  <c r="M118" i="7" s="1"/>
  <c r="H118" i="7"/>
  <c r="I118" i="7" s="1"/>
  <c r="G118" i="7"/>
  <c r="F118" i="7"/>
  <c r="E118" i="7"/>
  <c r="D118" i="7"/>
  <c r="B118" i="7"/>
  <c r="N117" i="7"/>
  <c r="K117" i="7"/>
  <c r="M117" i="7" s="1"/>
  <c r="H117" i="7"/>
  <c r="I117" i="7" s="1"/>
  <c r="G117" i="7"/>
  <c r="F117" i="7"/>
  <c r="E117" i="7"/>
  <c r="D117" i="7"/>
  <c r="B117" i="7"/>
  <c r="N116" i="7"/>
  <c r="K116" i="7"/>
  <c r="M116" i="7" s="1"/>
  <c r="H116" i="7"/>
  <c r="I116" i="7" s="1"/>
  <c r="G116" i="7"/>
  <c r="F116" i="7"/>
  <c r="E116" i="7"/>
  <c r="D116" i="7"/>
  <c r="B116" i="7"/>
  <c r="N115" i="7"/>
  <c r="K115" i="7"/>
  <c r="M115" i="7" s="1"/>
  <c r="H115" i="7"/>
  <c r="I115" i="7" s="1"/>
  <c r="G115" i="7"/>
  <c r="F115" i="7"/>
  <c r="E115" i="7"/>
  <c r="D115" i="7"/>
  <c r="B115" i="7"/>
  <c r="N114" i="7"/>
  <c r="K114" i="7"/>
  <c r="M114" i="7" s="1"/>
  <c r="H114" i="7"/>
  <c r="I114" i="7" s="1"/>
  <c r="G114" i="7"/>
  <c r="F114" i="7"/>
  <c r="E114" i="7"/>
  <c r="D114" i="7"/>
  <c r="B114" i="7"/>
  <c r="N113" i="7"/>
  <c r="K113" i="7"/>
  <c r="M113" i="7" s="1"/>
  <c r="H113" i="7"/>
  <c r="I113" i="7" s="1"/>
  <c r="G113" i="7"/>
  <c r="F113" i="7"/>
  <c r="E113" i="7"/>
  <c r="D113" i="7"/>
  <c r="B113" i="7"/>
  <c r="N112" i="7"/>
  <c r="K112" i="7"/>
  <c r="M112" i="7" s="1"/>
  <c r="H112" i="7"/>
  <c r="I112" i="7" s="1"/>
  <c r="G112" i="7"/>
  <c r="F112" i="7"/>
  <c r="E112" i="7"/>
  <c r="D112" i="7"/>
  <c r="B112" i="7"/>
  <c r="N111" i="7"/>
  <c r="K111" i="7"/>
  <c r="M111" i="7" s="1"/>
  <c r="H111" i="7"/>
  <c r="I111" i="7" s="1"/>
  <c r="G111" i="7"/>
  <c r="F111" i="7"/>
  <c r="E111" i="7"/>
  <c r="D111" i="7"/>
  <c r="B111" i="7"/>
  <c r="N110" i="7"/>
  <c r="K110" i="7"/>
  <c r="M110" i="7" s="1"/>
  <c r="H110" i="7"/>
  <c r="I110" i="7" s="1"/>
  <c r="G110" i="7"/>
  <c r="F110" i="7"/>
  <c r="E110" i="7"/>
  <c r="D110" i="7"/>
  <c r="B110" i="7"/>
  <c r="N109" i="7"/>
  <c r="K109" i="7"/>
  <c r="M109" i="7" s="1"/>
  <c r="H109" i="7"/>
  <c r="I109" i="7" s="1"/>
  <c r="G109" i="7"/>
  <c r="F109" i="7"/>
  <c r="E109" i="7"/>
  <c r="D109" i="7"/>
  <c r="B109" i="7"/>
  <c r="N108" i="7"/>
  <c r="K108" i="7"/>
  <c r="M108" i="7" s="1"/>
  <c r="H108" i="7"/>
  <c r="I108" i="7" s="1"/>
  <c r="G108" i="7"/>
  <c r="F108" i="7"/>
  <c r="E108" i="7"/>
  <c r="D108" i="7"/>
  <c r="B108" i="7"/>
  <c r="N107" i="7"/>
  <c r="K107" i="7"/>
  <c r="M107" i="7" s="1"/>
  <c r="H107" i="7"/>
  <c r="I107" i="7" s="1"/>
  <c r="G107" i="7"/>
  <c r="F107" i="7"/>
  <c r="E107" i="7"/>
  <c r="D107" i="7"/>
  <c r="B107" i="7"/>
  <c r="N106" i="7"/>
  <c r="K106" i="7"/>
  <c r="M106" i="7" s="1"/>
  <c r="H106" i="7"/>
  <c r="I106" i="7" s="1"/>
  <c r="G106" i="7"/>
  <c r="F106" i="7"/>
  <c r="E106" i="7"/>
  <c r="D106" i="7"/>
  <c r="B106" i="7"/>
  <c r="N105" i="7"/>
  <c r="K105" i="7"/>
  <c r="M105" i="7" s="1"/>
  <c r="H105" i="7"/>
  <c r="I105" i="7" s="1"/>
  <c r="G105" i="7"/>
  <c r="F105" i="7"/>
  <c r="E105" i="7"/>
  <c r="D105" i="7"/>
  <c r="B105" i="7"/>
  <c r="N104" i="7"/>
  <c r="K104" i="7"/>
  <c r="M104" i="7" s="1"/>
  <c r="H104" i="7"/>
  <c r="I104" i="7" s="1"/>
  <c r="G104" i="7"/>
  <c r="F104" i="7"/>
  <c r="E104" i="7"/>
  <c r="D104" i="7"/>
  <c r="B104" i="7"/>
  <c r="N103" i="7"/>
  <c r="K103" i="7"/>
  <c r="M103" i="7" s="1"/>
  <c r="H103" i="7"/>
  <c r="I103" i="7" s="1"/>
  <c r="G103" i="7"/>
  <c r="F103" i="7"/>
  <c r="E103" i="7"/>
  <c r="D103" i="7"/>
  <c r="B103" i="7"/>
  <c r="N102" i="7"/>
  <c r="K102" i="7"/>
  <c r="M102" i="7" s="1"/>
  <c r="H102" i="7"/>
  <c r="I102" i="7" s="1"/>
  <c r="G102" i="7"/>
  <c r="F102" i="7"/>
  <c r="E102" i="7"/>
  <c r="D102" i="7"/>
  <c r="B102" i="7"/>
  <c r="N101" i="7"/>
  <c r="K101" i="7"/>
  <c r="M101" i="7" s="1"/>
  <c r="H101" i="7"/>
  <c r="I101" i="7" s="1"/>
  <c r="G101" i="7"/>
  <c r="F101" i="7"/>
  <c r="E101" i="7"/>
  <c r="D101" i="7"/>
  <c r="B101" i="7"/>
  <c r="N100" i="7"/>
  <c r="K100" i="7"/>
  <c r="M100" i="7" s="1"/>
  <c r="H100" i="7"/>
  <c r="I100" i="7" s="1"/>
  <c r="G100" i="7"/>
  <c r="F100" i="7"/>
  <c r="E100" i="7"/>
  <c r="D100" i="7"/>
  <c r="B100" i="7"/>
  <c r="N99" i="7"/>
  <c r="K99" i="7"/>
  <c r="M99" i="7" s="1"/>
  <c r="H99" i="7"/>
  <c r="I99" i="7" s="1"/>
  <c r="G99" i="7"/>
  <c r="F99" i="7"/>
  <c r="E99" i="7"/>
  <c r="D99" i="7"/>
  <c r="B99" i="7"/>
  <c r="N98" i="7"/>
  <c r="K98" i="7"/>
  <c r="M98" i="7" s="1"/>
  <c r="H98" i="7"/>
  <c r="I98" i="7" s="1"/>
  <c r="G98" i="7"/>
  <c r="F98" i="7"/>
  <c r="E98" i="7"/>
  <c r="D98" i="7"/>
  <c r="B98" i="7"/>
  <c r="N97" i="7"/>
  <c r="K97" i="7"/>
  <c r="M97" i="7" s="1"/>
  <c r="H97" i="7"/>
  <c r="I97" i="7" s="1"/>
  <c r="G97" i="7"/>
  <c r="F97" i="7"/>
  <c r="E97" i="7"/>
  <c r="D97" i="7"/>
  <c r="B97" i="7"/>
  <c r="N96" i="7"/>
  <c r="K96" i="7"/>
  <c r="M96" i="7" s="1"/>
  <c r="H96" i="7"/>
  <c r="I96" i="7" s="1"/>
  <c r="G96" i="7"/>
  <c r="F96" i="7"/>
  <c r="E96" i="7"/>
  <c r="D96" i="7"/>
  <c r="B96" i="7"/>
  <c r="N95" i="7"/>
  <c r="K95" i="7"/>
  <c r="M95" i="7" s="1"/>
  <c r="H95" i="7"/>
  <c r="I95" i="7" s="1"/>
  <c r="G95" i="7"/>
  <c r="F95" i="7"/>
  <c r="E95" i="7"/>
  <c r="D95" i="7"/>
  <c r="B95" i="7"/>
  <c r="N94" i="7"/>
  <c r="K94" i="7"/>
  <c r="M94" i="7" s="1"/>
  <c r="H94" i="7"/>
  <c r="I94" i="7" s="1"/>
  <c r="G94" i="7"/>
  <c r="F94" i="7"/>
  <c r="E94" i="7"/>
  <c r="D94" i="7"/>
  <c r="B94" i="7"/>
  <c r="N93" i="7"/>
  <c r="K93" i="7"/>
  <c r="M93" i="7" s="1"/>
  <c r="H93" i="7"/>
  <c r="I93" i="7" s="1"/>
  <c r="G93" i="7"/>
  <c r="F93" i="7"/>
  <c r="E93" i="7"/>
  <c r="D93" i="7"/>
  <c r="B93" i="7"/>
  <c r="N92" i="7"/>
  <c r="K92" i="7"/>
  <c r="M92" i="7" s="1"/>
  <c r="H92" i="7"/>
  <c r="I92" i="7" s="1"/>
  <c r="G92" i="7"/>
  <c r="F92" i="7"/>
  <c r="E92" i="7"/>
  <c r="D92" i="7"/>
  <c r="B92" i="7"/>
  <c r="N91" i="7"/>
  <c r="K91" i="7"/>
  <c r="M91" i="7" s="1"/>
  <c r="H91" i="7"/>
  <c r="I91" i="7" s="1"/>
  <c r="G91" i="7"/>
  <c r="F91" i="7"/>
  <c r="E91" i="7"/>
  <c r="D91" i="7"/>
  <c r="B91" i="7"/>
  <c r="N90" i="7"/>
  <c r="K90" i="7"/>
  <c r="M90" i="7" s="1"/>
  <c r="H90" i="7"/>
  <c r="I90" i="7" s="1"/>
  <c r="G90" i="7"/>
  <c r="F90" i="7"/>
  <c r="E90" i="7"/>
  <c r="D90" i="7"/>
  <c r="B90" i="7"/>
  <c r="N89" i="7"/>
  <c r="K89" i="7"/>
  <c r="M89" i="7" s="1"/>
  <c r="H89" i="7"/>
  <c r="I89" i="7" s="1"/>
  <c r="G89" i="7"/>
  <c r="F89" i="7"/>
  <c r="E89" i="7"/>
  <c r="D89" i="7"/>
  <c r="B89" i="7"/>
  <c r="N88" i="7"/>
  <c r="K88" i="7"/>
  <c r="M88" i="7" s="1"/>
  <c r="H88" i="7"/>
  <c r="I88" i="7" s="1"/>
  <c r="G88" i="7"/>
  <c r="F88" i="7"/>
  <c r="E88" i="7"/>
  <c r="D88" i="7"/>
  <c r="B88" i="7"/>
  <c r="N87" i="7"/>
  <c r="K87" i="7"/>
  <c r="M87" i="7" s="1"/>
  <c r="H87" i="7"/>
  <c r="I87" i="7" s="1"/>
  <c r="G87" i="7"/>
  <c r="F87" i="7"/>
  <c r="E87" i="7"/>
  <c r="D87" i="7"/>
  <c r="B87" i="7"/>
  <c r="N86" i="7"/>
  <c r="K86" i="7"/>
  <c r="M86" i="7" s="1"/>
  <c r="H86" i="7"/>
  <c r="I86" i="7" s="1"/>
  <c r="G86" i="7"/>
  <c r="F86" i="7"/>
  <c r="E86" i="7"/>
  <c r="D86" i="7"/>
  <c r="B86" i="7"/>
  <c r="N85" i="7"/>
  <c r="K85" i="7"/>
  <c r="M85" i="7" s="1"/>
  <c r="H85" i="7"/>
  <c r="I85" i="7" s="1"/>
  <c r="G85" i="7"/>
  <c r="F85" i="7"/>
  <c r="E85" i="7"/>
  <c r="D85" i="7"/>
  <c r="B85" i="7"/>
  <c r="N84" i="7"/>
  <c r="K84" i="7"/>
  <c r="M84" i="7" s="1"/>
  <c r="H84" i="7"/>
  <c r="I84" i="7" s="1"/>
  <c r="G84" i="7"/>
  <c r="F84" i="7"/>
  <c r="E84" i="7"/>
  <c r="D84" i="7"/>
  <c r="B84" i="7"/>
  <c r="N83" i="7"/>
  <c r="K83" i="7"/>
  <c r="M83" i="7" s="1"/>
  <c r="H83" i="7"/>
  <c r="I83" i="7" s="1"/>
  <c r="G83" i="7"/>
  <c r="F83" i="7"/>
  <c r="E83" i="7"/>
  <c r="D83" i="7"/>
  <c r="B83" i="7"/>
  <c r="N82" i="7"/>
  <c r="K82" i="7"/>
  <c r="M82" i="7" s="1"/>
  <c r="H82" i="7"/>
  <c r="I82" i="7" s="1"/>
  <c r="G82" i="7"/>
  <c r="F82" i="7"/>
  <c r="E82" i="7"/>
  <c r="D82" i="7"/>
  <c r="B82" i="7"/>
  <c r="N81" i="7"/>
  <c r="K81" i="7"/>
  <c r="M81" i="7" s="1"/>
  <c r="H81" i="7"/>
  <c r="I81" i="7" s="1"/>
  <c r="G81" i="7"/>
  <c r="F81" i="7"/>
  <c r="E81" i="7"/>
  <c r="D81" i="7"/>
  <c r="B81" i="7"/>
  <c r="N80" i="7"/>
  <c r="K80" i="7"/>
  <c r="M80" i="7" s="1"/>
  <c r="H80" i="7"/>
  <c r="I80" i="7" s="1"/>
  <c r="G80" i="7"/>
  <c r="F80" i="7"/>
  <c r="E80" i="7"/>
  <c r="D80" i="7"/>
  <c r="B80" i="7"/>
  <c r="N79" i="7"/>
  <c r="K79" i="7"/>
  <c r="M79" i="7" s="1"/>
  <c r="H79" i="7"/>
  <c r="I79" i="7" s="1"/>
  <c r="G79" i="7"/>
  <c r="F79" i="7"/>
  <c r="E79" i="7"/>
  <c r="D79" i="7"/>
  <c r="B79" i="7"/>
  <c r="N78" i="7"/>
  <c r="K78" i="7"/>
  <c r="M78" i="7" s="1"/>
  <c r="H78" i="7"/>
  <c r="I78" i="7" s="1"/>
  <c r="G78" i="7"/>
  <c r="F78" i="7"/>
  <c r="E78" i="7"/>
  <c r="D78" i="7"/>
  <c r="B78" i="7"/>
  <c r="N77" i="7"/>
  <c r="K77" i="7"/>
  <c r="M77" i="7" s="1"/>
  <c r="H77" i="7"/>
  <c r="I77" i="7" s="1"/>
  <c r="G77" i="7"/>
  <c r="F77" i="7"/>
  <c r="E77" i="7"/>
  <c r="D77" i="7"/>
  <c r="B77" i="7"/>
  <c r="N76" i="7"/>
  <c r="K76" i="7"/>
  <c r="M76" i="7" s="1"/>
  <c r="H76" i="7"/>
  <c r="I76" i="7" s="1"/>
  <c r="G76" i="7"/>
  <c r="F76" i="7"/>
  <c r="E76" i="7"/>
  <c r="D76" i="7"/>
  <c r="B76" i="7"/>
  <c r="N75" i="7"/>
  <c r="K75" i="7"/>
  <c r="M75" i="7" s="1"/>
  <c r="H75" i="7"/>
  <c r="I75" i="7" s="1"/>
  <c r="G75" i="7"/>
  <c r="F75" i="7"/>
  <c r="E75" i="7"/>
  <c r="D75" i="7"/>
  <c r="B75" i="7"/>
  <c r="N74" i="7"/>
  <c r="K74" i="7"/>
  <c r="M74" i="7" s="1"/>
  <c r="H74" i="7"/>
  <c r="I74" i="7" s="1"/>
  <c r="G74" i="7"/>
  <c r="F74" i="7"/>
  <c r="E74" i="7"/>
  <c r="D74" i="7"/>
  <c r="B74" i="7"/>
  <c r="N73" i="7"/>
  <c r="K73" i="7"/>
  <c r="M73" i="7" s="1"/>
  <c r="H73" i="7"/>
  <c r="I73" i="7" s="1"/>
  <c r="G73" i="7"/>
  <c r="F73" i="7"/>
  <c r="E73" i="7"/>
  <c r="D73" i="7"/>
  <c r="B73" i="7"/>
  <c r="N72" i="7"/>
  <c r="K72" i="7"/>
  <c r="M72" i="7" s="1"/>
  <c r="H72" i="7"/>
  <c r="I72" i="7" s="1"/>
  <c r="G72" i="7"/>
  <c r="F72" i="7"/>
  <c r="E72" i="7"/>
  <c r="D72" i="7"/>
  <c r="B72" i="7"/>
  <c r="N71" i="7"/>
  <c r="K71" i="7"/>
  <c r="M71" i="7" s="1"/>
  <c r="H71" i="7"/>
  <c r="I71" i="7" s="1"/>
  <c r="G71" i="7"/>
  <c r="F71" i="7"/>
  <c r="E71" i="7"/>
  <c r="D71" i="7"/>
  <c r="B71" i="7"/>
  <c r="N70" i="7"/>
  <c r="K70" i="7"/>
  <c r="M70" i="7" s="1"/>
  <c r="H70" i="7"/>
  <c r="I70" i="7" s="1"/>
  <c r="G70" i="7"/>
  <c r="F70" i="7"/>
  <c r="E70" i="7"/>
  <c r="D70" i="7"/>
  <c r="B70" i="7"/>
  <c r="N69" i="7"/>
  <c r="K69" i="7"/>
  <c r="M69" i="7" s="1"/>
  <c r="H69" i="7"/>
  <c r="I69" i="7" s="1"/>
  <c r="G69" i="7"/>
  <c r="F69" i="7"/>
  <c r="E69" i="7"/>
  <c r="D69" i="7"/>
  <c r="B69" i="7"/>
  <c r="N68" i="7"/>
  <c r="K68" i="7"/>
  <c r="M68" i="7" s="1"/>
  <c r="H68" i="7"/>
  <c r="I68" i="7" s="1"/>
  <c r="G68" i="7"/>
  <c r="F68" i="7"/>
  <c r="E68" i="7"/>
  <c r="D68" i="7"/>
  <c r="B68" i="7"/>
  <c r="N67" i="7"/>
  <c r="K67" i="7"/>
  <c r="M67" i="7" s="1"/>
  <c r="H67" i="7"/>
  <c r="I67" i="7" s="1"/>
  <c r="G67" i="7"/>
  <c r="F67" i="7"/>
  <c r="E67" i="7"/>
  <c r="D67" i="7"/>
  <c r="B67" i="7"/>
  <c r="N66" i="7"/>
  <c r="K66" i="7"/>
  <c r="M66" i="7" s="1"/>
  <c r="H66" i="7"/>
  <c r="I66" i="7" s="1"/>
  <c r="G66" i="7"/>
  <c r="F66" i="7"/>
  <c r="E66" i="7"/>
  <c r="D66" i="7"/>
  <c r="B66" i="7"/>
  <c r="N65" i="7"/>
  <c r="K65" i="7"/>
  <c r="M65" i="7" s="1"/>
  <c r="H65" i="7"/>
  <c r="I65" i="7" s="1"/>
  <c r="G65" i="7"/>
  <c r="F65" i="7"/>
  <c r="E65" i="7"/>
  <c r="D65" i="7"/>
  <c r="B65" i="7"/>
  <c r="N64" i="7"/>
  <c r="K64" i="7"/>
  <c r="M64" i="7" s="1"/>
  <c r="H64" i="7"/>
  <c r="I64" i="7" s="1"/>
  <c r="G64" i="7"/>
  <c r="F64" i="7"/>
  <c r="E64" i="7"/>
  <c r="D64" i="7"/>
  <c r="B64" i="7"/>
  <c r="N63" i="7"/>
  <c r="K63" i="7"/>
  <c r="M63" i="7" s="1"/>
  <c r="H63" i="7"/>
  <c r="I63" i="7" s="1"/>
  <c r="G63" i="7"/>
  <c r="F63" i="7"/>
  <c r="E63" i="7"/>
  <c r="D63" i="7"/>
  <c r="B63" i="7"/>
  <c r="N62" i="7"/>
  <c r="K62" i="7"/>
  <c r="M62" i="7" s="1"/>
  <c r="H62" i="7"/>
  <c r="I62" i="7" s="1"/>
  <c r="G62" i="7"/>
  <c r="F62" i="7"/>
  <c r="E62" i="7"/>
  <c r="D62" i="7"/>
  <c r="B62" i="7"/>
  <c r="N61" i="7"/>
  <c r="K61" i="7"/>
  <c r="M61" i="7" s="1"/>
  <c r="H61" i="7"/>
  <c r="I61" i="7" s="1"/>
  <c r="G61" i="7"/>
  <c r="F61" i="7"/>
  <c r="E61" i="7"/>
  <c r="D61" i="7"/>
  <c r="B61" i="7"/>
  <c r="N60" i="7"/>
  <c r="K60" i="7"/>
  <c r="M60" i="7" s="1"/>
  <c r="H60" i="7"/>
  <c r="I60" i="7" s="1"/>
  <c r="G60" i="7"/>
  <c r="F60" i="7"/>
  <c r="E60" i="7"/>
  <c r="D60" i="7"/>
  <c r="B60" i="7"/>
  <c r="N59" i="7"/>
  <c r="K59" i="7"/>
  <c r="M59" i="7" s="1"/>
  <c r="H59" i="7"/>
  <c r="I59" i="7" s="1"/>
  <c r="G59" i="7"/>
  <c r="F59" i="7"/>
  <c r="E59" i="7"/>
  <c r="D59" i="7"/>
  <c r="B59" i="7"/>
  <c r="N58" i="7"/>
  <c r="K58" i="7"/>
  <c r="M58" i="7" s="1"/>
  <c r="H58" i="7"/>
  <c r="I58" i="7" s="1"/>
  <c r="G58" i="7"/>
  <c r="F58" i="7"/>
  <c r="E58" i="7"/>
  <c r="D58" i="7"/>
  <c r="B58" i="7"/>
  <c r="N57" i="7"/>
  <c r="K57" i="7"/>
  <c r="M57" i="7" s="1"/>
  <c r="H57" i="7"/>
  <c r="I57" i="7" s="1"/>
  <c r="G57" i="7"/>
  <c r="F57" i="7"/>
  <c r="E57" i="7"/>
  <c r="D57" i="7"/>
  <c r="B57" i="7"/>
  <c r="N56" i="7"/>
  <c r="K56" i="7"/>
  <c r="M56" i="7" s="1"/>
  <c r="H56" i="7"/>
  <c r="I56" i="7" s="1"/>
  <c r="G56" i="7"/>
  <c r="F56" i="7"/>
  <c r="E56" i="7"/>
  <c r="D56" i="7"/>
  <c r="B56" i="7"/>
  <c r="N55" i="7"/>
  <c r="K55" i="7"/>
  <c r="M55" i="7" s="1"/>
  <c r="H55" i="7"/>
  <c r="I55" i="7" s="1"/>
  <c r="G55" i="7"/>
  <c r="F55" i="7"/>
  <c r="E55" i="7"/>
  <c r="D55" i="7"/>
  <c r="B55" i="7"/>
  <c r="N54" i="7"/>
  <c r="K54" i="7"/>
  <c r="M54" i="7" s="1"/>
  <c r="H54" i="7"/>
  <c r="I54" i="7" s="1"/>
  <c r="G54" i="7"/>
  <c r="F54" i="7"/>
  <c r="E54" i="7"/>
  <c r="D54" i="7"/>
  <c r="B54" i="7"/>
  <c r="N53" i="7"/>
  <c r="K53" i="7"/>
  <c r="M53" i="7" s="1"/>
  <c r="H53" i="7"/>
  <c r="I53" i="7" s="1"/>
  <c r="G53" i="7"/>
  <c r="F53" i="7"/>
  <c r="E53" i="7"/>
  <c r="D53" i="7"/>
  <c r="B53" i="7"/>
  <c r="N52" i="7"/>
  <c r="K52" i="7"/>
  <c r="M52" i="7" s="1"/>
  <c r="H52" i="7"/>
  <c r="I52" i="7" s="1"/>
  <c r="G52" i="7"/>
  <c r="F52" i="7"/>
  <c r="E52" i="7"/>
  <c r="D52" i="7"/>
  <c r="B52" i="7"/>
  <c r="N51" i="7"/>
  <c r="K51" i="7"/>
  <c r="M51" i="7" s="1"/>
  <c r="H51" i="7"/>
  <c r="I51" i="7" s="1"/>
  <c r="G51" i="7"/>
  <c r="F51" i="7"/>
  <c r="E51" i="7"/>
  <c r="D51" i="7"/>
  <c r="B51" i="7"/>
  <c r="N50" i="7"/>
  <c r="K50" i="7"/>
  <c r="M50" i="7" s="1"/>
  <c r="H50" i="7"/>
  <c r="I50" i="7" s="1"/>
  <c r="G50" i="7"/>
  <c r="F50" i="7"/>
  <c r="E50" i="7"/>
  <c r="D50" i="7"/>
  <c r="B50" i="7"/>
  <c r="N49" i="7"/>
  <c r="K49" i="7"/>
  <c r="M49" i="7" s="1"/>
  <c r="H49" i="7"/>
  <c r="I49" i="7" s="1"/>
  <c r="G49" i="7"/>
  <c r="F49" i="7"/>
  <c r="E49" i="7"/>
  <c r="D49" i="7"/>
  <c r="B49" i="7"/>
  <c r="N48" i="7"/>
  <c r="K48" i="7"/>
  <c r="M48" i="7" s="1"/>
  <c r="H48" i="7"/>
  <c r="I48" i="7" s="1"/>
  <c r="G48" i="7"/>
  <c r="F48" i="7"/>
  <c r="E48" i="7"/>
  <c r="D48" i="7"/>
  <c r="B48" i="7"/>
  <c r="N47" i="7"/>
  <c r="K47" i="7"/>
  <c r="M47" i="7" s="1"/>
  <c r="H47" i="7"/>
  <c r="I47" i="7" s="1"/>
  <c r="G47" i="7"/>
  <c r="F47" i="7"/>
  <c r="E47" i="7"/>
  <c r="D47" i="7"/>
  <c r="B47" i="7"/>
  <c r="N46" i="7"/>
  <c r="K46" i="7"/>
  <c r="M46" i="7" s="1"/>
  <c r="H46" i="7"/>
  <c r="I46" i="7" s="1"/>
  <c r="G46" i="7"/>
  <c r="F46" i="7"/>
  <c r="E46" i="7"/>
  <c r="D46" i="7"/>
  <c r="B46" i="7"/>
  <c r="N45" i="7"/>
  <c r="K45" i="7"/>
  <c r="M45" i="7" s="1"/>
  <c r="H45" i="7"/>
  <c r="I45" i="7" s="1"/>
  <c r="G45" i="7"/>
  <c r="F45" i="7"/>
  <c r="E45" i="7"/>
  <c r="D45" i="7"/>
  <c r="B45" i="7"/>
  <c r="N44" i="7"/>
  <c r="K44" i="7"/>
  <c r="M44" i="7" s="1"/>
  <c r="H44" i="7"/>
  <c r="I44" i="7" s="1"/>
  <c r="G44" i="7"/>
  <c r="F44" i="7"/>
  <c r="E44" i="7"/>
  <c r="D44" i="7"/>
  <c r="B44" i="7"/>
  <c r="N43" i="7"/>
  <c r="K43" i="7"/>
  <c r="M43" i="7" s="1"/>
  <c r="H43" i="7"/>
  <c r="I43" i="7" s="1"/>
  <c r="G43" i="7"/>
  <c r="F43" i="7"/>
  <c r="E43" i="7"/>
  <c r="D43" i="7"/>
  <c r="B43" i="7"/>
  <c r="N42" i="7"/>
  <c r="K42" i="7"/>
  <c r="M42" i="7" s="1"/>
  <c r="H42" i="7"/>
  <c r="I42" i="7" s="1"/>
  <c r="G42" i="7"/>
  <c r="F42" i="7"/>
  <c r="E42" i="7"/>
  <c r="D42" i="7"/>
  <c r="B42" i="7"/>
  <c r="N41" i="7"/>
  <c r="K41" i="7"/>
  <c r="M41" i="7" s="1"/>
  <c r="H41" i="7"/>
  <c r="I41" i="7" s="1"/>
  <c r="G41" i="7"/>
  <c r="F41" i="7"/>
  <c r="E41" i="7"/>
  <c r="D41" i="7"/>
  <c r="B41" i="7"/>
  <c r="N40" i="7"/>
  <c r="K40" i="7"/>
  <c r="M40" i="7" s="1"/>
  <c r="H40" i="7"/>
  <c r="I40" i="7" s="1"/>
  <c r="G40" i="7"/>
  <c r="F40" i="7"/>
  <c r="E40" i="7"/>
  <c r="D40" i="7"/>
  <c r="B40" i="7"/>
  <c r="N39" i="7"/>
  <c r="K39" i="7"/>
  <c r="M39" i="7" s="1"/>
  <c r="H39" i="7"/>
  <c r="I39" i="7" s="1"/>
  <c r="G39" i="7"/>
  <c r="F39" i="7"/>
  <c r="E39" i="7"/>
  <c r="D39" i="7"/>
  <c r="B39" i="7"/>
  <c r="N38" i="7"/>
  <c r="K38" i="7"/>
  <c r="M38" i="7" s="1"/>
  <c r="H38" i="7"/>
  <c r="I38" i="7" s="1"/>
  <c r="G38" i="7"/>
  <c r="F38" i="7"/>
  <c r="E38" i="7"/>
  <c r="D38" i="7"/>
  <c r="B38" i="7"/>
  <c r="N37" i="7"/>
  <c r="K37" i="7"/>
  <c r="M37" i="7" s="1"/>
  <c r="H37" i="7"/>
  <c r="I37" i="7" s="1"/>
  <c r="G37" i="7"/>
  <c r="F37" i="7"/>
  <c r="E37" i="7"/>
  <c r="D37" i="7"/>
  <c r="B37" i="7"/>
  <c r="N36" i="7"/>
  <c r="K36" i="7"/>
  <c r="M36" i="7" s="1"/>
  <c r="H36" i="7"/>
  <c r="I36" i="7" s="1"/>
  <c r="G36" i="7"/>
  <c r="F36" i="7"/>
  <c r="E36" i="7"/>
  <c r="D36" i="7"/>
  <c r="B36" i="7"/>
  <c r="N35" i="7"/>
  <c r="K35" i="7"/>
  <c r="M35" i="7" s="1"/>
  <c r="H35" i="7"/>
  <c r="I35" i="7" s="1"/>
  <c r="G35" i="7"/>
  <c r="F35" i="7"/>
  <c r="E35" i="7"/>
  <c r="D35" i="7"/>
  <c r="B35" i="7"/>
  <c r="N34" i="7"/>
  <c r="K34" i="7"/>
  <c r="M34" i="7" s="1"/>
  <c r="H34" i="7"/>
  <c r="I34" i="7" s="1"/>
  <c r="G34" i="7"/>
  <c r="F34" i="7"/>
  <c r="E34" i="7"/>
  <c r="D34" i="7"/>
  <c r="B34" i="7"/>
  <c r="N33" i="7"/>
  <c r="K33" i="7"/>
  <c r="M33" i="7" s="1"/>
  <c r="H33" i="7"/>
  <c r="I33" i="7" s="1"/>
  <c r="G33" i="7"/>
  <c r="F33" i="7"/>
  <c r="E33" i="7"/>
  <c r="D33" i="7"/>
  <c r="B33" i="7"/>
  <c r="N32" i="7"/>
  <c r="K32" i="7"/>
  <c r="M32" i="7" s="1"/>
  <c r="H32" i="7"/>
  <c r="I32" i="7" s="1"/>
  <c r="G32" i="7"/>
  <c r="F32" i="7"/>
  <c r="E32" i="7"/>
  <c r="D32" i="7"/>
  <c r="B32" i="7"/>
  <c r="N31" i="7"/>
  <c r="K31" i="7"/>
  <c r="M31" i="7" s="1"/>
  <c r="H31" i="7"/>
  <c r="I31" i="7" s="1"/>
  <c r="G31" i="7"/>
  <c r="F31" i="7"/>
  <c r="E31" i="7"/>
  <c r="D31" i="7"/>
  <c r="B31" i="7"/>
  <c r="N30" i="7"/>
  <c r="K30" i="7"/>
  <c r="M30" i="7" s="1"/>
  <c r="H30" i="7"/>
  <c r="I30" i="7" s="1"/>
  <c r="G30" i="7"/>
  <c r="F30" i="7"/>
  <c r="E30" i="7"/>
  <c r="D30" i="7"/>
  <c r="B30" i="7"/>
  <c r="N29" i="7"/>
  <c r="K29" i="7"/>
  <c r="M29" i="7" s="1"/>
  <c r="H29" i="7"/>
  <c r="I29" i="7" s="1"/>
  <c r="G29" i="7"/>
  <c r="F29" i="7"/>
  <c r="E29" i="7"/>
  <c r="D29" i="7"/>
  <c r="B29" i="7"/>
  <c r="N28" i="7"/>
  <c r="K28" i="7"/>
  <c r="M28" i="7" s="1"/>
  <c r="H28" i="7"/>
  <c r="I28" i="7" s="1"/>
  <c r="G28" i="7"/>
  <c r="F28" i="7"/>
  <c r="E28" i="7"/>
  <c r="D28" i="7"/>
  <c r="B28" i="7"/>
  <c r="N27" i="7"/>
  <c r="K27" i="7"/>
  <c r="M27" i="7" s="1"/>
  <c r="H27" i="7"/>
  <c r="I27" i="7" s="1"/>
  <c r="G27" i="7"/>
  <c r="F27" i="7"/>
  <c r="E27" i="7"/>
  <c r="D27" i="7"/>
  <c r="B27" i="7"/>
  <c r="N26" i="7"/>
  <c r="K26" i="7"/>
  <c r="M26" i="7" s="1"/>
  <c r="H26" i="7"/>
  <c r="I26" i="7" s="1"/>
  <c r="G26" i="7"/>
  <c r="F26" i="7"/>
  <c r="E26" i="7"/>
  <c r="D26" i="7"/>
  <c r="B26" i="7"/>
  <c r="N25" i="7"/>
  <c r="K25" i="7"/>
  <c r="M25" i="7" s="1"/>
  <c r="H25" i="7"/>
  <c r="I25" i="7" s="1"/>
  <c r="G25" i="7"/>
  <c r="F25" i="7"/>
  <c r="E25" i="7"/>
  <c r="D25" i="7"/>
  <c r="B25" i="7"/>
  <c r="N24" i="7"/>
  <c r="K24" i="7"/>
  <c r="M24" i="7" s="1"/>
  <c r="H24" i="7"/>
  <c r="I24" i="7" s="1"/>
  <c r="G24" i="7"/>
  <c r="F24" i="7"/>
  <c r="E24" i="7"/>
  <c r="D24" i="7"/>
  <c r="B24" i="7"/>
  <c r="N23" i="7"/>
  <c r="K23" i="7"/>
  <c r="M23" i="7" s="1"/>
  <c r="H23" i="7"/>
  <c r="I23" i="7" s="1"/>
  <c r="G23" i="7"/>
  <c r="F23" i="7"/>
  <c r="E23" i="7"/>
  <c r="D23" i="7"/>
  <c r="B23" i="7"/>
  <c r="N22" i="7"/>
  <c r="K22" i="7"/>
  <c r="M22" i="7" s="1"/>
  <c r="H22" i="7"/>
  <c r="I22" i="7" s="1"/>
  <c r="G22" i="7"/>
  <c r="F22" i="7"/>
  <c r="E22" i="7"/>
  <c r="D22" i="7"/>
  <c r="B22" i="7"/>
  <c r="N21" i="7"/>
  <c r="K21" i="7"/>
  <c r="M21" i="7" s="1"/>
  <c r="H21" i="7"/>
  <c r="I21" i="7" s="1"/>
  <c r="G21" i="7"/>
  <c r="F21" i="7"/>
  <c r="E21" i="7"/>
  <c r="D21" i="7"/>
  <c r="B21" i="7"/>
  <c r="N20" i="7"/>
  <c r="K20" i="7"/>
  <c r="M20" i="7" s="1"/>
  <c r="H20" i="7"/>
  <c r="I20" i="7" s="1"/>
  <c r="G20" i="7"/>
  <c r="F20" i="7"/>
  <c r="E20" i="7"/>
  <c r="D20" i="7"/>
  <c r="B20" i="7"/>
  <c r="N19" i="7"/>
  <c r="K19" i="7"/>
  <c r="M19" i="7" s="1"/>
  <c r="H19" i="7"/>
  <c r="I19" i="7" s="1"/>
  <c r="G19" i="7"/>
  <c r="F19" i="7"/>
  <c r="E19" i="7"/>
  <c r="D19" i="7"/>
  <c r="B19" i="7"/>
  <c r="N18" i="7"/>
  <c r="K18" i="7"/>
  <c r="M18" i="7" s="1"/>
  <c r="H18" i="7"/>
  <c r="I18" i="7" s="1"/>
  <c r="G18" i="7"/>
  <c r="F18" i="7"/>
  <c r="E18" i="7"/>
  <c r="D18" i="7"/>
  <c r="B18" i="7"/>
  <c r="N17" i="7"/>
  <c r="K17" i="7"/>
  <c r="M17" i="7" s="1"/>
  <c r="H17" i="7"/>
  <c r="I17" i="7" s="1"/>
  <c r="G17" i="7"/>
  <c r="F17" i="7"/>
  <c r="E17" i="7"/>
  <c r="D17" i="7"/>
  <c r="B17" i="7"/>
  <c r="N16" i="7"/>
  <c r="K16" i="7"/>
  <c r="M16" i="7" s="1"/>
  <c r="H16" i="7"/>
  <c r="I16" i="7" s="1"/>
  <c r="G16" i="7"/>
  <c r="F16" i="7"/>
  <c r="E16" i="7"/>
  <c r="D16" i="7"/>
  <c r="B16" i="7"/>
  <c r="N15" i="7"/>
  <c r="K15" i="7"/>
  <c r="M15" i="7" s="1"/>
  <c r="H15" i="7"/>
  <c r="I15" i="7" s="1"/>
  <c r="G15" i="7"/>
  <c r="F15" i="7"/>
  <c r="E15" i="7"/>
  <c r="D15" i="7"/>
  <c r="B15" i="7"/>
  <c r="N14" i="7"/>
  <c r="K14" i="7"/>
  <c r="M14" i="7" s="1"/>
  <c r="H14" i="7"/>
  <c r="I14" i="7" s="1"/>
  <c r="G14" i="7"/>
  <c r="F14" i="7"/>
  <c r="E14" i="7"/>
  <c r="D14" i="7"/>
  <c r="B14" i="7"/>
  <c r="N13" i="7"/>
  <c r="K13" i="7"/>
  <c r="M13" i="7" s="1"/>
  <c r="H13" i="7"/>
  <c r="I13" i="7" s="1"/>
  <c r="G13" i="7"/>
  <c r="F13" i="7"/>
  <c r="E13" i="7"/>
  <c r="D13" i="7"/>
  <c r="B13" i="7"/>
  <c r="N12" i="7"/>
  <c r="K12" i="7"/>
  <c r="M12" i="7" s="1"/>
  <c r="H12" i="7"/>
  <c r="I12" i="7" s="1"/>
  <c r="G12" i="7"/>
  <c r="F12" i="7"/>
  <c r="E12" i="7"/>
  <c r="D12" i="7"/>
  <c r="B12" i="7"/>
  <c r="N11" i="7"/>
  <c r="K11" i="7"/>
  <c r="M11" i="7" s="1"/>
  <c r="H11" i="7"/>
  <c r="I11" i="7" s="1"/>
  <c r="G11" i="7"/>
  <c r="F11" i="7"/>
  <c r="E11" i="7"/>
  <c r="D11" i="7"/>
  <c r="B11" i="7"/>
  <c r="N10" i="7"/>
  <c r="K10" i="7"/>
  <c r="M10" i="7" s="1"/>
  <c r="H10" i="7"/>
  <c r="I10" i="7" s="1"/>
  <c r="G10" i="7"/>
  <c r="F10" i="7"/>
  <c r="E10" i="7"/>
  <c r="D10" i="7"/>
  <c r="B10" i="7"/>
  <c r="N9" i="7"/>
  <c r="K9" i="7"/>
  <c r="M9" i="7" s="1"/>
  <c r="H9" i="7"/>
  <c r="I9" i="7" s="1"/>
  <c r="G9" i="7"/>
  <c r="F9" i="7"/>
  <c r="E9" i="7"/>
  <c r="D9" i="7"/>
  <c r="B9" i="7"/>
  <c r="N8" i="7"/>
  <c r="K8" i="7"/>
  <c r="M8" i="7" s="1"/>
  <c r="H8" i="7"/>
  <c r="I8" i="7" s="1"/>
  <c r="G8" i="7"/>
  <c r="F8" i="7"/>
  <c r="E8" i="7"/>
  <c r="D8" i="7"/>
  <c r="B8" i="7"/>
  <c r="N7" i="7"/>
  <c r="K7" i="7"/>
  <c r="M7" i="7" s="1"/>
  <c r="H7" i="7"/>
  <c r="I7" i="7" s="1"/>
  <c r="G7" i="7"/>
  <c r="F7" i="7"/>
  <c r="E7" i="7"/>
  <c r="D7" i="7"/>
  <c r="B7" i="7"/>
  <c r="N6" i="7"/>
  <c r="K6" i="7"/>
  <c r="M6" i="7" s="1"/>
  <c r="H6" i="7"/>
  <c r="I6" i="7" s="1"/>
  <c r="G6" i="7"/>
  <c r="F6" i="7"/>
  <c r="E6" i="7"/>
  <c r="D6" i="7"/>
  <c r="B6" i="7"/>
  <c r="N5" i="7"/>
  <c r="K5" i="7"/>
  <c r="M5" i="7" s="1"/>
  <c r="H5" i="7"/>
  <c r="I5" i="7" s="1"/>
  <c r="G5" i="7"/>
  <c r="F5" i="7"/>
  <c r="E5" i="7"/>
  <c r="D5" i="7"/>
  <c r="B5" i="7"/>
  <c r="J4" i="7"/>
  <c r="C4" i="7"/>
  <c r="A4" i="7"/>
  <c r="J3" i="7"/>
  <c r="C3" i="7"/>
  <c r="A3" i="7"/>
  <c r="J2" i="7"/>
  <c r="C2" i="7"/>
  <c r="A2" i="7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O227" i="7" l="1"/>
  <c r="E2" i="8"/>
  <c r="F2" i="8" s="1"/>
  <c r="G2" i="8" s="1"/>
  <c r="H3" i="7"/>
  <c r="I3" i="7" s="1"/>
  <c r="H4" i="7"/>
  <c r="I4" i="7" s="1"/>
  <c r="H2" i="7"/>
  <c r="I2" i="7" s="1"/>
  <c r="O5" i="7"/>
  <c r="O6" i="7"/>
  <c r="O225" i="7"/>
  <c r="O157" i="7"/>
  <c r="O7" i="7"/>
  <c r="O218" i="7"/>
  <c r="O217" i="7"/>
  <c r="O215" i="7"/>
  <c r="O303" i="7"/>
  <c r="O232" i="7"/>
  <c r="O226" i="7"/>
  <c r="O305" i="7"/>
  <c r="O224" i="7"/>
  <c r="O222" i="7"/>
  <c r="O216" i="7"/>
  <c r="O306" i="7"/>
  <c r="O219" i="7"/>
  <c r="O214" i="7"/>
  <c r="O230" i="7"/>
  <c r="O223" i="7"/>
  <c r="O231" i="7"/>
  <c r="O210" i="7"/>
  <c r="O221" i="7"/>
  <c r="O307" i="7"/>
  <c r="O229" i="7"/>
  <c r="O228" i="7"/>
  <c r="O220" i="7"/>
  <c r="O386" i="7"/>
  <c r="O381" i="7"/>
  <c r="O213" i="7"/>
  <c r="O209" i="7"/>
  <c r="O211" i="7"/>
  <c r="O212" i="7"/>
  <c r="O374" i="7"/>
  <c r="O137" i="7"/>
  <c r="O373" i="7"/>
  <c r="O375" i="7"/>
  <c r="O371" i="7"/>
  <c r="O372" i="7"/>
  <c r="O370" i="7"/>
  <c r="O378" i="7"/>
  <c r="O380" i="7"/>
  <c r="O379" i="7"/>
  <c r="O377" i="7"/>
  <c r="O50" i="7"/>
  <c r="O284" i="7"/>
  <c r="O198" i="7"/>
  <c r="O365" i="7"/>
  <c r="O367" i="7"/>
  <c r="O453" i="7"/>
  <c r="O368" i="7"/>
  <c r="O366" i="7"/>
  <c r="O200" i="7"/>
  <c r="O369" i="7"/>
  <c r="O122" i="7"/>
  <c r="O133" i="7"/>
  <c r="O128" i="7"/>
  <c r="O295" i="7"/>
  <c r="O127" i="7"/>
  <c r="O9" i="7"/>
  <c r="O125" i="7"/>
  <c r="O364" i="7"/>
  <c r="O114" i="7"/>
  <c r="O363" i="7"/>
  <c r="O292" i="7"/>
  <c r="O111" i="7"/>
  <c r="O126" i="7"/>
  <c r="O444" i="7"/>
  <c r="O302" i="7"/>
  <c r="O301" i="7"/>
  <c r="O286" i="7"/>
  <c r="O192" i="7"/>
  <c r="O51" i="7"/>
  <c r="O297" i="7"/>
  <c r="O181" i="7"/>
  <c r="O108" i="7"/>
  <c r="O300" i="7"/>
  <c r="O296" i="7"/>
  <c r="O84" i="7"/>
  <c r="O455" i="7"/>
  <c r="O354" i="7"/>
  <c r="O304" i="7"/>
  <c r="O294" i="7"/>
  <c r="O293" i="7"/>
  <c r="O291" i="7"/>
  <c r="O290" i="7"/>
  <c r="O196" i="7"/>
  <c r="O70" i="7"/>
  <c r="O330" i="7"/>
  <c r="O171" i="7"/>
  <c r="O454" i="7"/>
  <c r="O298" i="7"/>
  <c r="O56" i="7"/>
  <c r="O45" i="7"/>
  <c r="O28" i="7"/>
  <c r="O299" i="7"/>
  <c r="O194" i="7"/>
  <c r="O8" i="7"/>
  <c r="O452" i="7"/>
  <c r="O448" i="7"/>
  <c r="O447" i="7"/>
  <c r="O443" i="7"/>
  <c r="O439" i="7"/>
  <c r="O432" i="7"/>
  <c r="O404" i="7"/>
  <c r="O393" i="7"/>
  <c r="O341" i="7"/>
  <c r="O289" i="7"/>
  <c r="O193" i="7"/>
  <c r="O138" i="7"/>
  <c r="O119" i="7"/>
  <c r="O115" i="7"/>
  <c r="O110" i="7"/>
  <c r="O65" i="7"/>
  <c r="O54" i="7"/>
  <c r="O52" i="7"/>
  <c r="O46" i="7"/>
  <c r="O15" i="7"/>
  <c r="O10" i="7"/>
  <c r="O445" i="7"/>
  <c r="O441" i="7"/>
  <c r="O407" i="7"/>
  <c r="O331" i="7"/>
  <c r="O325" i="7"/>
  <c r="O285" i="7"/>
  <c r="O262" i="7"/>
  <c r="O203" i="7"/>
  <c r="O201" i="7"/>
  <c r="O166" i="7"/>
  <c r="O152" i="7"/>
  <c r="O151" i="7"/>
  <c r="O149" i="7"/>
  <c r="O142" i="7"/>
  <c r="O130" i="7"/>
  <c r="O129" i="7"/>
  <c r="O82" i="7"/>
  <c r="O79" i="7"/>
  <c r="O78" i="7"/>
  <c r="O69" i="7"/>
  <c r="O66" i="7"/>
  <c r="O64" i="7"/>
  <c r="O53" i="7"/>
  <c r="O442" i="7"/>
  <c r="O394" i="7"/>
  <c r="O121" i="7"/>
  <c r="O71" i="7"/>
  <c r="O60" i="7"/>
  <c r="O58" i="7"/>
  <c r="O55" i="7"/>
  <c r="O41" i="7"/>
  <c r="O30" i="7"/>
  <c r="O334" i="7"/>
  <c r="O280" i="7"/>
  <c r="O156" i="7"/>
  <c r="O148" i="7"/>
  <c r="O135" i="7"/>
  <c r="O124" i="7"/>
  <c r="O77" i="7"/>
  <c r="O37" i="7"/>
  <c r="O85" i="7"/>
  <c r="O44" i="7"/>
  <c r="O33" i="7"/>
  <c r="O451" i="7"/>
  <c r="O450" i="7"/>
  <c r="O440" i="7"/>
  <c r="O435" i="7"/>
  <c r="O398" i="7"/>
  <c r="O283" i="7"/>
  <c r="O279" i="7"/>
  <c r="O208" i="7"/>
  <c r="O202" i="7"/>
  <c r="O199" i="7"/>
  <c r="O146" i="7"/>
  <c r="O143" i="7"/>
  <c r="O136" i="7"/>
  <c r="O113" i="7"/>
  <c r="O106" i="7"/>
  <c r="O63" i="7"/>
  <c r="O62" i="7"/>
  <c r="O449" i="7"/>
  <c r="O446" i="7"/>
  <c r="O437" i="7"/>
  <c r="O428" i="7"/>
  <c r="O415" i="7"/>
  <c r="O397" i="7"/>
  <c r="O391" i="7"/>
  <c r="O389" i="7"/>
  <c r="O342" i="7"/>
  <c r="O288" i="7"/>
  <c r="O277" i="7"/>
  <c r="O275" i="7"/>
  <c r="O259" i="7"/>
  <c r="O253" i="7"/>
  <c r="O139" i="7"/>
  <c r="O132" i="7"/>
  <c r="O131" i="7"/>
  <c r="O117" i="7"/>
  <c r="O116" i="7"/>
  <c r="O112" i="7"/>
  <c r="O109" i="7"/>
  <c r="O107" i="7"/>
  <c r="O96" i="7"/>
  <c r="O76" i="7"/>
  <c r="O67" i="7"/>
  <c r="O35" i="7"/>
  <c r="O417" i="7"/>
  <c r="O282" i="7"/>
  <c r="O281" i="7"/>
  <c r="O278" i="7"/>
  <c r="O276" i="7"/>
  <c r="O207" i="7"/>
  <c r="O197" i="7"/>
  <c r="O155" i="7"/>
  <c r="O154" i="7"/>
  <c r="O147" i="7"/>
  <c r="O73" i="7"/>
  <c r="O68" i="7"/>
  <c r="O40" i="7"/>
  <c r="O34" i="7"/>
  <c r="O326" i="7"/>
  <c r="O153" i="7"/>
  <c r="O123" i="7"/>
  <c r="O100" i="7"/>
  <c r="O81" i="7"/>
  <c r="O57" i="7"/>
  <c r="O43" i="7"/>
  <c r="O11" i="7"/>
  <c r="O287" i="7"/>
  <c r="O256" i="7"/>
  <c r="O206" i="7"/>
  <c r="O195" i="7"/>
  <c r="O158" i="7"/>
  <c r="O141" i="7"/>
  <c r="O118" i="7"/>
  <c r="O75" i="7"/>
  <c r="O72" i="7"/>
  <c r="O59" i="7"/>
  <c r="O48" i="7"/>
  <c r="O144" i="7"/>
  <c r="O140" i="7"/>
  <c r="O134" i="7"/>
  <c r="O80" i="7"/>
  <c r="O49" i="7"/>
  <c r="O47" i="7"/>
  <c r="O39" i="7"/>
  <c r="O22" i="7"/>
  <c r="O204" i="7"/>
  <c r="O150" i="7"/>
  <c r="O145" i="7"/>
  <c r="O83" i="7"/>
  <c r="O74" i="7"/>
  <c r="O61" i="7"/>
  <c r="O42" i="7"/>
  <c r="O38" i="7"/>
  <c r="O36" i="7"/>
  <c r="O434" i="7"/>
  <c r="O431" i="7"/>
  <c r="O425" i="7"/>
  <c r="O423" i="7"/>
  <c r="O419" i="7"/>
  <c r="O414" i="7"/>
  <c r="O412" i="7"/>
  <c r="O395" i="7"/>
  <c r="O388" i="7"/>
  <c r="O385" i="7"/>
  <c r="O361" i="7"/>
  <c r="O358" i="7"/>
  <c r="O356" i="7"/>
  <c r="O347" i="7"/>
  <c r="O337" i="7"/>
  <c r="O335" i="7"/>
  <c r="O332" i="7"/>
  <c r="O265" i="7"/>
  <c r="O260" i="7"/>
  <c r="O257" i="7"/>
  <c r="O254" i="7"/>
  <c r="O188" i="7"/>
  <c r="O102" i="7"/>
  <c r="O94" i="7"/>
  <c r="O31" i="7"/>
  <c r="O392" i="7"/>
  <c r="O270" i="7"/>
  <c r="O268" i="7"/>
  <c r="O187" i="7"/>
  <c r="O176" i="7"/>
  <c r="O170" i="7"/>
  <c r="O168" i="7"/>
  <c r="O105" i="7"/>
  <c r="O29" i="7"/>
  <c r="O426" i="7"/>
  <c r="O384" i="7"/>
  <c r="O348" i="7"/>
  <c r="O264" i="7"/>
  <c r="O261" i="7"/>
  <c r="O190" i="7"/>
  <c r="O184" i="7"/>
  <c r="O182" i="7"/>
  <c r="O173" i="7"/>
  <c r="O161" i="7"/>
  <c r="O95" i="7"/>
  <c r="O90" i="7"/>
  <c r="O418" i="7"/>
  <c r="O403" i="7"/>
  <c r="O329" i="7"/>
  <c r="O328" i="7"/>
  <c r="O267" i="7"/>
  <c r="O252" i="7"/>
  <c r="O249" i="7"/>
  <c r="O233" i="7"/>
  <c r="O191" i="7"/>
  <c r="O189" i="7"/>
  <c r="O180" i="7"/>
  <c r="O177" i="7"/>
  <c r="O169" i="7"/>
  <c r="O104" i="7"/>
  <c r="O92" i="7"/>
  <c r="O25" i="7"/>
  <c r="O421" i="7"/>
  <c r="O420" i="7"/>
  <c r="O416" i="7"/>
  <c r="O410" i="7"/>
  <c r="O408" i="7"/>
  <c r="O353" i="7"/>
  <c r="O351" i="7"/>
  <c r="O327" i="7"/>
  <c r="O250" i="7"/>
  <c r="O183" i="7"/>
  <c r="O27" i="7"/>
  <c r="O429" i="7"/>
  <c r="O424" i="7"/>
  <c r="O405" i="7"/>
  <c r="O362" i="7"/>
  <c r="O323" i="7"/>
  <c r="O274" i="7"/>
  <c r="O263" i="7"/>
  <c r="O178" i="7"/>
  <c r="O167" i="7"/>
  <c r="O164" i="7"/>
  <c r="O19" i="7"/>
  <c r="O436" i="7"/>
  <c r="O413" i="7"/>
  <c r="O411" i="7"/>
  <c r="O409" i="7"/>
  <c r="O402" i="7"/>
  <c r="O401" i="7"/>
  <c r="O400" i="7"/>
  <c r="O390" i="7"/>
  <c r="O383" i="7"/>
  <c r="O360" i="7"/>
  <c r="O359" i="7"/>
  <c r="O352" i="7"/>
  <c r="O350" i="7"/>
  <c r="O349" i="7"/>
  <c r="O343" i="7"/>
  <c r="O272" i="7"/>
  <c r="O258" i="7"/>
  <c r="O179" i="7"/>
  <c r="O89" i="7"/>
  <c r="O32" i="7"/>
  <c r="O438" i="7"/>
  <c r="O433" i="7"/>
  <c r="O346" i="7"/>
  <c r="O344" i="7"/>
  <c r="O340" i="7"/>
  <c r="O339" i="7"/>
  <c r="O338" i="7"/>
  <c r="O333" i="7"/>
  <c r="O324" i="7"/>
  <c r="O271" i="7"/>
  <c r="O255" i="7"/>
  <c r="O175" i="7"/>
  <c r="O172" i="7"/>
  <c r="O99" i="7"/>
  <c r="O87" i="7"/>
  <c r="O430" i="7"/>
  <c r="O427" i="7"/>
  <c r="O422" i="7"/>
  <c r="O406" i="7"/>
  <c r="O399" i="7"/>
  <c r="O396" i="7"/>
  <c r="O387" i="7"/>
  <c r="O357" i="7"/>
  <c r="O355" i="7"/>
  <c r="O345" i="7"/>
  <c r="O336" i="7"/>
  <c r="O269" i="7"/>
  <c r="O251" i="7"/>
  <c r="O248" i="7"/>
  <c r="O186" i="7"/>
  <c r="O163" i="7"/>
  <c r="O160" i="7"/>
  <c r="O101" i="7"/>
  <c r="O91" i="7"/>
  <c r="O17" i="7"/>
  <c r="O376" i="7"/>
  <c r="O273" i="7"/>
  <c r="O266" i="7"/>
  <c r="O174" i="7"/>
  <c r="O88" i="7"/>
  <c r="O205" i="7"/>
  <c r="O185" i="7"/>
  <c r="O165" i="7"/>
  <c r="O162" i="7"/>
  <c r="O103" i="7"/>
  <c r="O98" i="7"/>
  <c r="O93" i="7"/>
  <c r="O159" i="7"/>
  <c r="O120" i="7"/>
  <c r="O97" i="7"/>
  <c r="O26" i="7"/>
  <c r="O24" i="7"/>
  <c r="O16" i="7"/>
  <c r="F501" i="10"/>
  <c r="E501" i="10"/>
  <c r="F500" i="10"/>
  <c r="E500" i="10"/>
  <c r="F499" i="10"/>
  <c r="E499" i="10"/>
  <c r="F498" i="10"/>
  <c r="E498" i="10"/>
  <c r="F497" i="10"/>
  <c r="E497" i="10"/>
  <c r="F496" i="10"/>
  <c r="E496" i="10"/>
  <c r="F495" i="10"/>
  <c r="E495" i="10"/>
  <c r="F494" i="10"/>
  <c r="E494" i="10"/>
  <c r="F493" i="10"/>
  <c r="E493" i="10"/>
  <c r="F492" i="10"/>
  <c r="E492" i="10"/>
  <c r="F491" i="10"/>
  <c r="E491" i="10"/>
  <c r="F490" i="10"/>
  <c r="E490" i="10"/>
  <c r="F489" i="10"/>
  <c r="E489" i="10"/>
  <c r="F488" i="10"/>
  <c r="E488" i="10"/>
  <c r="F487" i="10"/>
  <c r="E487" i="10"/>
  <c r="F486" i="10"/>
  <c r="E486" i="10"/>
  <c r="F485" i="10"/>
  <c r="E485" i="10"/>
  <c r="F484" i="10"/>
  <c r="E484" i="10"/>
  <c r="F483" i="10"/>
  <c r="E483" i="10"/>
  <c r="F482" i="10"/>
  <c r="E482" i="10"/>
  <c r="F481" i="10"/>
  <c r="E481" i="10"/>
  <c r="F480" i="10"/>
  <c r="E480" i="10"/>
  <c r="F479" i="10"/>
  <c r="E479" i="10"/>
  <c r="F478" i="10"/>
  <c r="E478" i="10"/>
  <c r="F477" i="10"/>
  <c r="E477" i="10"/>
  <c r="F476" i="10"/>
  <c r="E476" i="10"/>
  <c r="F475" i="10"/>
  <c r="E475" i="10"/>
  <c r="F474" i="10"/>
  <c r="E474" i="10"/>
  <c r="F473" i="10"/>
  <c r="E473" i="10"/>
  <c r="F472" i="10"/>
  <c r="E472" i="10"/>
  <c r="F471" i="10"/>
  <c r="E471" i="10"/>
  <c r="F470" i="10"/>
  <c r="E470" i="10"/>
  <c r="F469" i="10"/>
  <c r="E469" i="10"/>
  <c r="F468" i="10"/>
  <c r="E468" i="10"/>
  <c r="F467" i="10"/>
  <c r="E467" i="10"/>
  <c r="F466" i="10"/>
  <c r="E466" i="10"/>
  <c r="F465" i="10"/>
  <c r="E465" i="10"/>
  <c r="F464" i="10"/>
  <c r="E464" i="10"/>
  <c r="F463" i="10"/>
  <c r="E463" i="10"/>
  <c r="F462" i="10"/>
  <c r="E462" i="10"/>
  <c r="F461" i="10"/>
  <c r="E461" i="10"/>
  <c r="F460" i="10"/>
  <c r="E460" i="10"/>
  <c r="F459" i="10"/>
  <c r="E459" i="10"/>
  <c r="F458" i="10"/>
  <c r="E458" i="10"/>
  <c r="F457" i="10"/>
  <c r="E457" i="10"/>
  <c r="F456" i="10"/>
  <c r="E456" i="10"/>
  <c r="F455" i="10"/>
  <c r="E455" i="10"/>
  <c r="F454" i="10"/>
  <c r="E454" i="10"/>
  <c r="F453" i="10"/>
  <c r="E453" i="10"/>
  <c r="F452" i="10"/>
  <c r="E452" i="10"/>
  <c r="F451" i="10"/>
  <c r="E451" i="10"/>
  <c r="F450" i="10"/>
  <c r="E450" i="10"/>
  <c r="F449" i="10"/>
  <c r="E449" i="10"/>
  <c r="F448" i="10"/>
  <c r="E448" i="10"/>
  <c r="F447" i="10"/>
  <c r="E447" i="10"/>
  <c r="F446" i="10"/>
  <c r="E446" i="10"/>
  <c r="F445" i="10"/>
  <c r="E445" i="10"/>
  <c r="F444" i="10"/>
  <c r="E444" i="10"/>
  <c r="F443" i="10"/>
  <c r="E443" i="10"/>
  <c r="F442" i="10"/>
  <c r="E442" i="10"/>
  <c r="F441" i="10"/>
  <c r="E441" i="10"/>
  <c r="F440" i="10"/>
  <c r="E440" i="10"/>
  <c r="F439" i="10"/>
  <c r="E439" i="10"/>
  <c r="F438" i="10"/>
  <c r="E438" i="10"/>
  <c r="F437" i="10"/>
  <c r="E437" i="10"/>
  <c r="F436" i="10"/>
  <c r="E436" i="10"/>
  <c r="F435" i="10"/>
  <c r="E435" i="10"/>
  <c r="F434" i="10"/>
  <c r="E434" i="10"/>
  <c r="F433" i="10"/>
  <c r="E433" i="10"/>
  <c r="F432" i="10"/>
  <c r="E432" i="10"/>
  <c r="F431" i="10"/>
  <c r="E431" i="10"/>
  <c r="F430" i="10"/>
  <c r="E430" i="10"/>
  <c r="F429" i="10"/>
  <c r="E429" i="10"/>
  <c r="F428" i="10"/>
  <c r="E428" i="10"/>
  <c r="F427" i="10"/>
  <c r="E427" i="10"/>
  <c r="F426" i="10"/>
  <c r="E426" i="10"/>
  <c r="F425" i="10"/>
  <c r="E425" i="10"/>
  <c r="F424" i="10"/>
  <c r="E424" i="10"/>
  <c r="F423" i="10"/>
  <c r="E423" i="10"/>
  <c r="F422" i="10"/>
  <c r="E422" i="10"/>
  <c r="F421" i="10"/>
  <c r="E421" i="10"/>
  <c r="F420" i="10"/>
  <c r="E420" i="10"/>
  <c r="F419" i="10"/>
  <c r="E419" i="10"/>
  <c r="F418" i="10"/>
  <c r="E418" i="10"/>
  <c r="F417" i="10"/>
  <c r="E417" i="10"/>
  <c r="F416" i="10"/>
  <c r="E416" i="10"/>
  <c r="F415" i="10"/>
  <c r="E415" i="10"/>
  <c r="F414" i="10"/>
  <c r="E414" i="10"/>
  <c r="F413" i="10"/>
  <c r="E413" i="10"/>
  <c r="F412" i="10"/>
  <c r="E412" i="10"/>
  <c r="F411" i="10"/>
  <c r="E411" i="10"/>
  <c r="F410" i="10"/>
  <c r="E410" i="10"/>
  <c r="F409" i="10"/>
  <c r="E409" i="10"/>
  <c r="F408" i="10"/>
  <c r="E408" i="10"/>
  <c r="F407" i="10"/>
  <c r="E407" i="10"/>
  <c r="F406" i="10"/>
  <c r="E406" i="10"/>
  <c r="F405" i="10"/>
  <c r="E405" i="10"/>
  <c r="F404" i="10"/>
  <c r="E404" i="10"/>
  <c r="F403" i="10"/>
  <c r="E403" i="10"/>
  <c r="F402" i="10"/>
  <c r="E402" i="10"/>
  <c r="F401" i="10"/>
  <c r="E401" i="10"/>
  <c r="F400" i="10"/>
  <c r="E400" i="10"/>
  <c r="F399" i="10"/>
  <c r="E399" i="10"/>
  <c r="F398" i="10"/>
  <c r="E398" i="10"/>
  <c r="F397" i="10"/>
  <c r="E397" i="10"/>
  <c r="F396" i="10"/>
  <c r="E396" i="10"/>
  <c r="F395" i="10"/>
  <c r="E395" i="10"/>
  <c r="F394" i="10"/>
  <c r="E394" i="10"/>
  <c r="F393" i="10"/>
  <c r="E393" i="10"/>
  <c r="F392" i="10"/>
  <c r="E392" i="10"/>
  <c r="F391" i="10"/>
  <c r="E391" i="10"/>
  <c r="F390" i="10"/>
  <c r="E390" i="10"/>
  <c r="F389" i="10"/>
  <c r="E389" i="10"/>
  <c r="F388" i="10"/>
  <c r="E388" i="10"/>
  <c r="F387" i="10"/>
  <c r="E387" i="10"/>
  <c r="F386" i="10"/>
  <c r="E386" i="10"/>
  <c r="F385" i="10"/>
  <c r="E385" i="10"/>
  <c r="F384" i="10"/>
  <c r="E384" i="10"/>
  <c r="F383" i="10"/>
  <c r="E383" i="10"/>
  <c r="F382" i="10"/>
  <c r="E382" i="10"/>
  <c r="F381" i="10"/>
  <c r="E381" i="10"/>
  <c r="F380" i="10"/>
  <c r="E380" i="10"/>
  <c r="F379" i="10"/>
  <c r="E379" i="10"/>
  <c r="F378" i="10"/>
  <c r="E378" i="10"/>
  <c r="F377" i="10"/>
  <c r="E377" i="10"/>
  <c r="F376" i="10"/>
  <c r="E376" i="10"/>
  <c r="F375" i="10"/>
  <c r="E375" i="10"/>
  <c r="F374" i="10"/>
  <c r="E374" i="10"/>
  <c r="F373" i="10"/>
  <c r="E373" i="10"/>
  <c r="F372" i="10"/>
  <c r="E372" i="10"/>
  <c r="F371" i="10"/>
  <c r="E371" i="10"/>
  <c r="F370" i="10"/>
  <c r="E370" i="10"/>
  <c r="F369" i="10"/>
  <c r="E369" i="10"/>
  <c r="F368" i="10"/>
  <c r="E368" i="10"/>
  <c r="F367" i="10"/>
  <c r="E367" i="10"/>
  <c r="F366" i="10"/>
  <c r="E366" i="10"/>
  <c r="F365" i="10"/>
  <c r="E365" i="10"/>
  <c r="F364" i="10"/>
  <c r="E364" i="10"/>
  <c r="F363" i="10"/>
  <c r="E363" i="10"/>
  <c r="F362" i="10"/>
  <c r="E362" i="10"/>
  <c r="F361" i="10"/>
  <c r="E361" i="10"/>
  <c r="F360" i="10"/>
  <c r="E360" i="10"/>
  <c r="F359" i="10"/>
  <c r="E359" i="10"/>
  <c r="F358" i="10"/>
  <c r="E358" i="10"/>
  <c r="F357" i="10"/>
  <c r="E357" i="10"/>
  <c r="F356" i="10"/>
  <c r="E356" i="10"/>
  <c r="F355" i="10"/>
  <c r="E355" i="10"/>
  <c r="F354" i="10"/>
  <c r="E354" i="10"/>
  <c r="F353" i="10"/>
  <c r="E353" i="10"/>
  <c r="F352" i="10"/>
  <c r="E352" i="10"/>
  <c r="F351" i="10"/>
  <c r="E351" i="10"/>
  <c r="F350" i="10"/>
  <c r="E350" i="10"/>
  <c r="F349" i="10"/>
  <c r="E349" i="10"/>
  <c r="F348" i="10"/>
  <c r="E348" i="10"/>
  <c r="F347" i="10"/>
  <c r="E347" i="10"/>
  <c r="F346" i="10"/>
  <c r="E346" i="10"/>
  <c r="F344" i="10"/>
  <c r="E344" i="10"/>
  <c r="F343" i="10"/>
  <c r="E343" i="10"/>
  <c r="F342" i="10"/>
  <c r="E342" i="10"/>
  <c r="F341" i="10"/>
  <c r="E341" i="10"/>
  <c r="F340" i="10"/>
  <c r="E340" i="10"/>
  <c r="F339" i="10"/>
  <c r="E339" i="10"/>
  <c r="F338" i="10"/>
  <c r="E338" i="10"/>
  <c r="F337" i="10"/>
  <c r="E337" i="10"/>
  <c r="F336" i="10"/>
  <c r="E336" i="10"/>
  <c r="F335" i="10"/>
  <c r="E335" i="10"/>
  <c r="F334" i="10"/>
  <c r="E334" i="10"/>
  <c r="F333" i="10"/>
  <c r="E333" i="10"/>
  <c r="E332" i="10"/>
  <c r="F332" i="10"/>
  <c r="E331" i="10"/>
  <c r="F331" i="10"/>
  <c r="F330" i="10"/>
  <c r="E330" i="10"/>
  <c r="F329" i="10"/>
  <c r="E329" i="10"/>
  <c r="F328" i="10"/>
  <c r="E328" i="10"/>
  <c r="F327" i="10"/>
  <c r="E327" i="10"/>
  <c r="F326" i="10"/>
  <c r="E326" i="10"/>
  <c r="F325" i="10"/>
  <c r="E325" i="10"/>
  <c r="F324" i="10"/>
  <c r="E324" i="10"/>
  <c r="F323" i="10"/>
  <c r="E323" i="10"/>
  <c r="E322" i="10"/>
  <c r="F322" i="10"/>
  <c r="E321" i="10"/>
  <c r="F321" i="10"/>
  <c r="E320" i="10"/>
  <c r="F320" i="10"/>
  <c r="E319" i="10"/>
  <c r="F319" i="10"/>
  <c r="F318" i="10"/>
  <c r="E318" i="10"/>
  <c r="F317" i="10"/>
  <c r="E317" i="10"/>
  <c r="F316" i="10"/>
  <c r="E316" i="10"/>
  <c r="F315" i="10"/>
  <c r="E315" i="10"/>
  <c r="F314" i="10"/>
  <c r="E314" i="10"/>
  <c r="E313" i="10"/>
  <c r="F313" i="10"/>
  <c r="F312" i="10"/>
  <c r="E312" i="10"/>
  <c r="E311" i="10"/>
  <c r="F311" i="10"/>
  <c r="F310" i="10"/>
  <c r="E310" i="10"/>
  <c r="E309" i="10"/>
  <c r="F309" i="10"/>
  <c r="F308" i="10"/>
  <c r="E308" i="10"/>
  <c r="F307" i="10"/>
  <c r="E307" i="10"/>
  <c r="F306" i="10"/>
  <c r="E306" i="10"/>
  <c r="F305" i="10"/>
  <c r="E305" i="10"/>
  <c r="F304" i="10"/>
  <c r="E304" i="10"/>
  <c r="F303" i="10"/>
  <c r="E303" i="10"/>
  <c r="E302" i="10"/>
  <c r="F302" i="10"/>
  <c r="F301" i="10"/>
  <c r="E301" i="10"/>
  <c r="E300" i="10"/>
  <c r="F300" i="10"/>
  <c r="F299" i="10"/>
  <c r="E299" i="10"/>
  <c r="F298" i="10"/>
  <c r="E298" i="10"/>
  <c r="F297" i="10"/>
  <c r="E297" i="10"/>
  <c r="E296" i="10"/>
  <c r="F296" i="10"/>
  <c r="F295" i="10"/>
  <c r="E295" i="10"/>
  <c r="F294" i="10"/>
  <c r="E294" i="10"/>
  <c r="E293" i="10"/>
  <c r="F293" i="10"/>
  <c r="F292" i="10"/>
  <c r="E292" i="10"/>
  <c r="F291" i="10"/>
  <c r="E291" i="10"/>
  <c r="F290" i="10"/>
  <c r="E290" i="10"/>
  <c r="F289" i="10"/>
  <c r="E289" i="10"/>
  <c r="F288" i="10"/>
  <c r="E288" i="10"/>
  <c r="E287" i="10"/>
  <c r="F287" i="10"/>
  <c r="F286" i="10"/>
  <c r="E286" i="10"/>
  <c r="F285" i="10"/>
  <c r="E285" i="10"/>
  <c r="E284" i="10"/>
  <c r="F284" i="10"/>
  <c r="E283" i="10"/>
  <c r="F283" i="10"/>
  <c r="E282" i="10"/>
  <c r="F282" i="10"/>
  <c r="F281" i="10"/>
  <c r="E281" i="10"/>
  <c r="F280" i="10"/>
  <c r="E280" i="10"/>
  <c r="F279" i="10"/>
  <c r="E279" i="10"/>
  <c r="F278" i="10"/>
  <c r="E278" i="10"/>
  <c r="E277" i="10"/>
  <c r="F277" i="10"/>
  <c r="E276" i="10"/>
  <c r="F276" i="10"/>
  <c r="E275" i="10"/>
  <c r="F275" i="10"/>
  <c r="E274" i="10"/>
  <c r="F274" i="10"/>
  <c r="F273" i="10"/>
  <c r="E273" i="10"/>
  <c r="E272" i="10"/>
  <c r="F272" i="10"/>
  <c r="E271" i="10"/>
  <c r="F271" i="10"/>
  <c r="E270" i="10"/>
  <c r="F270" i="10"/>
  <c r="F269" i="10"/>
  <c r="E269" i="10"/>
  <c r="F268" i="10"/>
  <c r="E268" i="10"/>
  <c r="F267" i="10"/>
  <c r="E267" i="10"/>
  <c r="F266" i="10"/>
  <c r="E266" i="10"/>
  <c r="E265" i="10"/>
  <c r="F265" i="10"/>
  <c r="F264" i="10"/>
  <c r="E264" i="10"/>
  <c r="F263" i="10"/>
  <c r="E263" i="10"/>
  <c r="F262" i="10"/>
  <c r="E262" i="10"/>
  <c r="E261" i="10"/>
  <c r="F261" i="10"/>
  <c r="F260" i="10"/>
  <c r="E260" i="10"/>
  <c r="F259" i="10"/>
  <c r="E259" i="10"/>
  <c r="F258" i="10"/>
  <c r="E258" i="10"/>
  <c r="F257" i="10"/>
  <c r="E257" i="10"/>
  <c r="F256" i="10"/>
  <c r="E256" i="10"/>
  <c r="F255" i="10"/>
  <c r="E255" i="10"/>
  <c r="F254" i="10"/>
  <c r="E254" i="10"/>
  <c r="F253" i="10"/>
  <c r="E253" i="10"/>
  <c r="F252" i="10"/>
  <c r="E252" i="10"/>
  <c r="F251" i="10"/>
  <c r="E251" i="10"/>
  <c r="F250" i="10"/>
  <c r="E250" i="10"/>
  <c r="F249" i="10"/>
  <c r="E249" i="10"/>
  <c r="E248" i="10"/>
  <c r="F248" i="10"/>
  <c r="F247" i="10"/>
  <c r="E247" i="10"/>
  <c r="E246" i="10"/>
  <c r="F246" i="10"/>
  <c r="E245" i="10"/>
  <c r="F245" i="10"/>
  <c r="F244" i="10"/>
  <c r="E244" i="10"/>
  <c r="F243" i="10"/>
  <c r="E243" i="10"/>
  <c r="F242" i="10"/>
  <c r="E242" i="10"/>
  <c r="F241" i="10"/>
  <c r="E241" i="10"/>
  <c r="F240" i="10"/>
  <c r="E240" i="10"/>
  <c r="F239" i="10"/>
  <c r="E239" i="10"/>
  <c r="F238" i="10"/>
  <c r="E238" i="10"/>
  <c r="E237" i="10"/>
  <c r="F237" i="10"/>
  <c r="E236" i="10"/>
  <c r="F236" i="10"/>
  <c r="E235" i="10"/>
  <c r="F235" i="10"/>
  <c r="E234" i="10"/>
  <c r="F234" i="10"/>
  <c r="E233" i="10"/>
  <c r="F233" i="10"/>
  <c r="E232" i="10"/>
  <c r="F232" i="10"/>
  <c r="F231" i="10"/>
  <c r="E231" i="10"/>
  <c r="F230" i="10"/>
  <c r="E230" i="10"/>
  <c r="F229" i="10"/>
  <c r="E229" i="10"/>
  <c r="E228" i="10"/>
  <c r="F228" i="10"/>
  <c r="F227" i="10"/>
  <c r="E227" i="10"/>
  <c r="F226" i="10"/>
  <c r="E226" i="10"/>
  <c r="E225" i="10"/>
  <c r="F225" i="10"/>
  <c r="E224" i="10"/>
  <c r="F224" i="10"/>
  <c r="F223" i="10"/>
  <c r="E223" i="10"/>
  <c r="E222" i="10"/>
  <c r="F222" i="10"/>
  <c r="E221" i="10"/>
  <c r="F221" i="10"/>
  <c r="E220" i="10"/>
  <c r="F220" i="10"/>
  <c r="F219" i="10"/>
  <c r="E219" i="10"/>
  <c r="F218" i="10"/>
  <c r="E218" i="10"/>
  <c r="F217" i="10"/>
  <c r="E217" i="10"/>
  <c r="F216" i="10"/>
  <c r="E216" i="10"/>
  <c r="F215" i="10"/>
  <c r="E215" i="10"/>
  <c r="E214" i="10"/>
  <c r="F214" i="10"/>
  <c r="E213" i="10"/>
  <c r="F213" i="10"/>
  <c r="E212" i="10"/>
  <c r="F212" i="10"/>
  <c r="E211" i="10"/>
  <c r="F211" i="10"/>
  <c r="E210" i="10"/>
  <c r="F210" i="10"/>
  <c r="E209" i="10"/>
  <c r="F209" i="10"/>
  <c r="F208" i="10"/>
  <c r="E208" i="10"/>
  <c r="F207" i="10"/>
  <c r="E207" i="10"/>
  <c r="F206" i="10"/>
  <c r="E206" i="10"/>
  <c r="F205" i="10"/>
  <c r="E205" i="10"/>
  <c r="F204" i="10"/>
  <c r="E204" i="10"/>
  <c r="F203" i="10"/>
  <c r="E203" i="10"/>
  <c r="E202" i="10"/>
  <c r="F202" i="10"/>
  <c r="E201" i="10"/>
  <c r="F201" i="10"/>
  <c r="F200" i="10"/>
  <c r="E200" i="10"/>
  <c r="F199" i="10"/>
  <c r="E199" i="10"/>
  <c r="E198" i="10"/>
  <c r="F198" i="10"/>
  <c r="F197" i="10"/>
  <c r="E197" i="10"/>
  <c r="F196" i="10"/>
  <c r="E196" i="10"/>
  <c r="F195" i="10"/>
  <c r="E195" i="10"/>
  <c r="F194" i="10"/>
  <c r="E194" i="10"/>
  <c r="E193" i="10"/>
  <c r="F193" i="10"/>
  <c r="F192" i="10"/>
  <c r="E192" i="10"/>
  <c r="F191" i="10"/>
  <c r="E191" i="10"/>
  <c r="F190" i="10"/>
  <c r="E190" i="10"/>
  <c r="F188" i="10"/>
  <c r="E188" i="10"/>
  <c r="F187" i="10"/>
  <c r="E187" i="10"/>
  <c r="F186" i="10"/>
  <c r="E186" i="10"/>
  <c r="E185" i="10"/>
  <c r="F185" i="10"/>
  <c r="E184" i="10"/>
  <c r="F184" i="10"/>
  <c r="E183" i="10"/>
  <c r="F183" i="10"/>
  <c r="E182" i="10"/>
  <c r="F182" i="10"/>
  <c r="E181" i="10"/>
  <c r="F181" i="10"/>
  <c r="E180" i="10"/>
  <c r="F180" i="10"/>
  <c r="F179" i="10"/>
  <c r="E179" i="10"/>
  <c r="E178" i="10"/>
  <c r="F178" i="10"/>
  <c r="F177" i="10"/>
  <c r="E177" i="10"/>
  <c r="F176" i="10"/>
  <c r="E176" i="10"/>
  <c r="F175" i="10"/>
  <c r="E175" i="10"/>
  <c r="F174" i="10"/>
  <c r="E174" i="10"/>
  <c r="E173" i="10"/>
  <c r="F173" i="10"/>
  <c r="F172" i="10"/>
  <c r="E172" i="10"/>
  <c r="F171" i="10"/>
  <c r="E171" i="10"/>
  <c r="F170" i="10"/>
  <c r="E170" i="10"/>
  <c r="F169" i="10"/>
  <c r="E169" i="10"/>
  <c r="F168" i="10"/>
  <c r="E168" i="10"/>
  <c r="F167" i="10"/>
  <c r="E167" i="10"/>
  <c r="E166" i="10"/>
  <c r="F166" i="10"/>
  <c r="E165" i="10"/>
  <c r="F165" i="10"/>
  <c r="E164" i="10"/>
  <c r="F164" i="10"/>
  <c r="E163" i="10"/>
  <c r="F163" i="10"/>
  <c r="F162" i="10"/>
  <c r="E162" i="10"/>
  <c r="F161" i="10"/>
  <c r="E161" i="10"/>
  <c r="E160" i="10"/>
  <c r="F160" i="10"/>
  <c r="F159" i="10"/>
  <c r="E159" i="10"/>
  <c r="E158" i="10"/>
  <c r="F158" i="10"/>
  <c r="E157" i="10"/>
  <c r="F157" i="10"/>
  <c r="E156" i="10"/>
  <c r="F156" i="10"/>
  <c r="F155" i="10"/>
  <c r="E155" i="10"/>
  <c r="F154" i="10"/>
  <c r="E154" i="10"/>
  <c r="F153" i="10"/>
  <c r="E153" i="10"/>
  <c r="F152" i="10"/>
  <c r="E152" i="10"/>
  <c r="F151" i="10"/>
  <c r="E151" i="10"/>
  <c r="E150" i="10"/>
  <c r="F150" i="10"/>
  <c r="E149" i="10"/>
  <c r="F149" i="10"/>
  <c r="E148" i="10"/>
  <c r="F148" i="10"/>
  <c r="E147" i="10"/>
  <c r="F147" i="10"/>
  <c r="F146" i="10"/>
  <c r="E146" i="10"/>
  <c r="E145" i="10"/>
  <c r="F145" i="10"/>
  <c r="F144" i="10"/>
  <c r="E144" i="10"/>
  <c r="F143" i="10"/>
  <c r="E143" i="10"/>
  <c r="F142" i="10"/>
  <c r="E142" i="10"/>
  <c r="F141" i="10"/>
  <c r="E141" i="10"/>
  <c r="F140" i="10"/>
  <c r="E140" i="10"/>
  <c r="E139" i="10"/>
  <c r="F139" i="10"/>
  <c r="E138" i="10"/>
  <c r="F138" i="10"/>
  <c r="F137" i="10"/>
  <c r="E137" i="10"/>
  <c r="F136" i="10"/>
  <c r="E136" i="10"/>
  <c r="E135" i="10"/>
  <c r="F135" i="10"/>
  <c r="E134" i="10"/>
  <c r="F134" i="10"/>
  <c r="F133" i="10"/>
  <c r="E133" i="10"/>
  <c r="F132" i="10"/>
  <c r="E132" i="10"/>
  <c r="F131" i="10"/>
  <c r="E131" i="10"/>
  <c r="F130" i="10"/>
  <c r="E130" i="10"/>
  <c r="F129" i="10"/>
  <c r="E129" i="10"/>
  <c r="F128" i="10"/>
  <c r="E128" i="10"/>
  <c r="E127" i="10"/>
  <c r="F127" i="10"/>
  <c r="F126" i="10"/>
  <c r="E126" i="10"/>
  <c r="F125" i="10"/>
  <c r="E125" i="10"/>
  <c r="E124" i="10"/>
  <c r="F124" i="10"/>
  <c r="E123" i="10"/>
  <c r="F123" i="10"/>
  <c r="F122" i="10"/>
  <c r="E122" i="10"/>
  <c r="F121" i="10"/>
  <c r="E121" i="10"/>
  <c r="E120" i="10"/>
  <c r="F120" i="10"/>
  <c r="E119" i="10"/>
  <c r="F119" i="10"/>
  <c r="E118" i="10"/>
  <c r="F118" i="10"/>
  <c r="E117" i="10"/>
  <c r="F117" i="10"/>
  <c r="E116" i="10"/>
  <c r="F116" i="10"/>
  <c r="E115" i="10"/>
  <c r="F115" i="10"/>
  <c r="F114" i="10"/>
  <c r="E114" i="10"/>
  <c r="E113" i="10"/>
  <c r="F113" i="10"/>
  <c r="E112" i="10"/>
  <c r="F112" i="10"/>
  <c r="E111" i="10"/>
  <c r="F111" i="10"/>
  <c r="E110" i="10"/>
  <c r="F110" i="10"/>
  <c r="F109" i="10"/>
  <c r="E109" i="10"/>
  <c r="F108" i="10"/>
  <c r="E108" i="10"/>
  <c r="F107" i="10"/>
  <c r="E107" i="10"/>
  <c r="F106" i="10"/>
  <c r="E106" i="10"/>
  <c r="F105" i="10"/>
  <c r="E105" i="10"/>
  <c r="F104" i="10"/>
  <c r="E104" i="10"/>
  <c r="F103" i="10"/>
  <c r="E103" i="10"/>
  <c r="F102" i="10"/>
  <c r="E102" i="10"/>
  <c r="F101" i="10"/>
  <c r="E101" i="10"/>
  <c r="F100" i="10"/>
  <c r="E100" i="10"/>
  <c r="F99" i="10"/>
  <c r="E99" i="10"/>
  <c r="F98" i="10"/>
  <c r="E98" i="10"/>
  <c r="E97" i="10"/>
  <c r="F97" i="10"/>
  <c r="F96" i="10"/>
  <c r="E96" i="10"/>
  <c r="E95" i="10"/>
  <c r="F95" i="10"/>
  <c r="E94" i="10"/>
  <c r="F94" i="10"/>
  <c r="E93" i="10"/>
  <c r="F93" i="10"/>
  <c r="F92" i="10"/>
  <c r="E92" i="10"/>
  <c r="E91" i="10"/>
  <c r="F91" i="10"/>
  <c r="E90" i="10"/>
  <c r="F90" i="10"/>
  <c r="E89" i="10"/>
  <c r="F89" i="10"/>
  <c r="E88" i="10"/>
  <c r="F88" i="10"/>
  <c r="E87" i="10"/>
  <c r="F87" i="10"/>
  <c r="F86" i="10"/>
  <c r="E86" i="10"/>
  <c r="F85" i="10"/>
  <c r="E85" i="10"/>
  <c r="F84" i="10"/>
  <c r="E84" i="10"/>
  <c r="F83" i="10"/>
  <c r="E83" i="10"/>
  <c r="F82" i="10"/>
  <c r="E82" i="10"/>
  <c r="E81" i="10"/>
  <c r="F81" i="10"/>
  <c r="F80" i="10"/>
  <c r="E80" i="10"/>
  <c r="F79" i="10"/>
  <c r="E79" i="10"/>
  <c r="F78" i="10"/>
  <c r="E78" i="10"/>
  <c r="E77" i="10"/>
  <c r="F77" i="10"/>
  <c r="E76" i="10"/>
  <c r="F76" i="10"/>
  <c r="F75" i="10"/>
  <c r="E75" i="10"/>
  <c r="F74" i="10"/>
  <c r="E74" i="10"/>
  <c r="F73" i="10"/>
  <c r="E73" i="10"/>
  <c r="F72" i="10"/>
  <c r="E72" i="10"/>
  <c r="F71" i="10"/>
  <c r="E71" i="10"/>
  <c r="F70" i="10"/>
  <c r="E70" i="10"/>
  <c r="F69" i="10"/>
  <c r="E69" i="10"/>
  <c r="F68" i="10"/>
  <c r="E68" i="10"/>
  <c r="F67" i="10"/>
  <c r="E67" i="10"/>
  <c r="F66" i="10"/>
  <c r="E66" i="10"/>
  <c r="F65" i="10"/>
  <c r="E65" i="10"/>
  <c r="F64" i="10"/>
  <c r="E64" i="10"/>
  <c r="F63" i="10"/>
  <c r="E63" i="10"/>
  <c r="F62" i="10"/>
  <c r="E62" i="10"/>
  <c r="F61" i="10"/>
  <c r="E61" i="10"/>
  <c r="F60" i="10"/>
  <c r="E60" i="10"/>
  <c r="F59" i="10"/>
  <c r="E59" i="10"/>
  <c r="F58" i="10"/>
  <c r="E58" i="10"/>
  <c r="F57" i="10"/>
  <c r="E57" i="10"/>
  <c r="F56" i="10"/>
  <c r="E56" i="10"/>
  <c r="F55" i="10"/>
  <c r="E55" i="10"/>
  <c r="F54" i="10"/>
  <c r="E54" i="10"/>
  <c r="F53" i="10"/>
  <c r="E53" i="10"/>
  <c r="E52" i="10"/>
  <c r="F52" i="10"/>
  <c r="F51" i="10"/>
  <c r="E51" i="10"/>
  <c r="F50" i="10"/>
  <c r="E50" i="10"/>
  <c r="F49" i="10"/>
  <c r="E49" i="10"/>
  <c r="E48" i="10"/>
  <c r="F48" i="10"/>
  <c r="E47" i="10"/>
  <c r="F47" i="10"/>
  <c r="E46" i="10"/>
  <c r="F46" i="10"/>
  <c r="E45" i="10"/>
  <c r="F45" i="10"/>
  <c r="E44" i="10"/>
  <c r="F44" i="10"/>
  <c r="F43" i="10"/>
  <c r="E43" i="10"/>
  <c r="F42" i="10"/>
  <c r="E42" i="10"/>
  <c r="E41" i="10"/>
  <c r="F41" i="10"/>
  <c r="E40" i="10"/>
  <c r="F40" i="10"/>
  <c r="E39" i="10"/>
  <c r="F39" i="10"/>
  <c r="E38" i="10"/>
  <c r="F38" i="10"/>
  <c r="E37" i="10"/>
  <c r="F37" i="10"/>
  <c r="E36" i="10"/>
  <c r="F36" i="10"/>
  <c r="E35" i="10"/>
  <c r="F35" i="10"/>
  <c r="E34" i="10"/>
  <c r="F34" i="10"/>
  <c r="E33" i="10"/>
  <c r="F33" i="10"/>
  <c r="E31" i="10"/>
  <c r="F31" i="10"/>
  <c r="E30" i="10"/>
  <c r="F30" i="10"/>
  <c r="F29" i="10"/>
  <c r="E29" i="10"/>
  <c r="F28" i="10"/>
  <c r="E28" i="10"/>
  <c r="F27" i="10"/>
  <c r="E27" i="10"/>
  <c r="E26" i="10"/>
  <c r="F26" i="10"/>
  <c r="F25" i="10"/>
  <c r="E25" i="10"/>
  <c r="E24" i="10"/>
  <c r="F24" i="10"/>
  <c r="F23" i="10"/>
  <c r="E23" i="10"/>
  <c r="F22" i="10"/>
  <c r="E22" i="10"/>
  <c r="E21" i="10"/>
  <c r="F21" i="10"/>
  <c r="F20" i="10"/>
  <c r="E20" i="10"/>
  <c r="E19" i="10"/>
  <c r="F19" i="10"/>
  <c r="F18" i="10"/>
  <c r="E18" i="10"/>
  <c r="F17" i="10"/>
  <c r="E17" i="10"/>
  <c r="F16" i="10"/>
  <c r="E16" i="10"/>
  <c r="F15" i="10"/>
  <c r="E15" i="10"/>
  <c r="F14" i="10"/>
  <c r="E14" i="10"/>
  <c r="F13" i="10"/>
  <c r="E13" i="10"/>
  <c r="E12" i="10"/>
  <c r="F12" i="10"/>
  <c r="F11" i="10"/>
  <c r="E11" i="10"/>
  <c r="F10" i="10"/>
  <c r="E10" i="10"/>
  <c r="F9" i="10"/>
  <c r="E9" i="10"/>
  <c r="F8" i="10"/>
  <c r="E8" i="10"/>
  <c r="F7" i="10"/>
  <c r="E7" i="10"/>
  <c r="F6" i="10"/>
  <c r="E6" i="10"/>
  <c r="F5" i="10"/>
  <c r="E5" i="10"/>
  <c r="F4" i="10"/>
  <c r="F3" i="10"/>
  <c r="F2" i="10"/>
  <c r="C501" i="9"/>
  <c r="D501" i="9" s="1"/>
  <c r="C500" i="9"/>
  <c r="D500" i="9" s="1"/>
  <c r="C499" i="9"/>
  <c r="D499" i="9" s="1"/>
  <c r="C498" i="9"/>
  <c r="D498" i="9" s="1"/>
  <c r="C497" i="9"/>
  <c r="D497" i="9" s="1"/>
  <c r="C496" i="9"/>
  <c r="D496" i="9" s="1"/>
  <c r="C495" i="9"/>
  <c r="D495" i="9" s="1"/>
  <c r="C494" i="9"/>
  <c r="D494" i="9" s="1"/>
  <c r="C493" i="9"/>
  <c r="D493" i="9" s="1"/>
  <c r="C492" i="9"/>
  <c r="D492" i="9" s="1"/>
  <c r="C491" i="9"/>
  <c r="D491" i="9" s="1"/>
  <c r="C490" i="9"/>
  <c r="D490" i="9" s="1"/>
  <c r="C489" i="9"/>
  <c r="D489" i="9" s="1"/>
  <c r="C488" i="9"/>
  <c r="D488" i="9" s="1"/>
  <c r="C487" i="9"/>
  <c r="D487" i="9" s="1"/>
  <c r="C486" i="9"/>
  <c r="D486" i="9" s="1"/>
  <c r="C485" i="9"/>
  <c r="D485" i="9" s="1"/>
  <c r="C484" i="9"/>
  <c r="D484" i="9" s="1"/>
  <c r="C483" i="9"/>
  <c r="D483" i="9" s="1"/>
  <c r="C482" i="9"/>
  <c r="D482" i="9" s="1"/>
  <c r="C481" i="9"/>
  <c r="D481" i="9" s="1"/>
  <c r="C480" i="9"/>
  <c r="D480" i="9" s="1"/>
  <c r="C479" i="9"/>
  <c r="D479" i="9" s="1"/>
  <c r="C478" i="9"/>
  <c r="D478" i="9" s="1"/>
  <c r="C477" i="9"/>
  <c r="D477" i="9" s="1"/>
  <c r="C476" i="9"/>
  <c r="D476" i="9" s="1"/>
  <c r="C475" i="9"/>
  <c r="D475" i="9" s="1"/>
  <c r="C474" i="9"/>
  <c r="D474" i="9" s="1"/>
  <c r="C473" i="9"/>
  <c r="D473" i="9" s="1"/>
  <c r="C472" i="9"/>
  <c r="D472" i="9" s="1"/>
  <c r="C471" i="9"/>
  <c r="D471" i="9" s="1"/>
  <c r="C470" i="9"/>
  <c r="D470" i="9" s="1"/>
  <c r="C469" i="9"/>
  <c r="D469" i="9" s="1"/>
  <c r="C468" i="9"/>
  <c r="D468" i="9" s="1"/>
  <c r="C467" i="9"/>
  <c r="D467" i="9" s="1"/>
  <c r="C466" i="9"/>
  <c r="D466" i="9" s="1"/>
  <c r="C465" i="9"/>
  <c r="D465" i="9" s="1"/>
  <c r="C464" i="9"/>
  <c r="D464" i="9" s="1"/>
  <c r="C463" i="9"/>
  <c r="D463" i="9" s="1"/>
  <c r="C462" i="9"/>
  <c r="D462" i="9" s="1"/>
  <c r="C461" i="9"/>
  <c r="D461" i="9" s="1"/>
  <c r="C460" i="9"/>
  <c r="D460" i="9" s="1"/>
  <c r="C459" i="9"/>
  <c r="D459" i="9" s="1"/>
  <c r="C458" i="9"/>
  <c r="D458" i="9" s="1"/>
  <c r="C457" i="9"/>
  <c r="D457" i="9" s="1"/>
  <c r="C456" i="9"/>
  <c r="D456" i="9" s="1"/>
  <c r="C455" i="9"/>
  <c r="D455" i="9" s="1"/>
  <c r="C454" i="9"/>
  <c r="D454" i="9" s="1"/>
  <c r="C453" i="9"/>
  <c r="D453" i="9" s="1"/>
  <c r="C452" i="9"/>
  <c r="D452" i="9" s="1"/>
  <c r="C451" i="9"/>
  <c r="D451" i="9" s="1"/>
  <c r="C450" i="9"/>
  <c r="D450" i="9" s="1"/>
  <c r="C449" i="9"/>
  <c r="D449" i="9" s="1"/>
  <c r="C448" i="9"/>
  <c r="D448" i="9" s="1"/>
  <c r="C447" i="9"/>
  <c r="D447" i="9" s="1"/>
  <c r="C446" i="9"/>
  <c r="D446" i="9" s="1"/>
  <c r="C445" i="9"/>
  <c r="D445" i="9" s="1"/>
  <c r="C444" i="9"/>
  <c r="D444" i="9" s="1"/>
  <c r="C443" i="9"/>
  <c r="D443" i="9" s="1"/>
  <c r="C442" i="9"/>
  <c r="D442" i="9" s="1"/>
  <c r="C441" i="9"/>
  <c r="D441" i="9" s="1"/>
  <c r="C440" i="9"/>
  <c r="D440" i="9" s="1"/>
  <c r="C439" i="9"/>
  <c r="D439" i="9" s="1"/>
  <c r="C438" i="9"/>
  <c r="D438" i="9" s="1"/>
  <c r="C437" i="9"/>
  <c r="D437" i="9" s="1"/>
  <c r="C436" i="9"/>
  <c r="D436" i="9" s="1"/>
  <c r="C435" i="9"/>
  <c r="D435" i="9" s="1"/>
  <c r="C434" i="9"/>
  <c r="D434" i="9" s="1"/>
  <c r="C433" i="9"/>
  <c r="D433" i="9" s="1"/>
  <c r="C432" i="9"/>
  <c r="D432" i="9" s="1"/>
  <c r="C431" i="9"/>
  <c r="D431" i="9" s="1"/>
  <c r="C430" i="9"/>
  <c r="D430" i="9" s="1"/>
  <c r="C429" i="9"/>
  <c r="D429" i="9" s="1"/>
  <c r="C428" i="9"/>
  <c r="D428" i="9" s="1"/>
  <c r="C427" i="9"/>
  <c r="D427" i="9" s="1"/>
  <c r="C426" i="9"/>
  <c r="D426" i="9" s="1"/>
  <c r="C425" i="9"/>
  <c r="D425" i="9" s="1"/>
  <c r="C424" i="9"/>
  <c r="D424" i="9" s="1"/>
  <c r="C423" i="9"/>
  <c r="D423" i="9" s="1"/>
  <c r="C422" i="9"/>
  <c r="D422" i="9" s="1"/>
  <c r="C421" i="9"/>
  <c r="D421" i="9" s="1"/>
  <c r="C420" i="9"/>
  <c r="D420" i="9" s="1"/>
  <c r="C419" i="9"/>
  <c r="D419" i="9" s="1"/>
  <c r="C418" i="9"/>
  <c r="D418" i="9" s="1"/>
  <c r="C417" i="9"/>
  <c r="D417" i="9" s="1"/>
  <c r="C416" i="9"/>
  <c r="D416" i="9" s="1"/>
  <c r="C415" i="9"/>
  <c r="D415" i="9" s="1"/>
  <c r="C414" i="9"/>
  <c r="D414" i="9" s="1"/>
  <c r="C413" i="9"/>
  <c r="D413" i="9" s="1"/>
  <c r="C412" i="9"/>
  <c r="D412" i="9" s="1"/>
  <c r="C411" i="9"/>
  <c r="D411" i="9" s="1"/>
  <c r="C410" i="9"/>
  <c r="D410" i="9" s="1"/>
  <c r="C409" i="9"/>
  <c r="D409" i="9" s="1"/>
  <c r="C408" i="9"/>
  <c r="D408" i="9" s="1"/>
  <c r="C407" i="9"/>
  <c r="D407" i="9" s="1"/>
  <c r="C406" i="9"/>
  <c r="D406" i="9" s="1"/>
  <c r="C405" i="9"/>
  <c r="D405" i="9" s="1"/>
  <c r="C404" i="9"/>
  <c r="D404" i="9" s="1"/>
  <c r="C403" i="9"/>
  <c r="D403" i="9" s="1"/>
  <c r="C402" i="9"/>
  <c r="D402" i="9" s="1"/>
  <c r="C401" i="9"/>
  <c r="D401" i="9" s="1"/>
  <c r="C400" i="9"/>
  <c r="D400" i="9" s="1"/>
  <c r="C399" i="9"/>
  <c r="D399" i="9" s="1"/>
  <c r="C398" i="9"/>
  <c r="D398" i="9" s="1"/>
  <c r="C397" i="9"/>
  <c r="D397" i="9" s="1"/>
  <c r="C396" i="9"/>
  <c r="D396" i="9" s="1"/>
  <c r="C395" i="9"/>
  <c r="D395" i="9" s="1"/>
  <c r="C394" i="9"/>
  <c r="D394" i="9" s="1"/>
  <c r="C393" i="9"/>
  <c r="D393" i="9" s="1"/>
  <c r="C392" i="9"/>
  <c r="D392" i="9" s="1"/>
  <c r="C391" i="9"/>
  <c r="D391" i="9" s="1"/>
  <c r="C390" i="9"/>
  <c r="D390" i="9" s="1"/>
  <c r="C389" i="9"/>
  <c r="D389" i="9" s="1"/>
  <c r="C388" i="9"/>
  <c r="D388" i="9" s="1"/>
  <c r="C387" i="9"/>
  <c r="D387" i="9" s="1"/>
  <c r="C386" i="9"/>
  <c r="D386" i="9" s="1"/>
  <c r="C385" i="9"/>
  <c r="D385" i="9" s="1"/>
  <c r="C384" i="9"/>
  <c r="D384" i="9" s="1"/>
  <c r="C383" i="9"/>
  <c r="D383" i="9" s="1"/>
  <c r="C382" i="9"/>
  <c r="D382" i="9" s="1"/>
  <c r="C381" i="9"/>
  <c r="D381" i="9" s="1"/>
  <c r="C380" i="9"/>
  <c r="D380" i="9" s="1"/>
  <c r="C379" i="9"/>
  <c r="D379" i="9" s="1"/>
  <c r="C378" i="9"/>
  <c r="D378" i="9" s="1"/>
  <c r="C377" i="9"/>
  <c r="D377" i="9" s="1"/>
  <c r="C376" i="9"/>
  <c r="D376" i="9" s="1"/>
  <c r="C375" i="9"/>
  <c r="D375" i="9" s="1"/>
  <c r="C374" i="9"/>
  <c r="D374" i="9" s="1"/>
  <c r="C373" i="9"/>
  <c r="D373" i="9" s="1"/>
  <c r="C372" i="9"/>
  <c r="D372" i="9" s="1"/>
  <c r="C371" i="9"/>
  <c r="D371" i="9" s="1"/>
  <c r="C370" i="9"/>
  <c r="D370" i="9" s="1"/>
  <c r="C369" i="9"/>
  <c r="D369" i="9" s="1"/>
  <c r="C368" i="9"/>
  <c r="D368" i="9" s="1"/>
  <c r="C367" i="9"/>
  <c r="D367" i="9" s="1"/>
  <c r="C366" i="9"/>
  <c r="D366" i="9" s="1"/>
  <c r="C365" i="9"/>
  <c r="D365" i="9" s="1"/>
  <c r="C364" i="9"/>
  <c r="D364" i="9" s="1"/>
  <c r="C363" i="9"/>
  <c r="D363" i="9" s="1"/>
  <c r="C362" i="9"/>
  <c r="D362" i="9" s="1"/>
  <c r="C361" i="9"/>
  <c r="D361" i="9" s="1"/>
  <c r="C360" i="9"/>
  <c r="D360" i="9" s="1"/>
  <c r="C359" i="9"/>
  <c r="D359" i="9" s="1"/>
  <c r="C358" i="9"/>
  <c r="D358" i="9" s="1"/>
  <c r="C357" i="9"/>
  <c r="D357" i="9" s="1"/>
  <c r="C356" i="9"/>
  <c r="D356" i="9" s="1"/>
  <c r="C355" i="9"/>
  <c r="D355" i="9" s="1"/>
  <c r="C354" i="9"/>
  <c r="D354" i="9" s="1"/>
  <c r="C353" i="9"/>
  <c r="D353" i="9" s="1"/>
  <c r="C352" i="9"/>
  <c r="D352" i="9" s="1"/>
  <c r="C351" i="9"/>
  <c r="D351" i="9" s="1"/>
  <c r="C350" i="9"/>
  <c r="D350" i="9" s="1"/>
  <c r="C349" i="9"/>
  <c r="D349" i="9" s="1"/>
  <c r="C348" i="9"/>
  <c r="D348" i="9" s="1"/>
  <c r="C347" i="9"/>
  <c r="D347" i="9" s="1"/>
  <c r="C346" i="9"/>
  <c r="D346" i="9" s="1"/>
  <c r="C345" i="9"/>
  <c r="D345" i="9" s="1"/>
  <c r="C344" i="9"/>
  <c r="D344" i="9" s="1"/>
  <c r="C343" i="9"/>
  <c r="D343" i="9" s="1"/>
  <c r="C342" i="9"/>
  <c r="D342" i="9" s="1"/>
  <c r="C341" i="9"/>
  <c r="D341" i="9" s="1"/>
  <c r="C340" i="9"/>
  <c r="D340" i="9" s="1"/>
  <c r="C339" i="9"/>
  <c r="D339" i="9" s="1"/>
  <c r="C338" i="9"/>
  <c r="D338" i="9" s="1"/>
  <c r="C337" i="9"/>
  <c r="D337" i="9" s="1"/>
  <c r="C336" i="9"/>
  <c r="D336" i="9" s="1"/>
  <c r="C335" i="9"/>
  <c r="D335" i="9" s="1"/>
  <c r="C334" i="9"/>
  <c r="D334" i="9" s="1"/>
  <c r="C333" i="9"/>
  <c r="D333" i="9" s="1"/>
  <c r="C332" i="9"/>
  <c r="D332" i="9" s="1"/>
  <c r="C331" i="9"/>
  <c r="D331" i="9" s="1"/>
  <c r="C330" i="9"/>
  <c r="D330" i="9" s="1"/>
  <c r="C329" i="9"/>
  <c r="D329" i="9" s="1"/>
  <c r="C328" i="9"/>
  <c r="D328" i="9" s="1"/>
  <c r="C327" i="9"/>
  <c r="D327" i="9" s="1"/>
  <c r="C326" i="9"/>
  <c r="D326" i="9" s="1"/>
  <c r="C325" i="9"/>
  <c r="D325" i="9" s="1"/>
  <c r="C324" i="9"/>
  <c r="D324" i="9" s="1"/>
  <c r="C323" i="9"/>
  <c r="D323" i="9" s="1"/>
  <c r="C322" i="9"/>
  <c r="D322" i="9" s="1"/>
  <c r="C321" i="9"/>
  <c r="D321" i="9" s="1"/>
  <c r="C320" i="9"/>
  <c r="D320" i="9" s="1"/>
  <c r="C319" i="9"/>
  <c r="D319" i="9" s="1"/>
  <c r="C318" i="9"/>
  <c r="D318" i="9" s="1"/>
  <c r="C317" i="9"/>
  <c r="D317" i="9" s="1"/>
  <c r="C316" i="9"/>
  <c r="D316" i="9" s="1"/>
  <c r="C315" i="9"/>
  <c r="D315" i="9" s="1"/>
  <c r="C314" i="9"/>
  <c r="D314" i="9" s="1"/>
  <c r="C312" i="9"/>
  <c r="D312" i="9" s="1"/>
  <c r="C311" i="9"/>
  <c r="D311" i="9" s="1"/>
  <c r="C310" i="9"/>
  <c r="D310" i="9" s="1"/>
  <c r="C309" i="9"/>
  <c r="D309" i="9" s="1"/>
  <c r="C308" i="9"/>
  <c r="D308" i="9" s="1"/>
  <c r="C307" i="9"/>
  <c r="D307" i="9" s="1"/>
  <c r="C306" i="9"/>
  <c r="D306" i="9" s="1"/>
  <c r="C305" i="9"/>
  <c r="D305" i="9" s="1"/>
  <c r="C304" i="9"/>
  <c r="D304" i="9" s="1"/>
  <c r="C303" i="9"/>
  <c r="D303" i="9" s="1"/>
  <c r="C302" i="9"/>
  <c r="D302" i="9" s="1"/>
  <c r="C301" i="9"/>
  <c r="D301" i="9" s="1"/>
  <c r="C300" i="9"/>
  <c r="D300" i="9" s="1"/>
  <c r="C299" i="9"/>
  <c r="D299" i="9" s="1"/>
  <c r="C298" i="9"/>
  <c r="D298" i="9" s="1"/>
  <c r="C297" i="9"/>
  <c r="D297" i="9" s="1"/>
  <c r="C296" i="9"/>
  <c r="D296" i="9" s="1"/>
  <c r="C295" i="9"/>
  <c r="D295" i="9" s="1"/>
  <c r="C294" i="9"/>
  <c r="D294" i="9" s="1"/>
  <c r="C293" i="9"/>
  <c r="D293" i="9" s="1"/>
  <c r="C292" i="9"/>
  <c r="D292" i="9" s="1"/>
  <c r="C291" i="9"/>
  <c r="D291" i="9" s="1"/>
  <c r="C290" i="9"/>
  <c r="D290" i="9" s="1"/>
  <c r="C289" i="9"/>
  <c r="D289" i="9" s="1"/>
  <c r="C288" i="9"/>
  <c r="D288" i="9" s="1"/>
  <c r="C287" i="9"/>
  <c r="D287" i="9" s="1"/>
  <c r="C286" i="9"/>
  <c r="D286" i="9" s="1"/>
  <c r="C285" i="9"/>
  <c r="D285" i="9" s="1"/>
  <c r="C284" i="9"/>
  <c r="D284" i="9" s="1"/>
  <c r="C283" i="9"/>
  <c r="D283" i="9" s="1"/>
  <c r="C282" i="9"/>
  <c r="D282" i="9" s="1"/>
  <c r="C281" i="9"/>
  <c r="D281" i="9" s="1"/>
  <c r="C280" i="9"/>
  <c r="D280" i="9" s="1"/>
  <c r="C279" i="9"/>
  <c r="D279" i="9" s="1"/>
  <c r="C278" i="9"/>
  <c r="D278" i="9" s="1"/>
  <c r="C277" i="9"/>
  <c r="D277" i="9" s="1"/>
  <c r="C276" i="9"/>
  <c r="D276" i="9" s="1"/>
  <c r="C275" i="9"/>
  <c r="D275" i="9" s="1"/>
  <c r="C274" i="9"/>
  <c r="D274" i="9" s="1"/>
  <c r="C273" i="9"/>
  <c r="D273" i="9" s="1"/>
  <c r="C272" i="9"/>
  <c r="D272" i="9" s="1"/>
  <c r="C271" i="9"/>
  <c r="D271" i="9" s="1"/>
  <c r="C270" i="9"/>
  <c r="D270" i="9" s="1"/>
  <c r="C269" i="9"/>
  <c r="D269" i="9" s="1"/>
  <c r="C268" i="9"/>
  <c r="D268" i="9" s="1"/>
  <c r="C267" i="9"/>
  <c r="D267" i="9" s="1"/>
  <c r="C266" i="9"/>
  <c r="D266" i="9" s="1"/>
  <c r="C265" i="9"/>
  <c r="D265" i="9" s="1"/>
  <c r="C264" i="9"/>
  <c r="D264" i="9" s="1"/>
  <c r="C263" i="9"/>
  <c r="D263" i="9" s="1"/>
  <c r="C262" i="9"/>
  <c r="D262" i="9" s="1"/>
  <c r="C261" i="9"/>
  <c r="D261" i="9" s="1"/>
  <c r="C260" i="9"/>
  <c r="D260" i="9" s="1"/>
  <c r="C259" i="9"/>
  <c r="D259" i="9" s="1"/>
  <c r="C258" i="9"/>
  <c r="D258" i="9" s="1"/>
  <c r="C257" i="9"/>
  <c r="D257" i="9" s="1"/>
  <c r="C256" i="9"/>
  <c r="D256" i="9" s="1"/>
  <c r="C255" i="9"/>
  <c r="D255" i="9" s="1"/>
  <c r="C254" i="9"/>
  <c r="D254" i="9" s="1"/>
  <c r="C253" i="9"/>
  <c r="D253" i="9" s="1"/>
  <c r="C252" i="9"/>
  <c r="D252" i="9" s="1"/>
  <c r="C251" i="9"/>
  <c r="D251" i="9" s="1"/>
  <c r="C250" i="9"/>
  <c r="D250" i="9" s="1"/>
  <c r="C249" i="9"/>
  <c r="D249" i="9" s="1"/>
  <c r="C248" i="9"/>
  <c r="D248" i="9" s="1"/>
  <c r="C247" i="9"/>
  <c r="D247" i="9" s="1"/>
  <c r="C246" i="9"/>
  <c r="D246" i="9" s="1"/>
  <c r="C245" i="9"/>
  <c r="D245" i="9" s="1"/>
  <c r="C244" i="9"/>
  <c r="D244" i="9" s="1"/>
  <c r="C243" i="9"/>
  <c r="D243" i="9" s="1"/>
  <c r="C242" i="9"/>
  <c r="D242" i="9" s="1"/>
  <c r="C241" i="9"/>
  <c r="D241" i="9" s="1"/>
  <c r="C240" i="9"/>
  <c r="D240" i="9" s="1"/>
  <c r="C239" i="9"/>
  <c r="D239" i="9" s="1"/>
  <c r="C238" i="9"/>
  <c r="D238" i="9" s="1"/>
  <c r="C237" i="9"/>
  <c r="D237" i="9" s="1"/>
  <c r="C236" i="9"/>
  <c r="D236" i="9" s="1"/>
  <c r="C235" i="9"/>
  <c r="D235" i="9" s="1"/>
  <c r="C234" i="9"/>
  <c r="D234" i="9" s="1"/>
  <c r="C233" i="9"/>
  <c r="D233" i="9" s="1"/>
  <c r="C232" i="9"/>
  <c r="D232" i="9" s="1"/>
  <c r="C231" i="9"/>
  <c r="D231" i="9" s="1"/>
  <c r="C230" i="9"/>
  <c r="D230" i="9" s="1"/>
  <c r="C229" i="9"/>
  <c r="D229" i="9" s="1"/>
  <c r="C228" i="9"/>
  <c r="D228" i="9" s="1"/>
  <c r="C227" i="9"/>
  <c r="D227" i="9" s="1"/>
  <c r="C226" i="9"/>
  <c r="D226" i="9" s="1"/>
  <c r="C225" i="9"/>
  <c r="D225" i="9" s="1"/>
  <c r="C224" i="9"/>
  <c r="D224" i="9" s="1"/>
  <c r="C223" i="9"/>
  <c r="D223" i="9" s="1"/>
  <c r="C222" i="9"/>
  <c r="D222" i="9" s="1"/>
  <c r="C221" i="9"/>
  <c r="D221" i="9" s="1"/>
  <c r="C220" i="9"/>
  <c r="D220" i="9" s="1"/>
  <c r="C219" i="9"/>
  <c r="D219" i="9" s="1"/>
  <c r="C218" i="9"/>
  <c r="D218" i="9" s="1"/>
  <c r="C217" i="9"/>
  <c r="D217" i="9" s="1"/>
  <c r="C216" i="9"/>
  <c r="D216" i="9" s="1"/>
  <c r="C215" i="9"/>
  <c r="D215" i="9" s="1"/>
  <c r="C214" i="9"/>
  <c r="D214" i="9" s="1"/>
  <c r="C213" i="9"/>
  <c r="D213" i="9" s="1"/>
  <c r="C212" i="9"/>
  <c r="D212" i="9" s="1"/>
  <c r="C211" i="9"/>
  <c r="D211" i="9" s="1"/>
  <c r="C210" i="9"/>
  <c r="D210" i="9" s="1"/>
  <c r="C209" i="9"/>
  <c r="D209" i="9" s="1"/>
  <c r="C208" i="9"/>
  <c r="D208" i="9" s="1"/>
  <c r="C207" i="9"/>
  <c r="D207" i="9" s="1"/>
  <c r="C206" i="9"/>
  <c r="D206" i="9" s="1"/>
  <c r="C205" i="9"/>
  <c r="D205" i="9" s="1"/>
  <c r="C204" i="9"/>
  <c r="D204" i="9" s="1"/>
  <c r="C203" i="9"/>
  <c r="D203" i="9" s="1"/>
  <c r="C202" i="9"/>
  <c r="D202" i="9" s="1"/>
  <c r="C201" i="9"/>
  <c r="D201" i="9" s="1"/>
  <c r="C200" i="9"/>
  <c r="D200" i="9" s="1"/>
  <c r="C199" i="9"/>
  <c r="D199" i="9" s="1"/>
  <c r="C198" i="9"/>
  <c r="D198" i="9" s="1"/>
  <c r="C197" i="9"/>
  <c r="D197" i="9" s="1"/>
  <c r="C196" i="9"/>
  <c r="D196" i="9" s="1"/>
  <c r="C195" i="9"/>
  <c r="D195" i="9" s="1"/>
  <c r="C194" i="9"/>
  <c r="D194" i="9" s="1"/>
  <c r="C193" i="9"/>
  <c r="D193" i="9" s="1"/>
  <c r="C192" i="9"/>
  <c r="D192" i="9" s="1"/>
  <c r="C191" i="9"/>
  <c r="D191" i="9" s="1"/>
  <c r="C190" i="9"/>
  <c r="D190" i="9" s="1"/>
  <c r="C189" i="9"/>
  <c r="D189" i="9" s="1"/>
  <c r="C188" i="9"/>
  <c r="D188" i="9" s="1"/>
  <c r="C187" i="9"/>
  <c r="D187" i="9" s="1"/>
  <c r="C186" i="9"/>
  <c r="D186" i="9" s="1"/>
  <c r="C185" i="9"/>
  <c r="D185" i="9" s="1"/>
  <c r="C184" i="9"/>
  <c r="D184" i="9" s="1"/>
  <c r="C183" i="9"/>
  <c r="D183" i="9" s="1"/>
  <c r="C182" i="9"/>
  <c r="D182" i="9" s="1"/>
  <c r="C181" i="9"/>
  <c r="D181" i="9" s="1"/>
  <c r="C180" i="9"/>
  <c r="D180" i="9" s="1"/>
  <c r="C179" i="9"/>
  <c r="D179" i="9" s="1"/>
  <c r="C178" i="9"/>
  <c r="D178" i="9" s="1"/>
  <c r="C177" i="9"/>
  <c r="D177" i="9" s="1"/>
  <c r="C176" i="9"/>
  <c r="D176" i="9" s="1"/>
  <c r="C175" i="9"/>
  <c r="D175" i="9" s="1"/>
  <c r="C174" i="9"/>
  <c r="D174" i="9" s="1"/>
  <c r="C173" i="9"/>
  <c r="D173" i="9" s="1"/>
  <c r="C172" i="9"/>
  <c r="D172" i="9" s="1"/>
  <c r="C171" i="9"/>
  <c r="D171" i="9" s="1"/>
  <c r="C170" i="9"/>
  <c r="D170" i="9" s="1"/>
  <c r="C169" i="9"/>
  <c r="D169" i="9" s="1"/>
  <c r="C168" i="9"/>
  <c r="D168" i="9" s="1"/>
  <c r="C167" i="9"/>
  <c r="D167" i="9" s="1"/>
  <c r="C166" i="9"/>
  <c r="D166" i="9" s="1"/>
  <c r="C165" i="9"/>
  <c r="D165" i="9" s="1"/>
  <c r="C164" i="9"/>
  <c r="D164" i="9" s="1"/>
  <c r="C163" i="9"/>
  <c r="D163" i="9" s="1"/>
  <c r="C162" i="9"/>
  <c r="D162" i="9" s="1"/>
  <c r="C161" i="9"/>
  <c r="D161" i="9" s="1"/>
  <c r="C160" i="9"/>
  <c r="D160" i="9" s="1"/>
  <c r="C159" i="9"/>
  <c r="D159" i="9" s="1"/>
  <c r="C158" i="9"/>
  <c r="D158" i="9" s="1"/>
  <c r="C157" i="9"/>
  <c r="D157" i="9" s="1"/>
  <c r="C156" i="9"/>
  <c r="D156" i="9" s="1"/>
  <c r="C155" i="9"/>
  <c r="D155" i="9" s="1"/>
  <c r="C154" i="9"/>
  <c r="D154" i="9" s="1"/>
  <c r="C153" i="9"/>
  <c r="D153" i="9" s="1"/>
  <c r="C152" i="9"/>
  <c r="D152" i="9" s="1"/>
  <c r="C151" i="9"/>
  <c r="D151" i="9" s="1"/>
  <c r="C150" i="9"/>
  <c r="D150" i="9" s="1"/>
  <c r="C149" i="9"/>
  <c r="D149" i="9" s="1"/>
  <c r="C148" i="9"/>
  <c r="D148" i="9" s="1"/>
  <c r="C147" i="9"/>
  <c r="D147" i="9" s="1"/>
  <c r="C146" i="9"/>
  <c r="D146" i="9" s="1"/>
  <c r="C145" i="9"/>
  <c r="D145" i="9" s="1"/>
  <c r="C144" i="9"/>
  <c r="D144" i="9" s="1"/>
  <c r="C143" i="9"/>
  <c r="D143" i="9" s="1"/>
  <c r="C142" i="9"/>
  <c r="D142" i="9" s="1"/>
  <c r="C141" i="9"/>
  <c r="D141" i="9" s="1"/>
  <c r="C140" i="9"/>
  <c r="D140" i="9" s="1"/>
  <c r="C139" i="9"/>
  <c r="D139" i="9" s="1"/>
  <c r="C138" i="9"/>
  <c r="D138" i="9" s="1"/>
  <c r="C137" i="9"/>
  <c r="D137" i="9" s="1"/>
  <c r="C136" i="9"/>
  <c r="D136" i="9" s="1"/>
  <c r="C135" i="9"/>
  <c r="D135" i="9" s="1"/>
  <c r="C134" i="9"/>
  <c r="D134" i="9" s="1"/>
  <c r="C133" i="9"/>
  <c r="D133" i="9" s="1"/>
  <c r="C132" i="9"/>
  <c r="D132" i="9" s="1"/>
  <c r="C131" i="9"/>
  <c r="D131" i="9" s="1"/>
  <c r="C130" i="9"/>
  <c r="D130" i="9" s="1"/>
  <c r="C129" i="9"/>
  <c r="D129" i="9" s="1"/>
  <c r="C128" i="9"/>
  <c r="D128" i="9" s="1"/>
  <c r="C127" i="9"/>
  <c r="D127" i="9" s="1"/>
  <c r="C126" i="9"/>
  <c r="D126" i="9" s="1"/>
  <c r="C125" i="9"/>
  <c r="D125" i="9" s="1"/>
  <c r="C124" i="9"/>
  <c r="D124" i="9" s="1"/>
  <c r="C123" i="9"/>
  <c r="D123" i="9" s="1"/>
  <c r="C122" i="9"/>
  <c r="D122" i="9" s="1"/>
  <c r="C121" i="9"/>
  <c r="D121" i="9" s="1"/>
  <c r="C120" i="9"/>
  <c r="D120" i="9" s="1"/>
  <c r="C119" i="9"/>
  <c r="D119" i="9" s="1"/>
  <c r="C118" i="9"/>
  <c r="D118" i="9" s="1"/>
  <c r="C117" i="9"/>
  <c r="D117" i="9" s="1"/>
  <c r="C116" i="9"/>
  <c r="D116" i="9" s="1"/>
  <c r="C115" i="9"/>
  <c r="D115" i="9" s="1"/>
  <c r="C114" i="9"/>
  <c r="D114" i="9" s="1"/>
  <c r="C113" i="9"/>
  <c r="D113" i="9" s="1"/>
  <c r="C112" i="9"/>
  <c r="D112" i="9" s="1"/>
  <c r="C111" i="9"/>
  <c r="D111" i="9" s="1"/>
  <c r="C110" i="9"/>
  <c r="D110" i="9" s="1"/>
  <c r="C109" i="9"/>
  <c r="D109" i="9" s="1"/>
  <c r="C108" i="9"/>
  <c r="D108" i="9" s="1"/>
  <c r="C107" i="9"/>
  <c r="D107" i="9" s="1"/>
  <c r="C106" i="9"/>
  <c r="D106" i="9" s="1"/>
  <c r="C105" i="9"/>
  <c r="D105" i="9" s="1"/>
  <c r="C104" i="9"/>
  <c r="D104" i="9" s="1"/>
  <c r="C103" i="9"/>
  <c r="D103" i="9" s="1"/>
  <c r="C102" i="9"/>
  <c r="D102" i="9" s="1"/>
  <c r="C101" i="9"/>
  <c r="D101" i="9" s="1"/>
  <c r="C100" i="9"/>
  <c r="D100" i="9" s="1"/>
  <c r="C99" i="9"/>
  <c r="D99" i="9" s="1"/>
  <c r="C98" i="9"/>
  <c r="D98" i="9" s="1"/>
  <c r="C97" i="9"/>
  <c r="D97" i="9" s="1"/>
  <c r="C96" i="9"/>
  <c r="D96" i="9" s="1"/>
  <c r="C95" i="9"/>
  <c r="D95" i="9" s="1"/>
  <c r="C94" i="9"/>
  <c r="D94" i="9" s="1"/>
  <c r="C93" i="9"/>
  <c r="D93" i="9" s="1"/>
  <c r="C92" i="9"/>
  <c r="D92" i="9" s="1"/>
  <c r="C91" i="9"/>
  <c r="D91" i="9" s="1"/>
  <c r="C90" i="9"/>
  <c r="D90" i="9" s="1"/>
  <c r="C89" i="9"/>
  <c r="D89" i="9" s="1"/>
  <c r="C88" i="9"/>
  <c r="D88" i="9" s="1"/>
  <c r="C87" i="9"/>
  <c r="D87" i="9" s="1"/>
  <c r="C86" i="9"/>
  <c r="D86" i="9" s="1"/>
  <c r="C85" i="9"/>
  <c r="D85" i="9" s="1"/>
  <c r="C84" i="9"/>
  <c r="D84" i="9" s="1"/>
  <c r="C83" i="9"/>
  <c r="D83" i="9" s="1"/>
  <c r="C82" i="9"/>
  <c r="D82" i="9" s="1"/>
  <c r="C81" i="9"/>
  <c r="D81" i="9" s="1"/>
  <c r="C80" i="9"/>
  <c r="D80" i="9" s="1"/>
  <c r="C79" i="9"/>
  <c r="D79" i="9" s="1"/>
  <c r="C77" i="9"/>
  <c r="D77" i="9" s="1"/>
  <c r="C76" i="9"/>
  <c r="D76" i="9" s="1"/>
  <c r="C75" i="9"/>
  <c r="D75" i="9" s="1"/>
  <c r="C74" i="9"/>
  <c r="D74" i="9" s="1"/>
  <c r="C73" i="9"/>
  <c r="D73" i="9" s="1"/>
  <c r="C72" i="9"/>
  <c r="D72" i="9" s="1"/>
  <c r="C71" i="9"/>
  <c r="D71" i="9" s="1"/>
  <c r="C70" i="9"/>
  <c r="D70" i="9" s="1"/>
  <c r="C69" i="9"/>
  <c r="D69" i="9" s="1"/>
  <c r="C68" i="9"/>
  <c r="D68" i="9" s="1"/>
  <c r="C67" i="9"/>
  <c r="D67" i="9" s="1"/>
  <c r="C66" i="9"/>
  <c r="D66" i="9" s="1"/>
  <c r="C65" i="9"/>
  <c r="D65" i="9" s="1"/>
  <c r="C64" i="9"/>
  <c r="D64" i="9" s="1"/>
  <c r="C63" i="9"/>
  <c r="D63" i="9" s="1"/>
  <c r="C62" i="9"/>
  <c r="D62" i="9" s="1"/>
  <c r="C61" i="9"/>
  <c r="D61" i="9" s="1"/>
  <c r="C60" i="9"/>
  <c r="D60" i="9" s="1"/>
  <c r="C59" i="9"/>
  <c r="D59" i="9" s="1"/>
  <c r="C58" i="9"/>
  <c r="D58" i="9" s="1"/>
  <c r="C57" i="9"/>
  <c r="D57" i="9" s="1"/>
  <c r="C56" i="9"/>
  <c r="D56" i="9" s="1"/>
  <c r="C55" i="9"/>
  <c r="D55" i="9" s="1"/>
  <c r="C54" i="9"/>
  <c r="D54" i="9" s="1"/>
  <c r="C53" i="9"/>
  <c r="D53" i="9" s="1"/>
  <c r="C52" i="9"/>
  <c r="D52" i="9" s="1"/>
  <c r="C51" i="9"/>
  <c r="D51" i="9" s="1"/>
  <c r="C50" i="9"/>
  <c r="D50" i="9" s="1"/>
  <c r="C49" i="9"/>
  <c r="D49" i="9" s="1"/>
  <c r="C48" i="9"/>
  <c r="D48" i="9" s="1"/>
  <c r="C47" i="9"/>
  <c r="D47" i="9" s="1"/>
  <c r="C46" i="9"/>
  <c r="D46" i="9" s="1"/>
  <c r="C45" i="9"/>
  <c r="D45" i="9" s="1"/>
  <c r="C44" i="9"/>
  <c r="D44" i="9" s="1"/>
  <c r="C43" i="9"/>
  <c r="D43" i="9" s="1"/>
  <c r="C42" i="9"/>
  <c r="D42" i="9" s="1"/>
  <c r="C41" i="9"/>
  <c r="D41" i="9" s="1"/>
  <c r="C40" i="9"/>
  <c r="D40" i="9" s="1"/>
  <c r="C39" i="9"/>
  <c r="D39" i="9" s="1"/>
  <c r="C38" i="9"/>
  <c r="D38" i="9" s="1"/>
  <c r="C37" i="9"/>
  <c r="D37" i="9" s="1"/>
  <c r="C36" i="9"/>
  <c r="D36" i="9" s="1"/>
  <c r="C35" i="9"/>
  <c r="D35" i="9" s="1"/>
  <c r="C34" i="9"/>
  <c r="D34" i="9" s="1"/>
  <c r="C33" i="9"/>
  <c r="D33" i="9" s="1"/>
  <c r="C32" i="9"/>
  <c r="D32" i="9" s="1"/>
  <c r="C31" i="9"/>
  <c r="D31" i="9" s="1"/>
  <c r="C30" i="9"/>
  <c r="D30" i="9" s="1"/>
  <c r="C29" i="9"/>
  <c r="D29" i="9" s="1"/>
  <c r="C28" i="9"/>
  <c r="D28" i="9" s="1"/>
  <c r="C27" i="9"/>
  <c r="D27" i="9" s="1"/>
  <c r="C26" i="9"/>
  <c r="D26" i="9" s="1"/>
  <c r="C25" i="9"/>
  <c r="D25" i="9" s="1"/>
  <c r="C24" i="9"/>
  <c r="D24" i="9" s="1"/>
  <c r="C23" i="9"/>
  <c r="D23" i="9" s="1"/>
  <c r="C22" i="9"/>
  <c r="D22" i="9" s="1"/>
  <c r="C21" i="9"/>
  <c r="D21" i="9" s="1"/>
  <c r="C20" i="9"/>
  <c r="D20" i="9" s="1"/>
  <c r="C19" i="9"/>
  <c r="D19" i="9" s="1"/>
  <c r="C18" i="9"/>
  <c r="D18" i="9" s="1"/>
  <c r="C17" i="9"/>
  <c r="D17" i="9" s="1"/>
  <c r="C16" i="9"/>
  <c r="D16" i="9" s="1"/>
  <c r="C15" i="9"/>
  <c r="D15" i="9" s="1"/>
  <c r="C14" i="9"/>
  <c r="D14" i="9" s="1"/>
  <c r="C13" i="9"/>
  <c r="D13" i="9" s="1"/>
  <c r="C12" i="9"/>
  <c r="D12" i="9" s="1"/>
  <c r="C11" i="9"/>
  <c r="D11" i="9" s="1"/>
  <c r="C10" i="9"/>
  <c r="D10" i="9" s="1"/>
  <c r="C9" i="9"/>
  <c r="D9" i="9" s="1"/>
  <c r="C8" i="9"/>
  <c r="D8" i="9" s="1"/>
  <c r="C7" i="9"/>
  <c r="D7" i="9" s="1"/>
  <c r="C6" i="9"/>
  <c r="D6" i="9" s="1"/>
  <c r="C5" i="9"/>
  <c r="D5" i="9" s="1"/>
  <c r="D4" i="9"/>
  <c r="D3" i="9"/>
  <c r="D2" i="9"/>
  <c r="E345" i="10"/>
  <c r="F345" i="10"/>
  <c r="E32" i="10"/>
  <c r="F189" i="10"/>
  <c r="E189" i="10"/>
  <c r="F32" i="10"/>
  <c r="O498" i="7"/>
  <c r="O491" i="7"/>
  <c r="O490" i="7"/>
  <c r="O473" i="7"/>
  <c r="O472" i="7"/>
  <c r="O460" i="7"/>
  <c r="O309" i="7"/>
  <c r="O243" i="7"/>
  <c r="O239" i="7"/>
  <c r="O493" i="7"/>
  <c r="O484" i="7"/>
  <c r="O475" i="7"/>
  <c r="O464" i="7"/>
  <c r="O459" i="7"/>
  <c r="O458" i="7"/>
  <c r="O457" i="7"/>
  <c r="O320" i="7"/>
  <c r="O315" i="7"/>
  <c r="O245" i="7"/>
  <c r="O497" i="7"/>
  <c r="O461" i="7"/>
  <c r="O319" i="7"/>
  <c r="O247" i="7"/>
  <c r="G3" i="8"/>
  <c r="O479" i="7"/>
  <c r="O466" i="7"/>
  <c r="O465" i="7"/>
  <c r="O237" i="7"/>
  <c r="O480" i="7"/>
  <c r="O474" i="7"/>
  <c r="O462" i="7"/>
  <c r="O317" i="7"/>
  <c r="O310" i="7"/>
  <c r="O483" i="7"/>
  <c r="O478" i="7"/>
  <c r="O477" i="7"/>
  <c r="O476" i="7"/>
  <c r="O471" i="7"/>
  <c r="O470" i="7"/>
  <c r="O469" i="7"/>
  <c r="O468" i="7"/>
  <c r="O463" i="7"/>
  <c r="O322" i="7"/>
  <c r="O314" i="7"/>
  <c r="O382" i="7"/>
  <c r="O316" i="7"/>
  <c r="O313" i="7"/>
  <c r="O308" i="7"/>
  <c r="O246" i="7"/>
  <c r="O21" i="7"/>
  <c r="O18" i="7"/>
  <c r="O14" i="7"/>
  <c r="O234" i="7"/>
  <c r="O86" i="7"/>
  <c r="O23" i="7"/>
  <c r="O20" i="7"/>
  <c r="O13" i="7"/>
  <c r="O456" i="7"/>
  <c r="O321" i="7"/>
  <c r="O318" i="7"/>
  <c r="O311" i="7"/>
  <c r="O241" i="7"/>
  <c r="O240" i="7"/>
  <c r="O236" i="7"/>
  <c r="O235" i="7"/>
  <c r="O12" i="7"/>
  <c r="M4" i="7"/>
  <c r="M3" i="7"/>
  <c r="M2" i="7"/>
  <c r="O501" i="7"/>
  <c r="O499" i="7"/>
  <c r="O496" i="7"/>
  <c r="O495" i="7"/>
  <c r="O494" i="7"/>
  <c r="O492" i="7"/>
  <c r="O489" i="7"/>
  <c r="O488" i="7"/>
  <c r="O487" i="7"/>
  <c r="O486" i="7"/>
  <c r="O467" i="7"/>
  <c r="O244" i="7"/>
  <c r="O242" i="7"/>
  <c r="O500" i="7"/>
  <c r="O485" i="7"/>
  <c r="O482" i="7"/>
  <c r="O481" i="7"/>
  <c r="O312" i="7"/>
  <c r="O238" i="7"/>
  <c r="N3" i="7" l="1"/>
  <c r="O3" i="7" s="1"/>
  <c r="N4" i="7"/>
  <c r="O4" i="7" s="1"/>
  <c r="E4" i="10" s="1"/>
  <c r="N2" i="7"/>
  <c r="O2" i="7" s="1"/>
  <c r="E3" i="10" l="1"/>
  <c r="H3" i="8"/>
  <c r="H2" i="8"/>
  <c r="E2" i="10"/>
  <c r="J3" i="8" l="1"/>
  <c r="I3" i="8"/>
  <c r="J2" i="8"/>
  <c r="I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<sst xmlns="http://schemas.openxmlformats.org/spreadsheetml/2006/main" count="157" uniqueCount="106">
  <si>
    <t>Milestone_ID</t>
  </si>
  <si>
    <t>Project_ID</t>
  </si>
  <si>
    <t>Nazwa milestone</t>
  </si>
  <si>
    <t>Data_od</t>
  </si>
  <si>
    <t>Data_do</t>
  </si>
  <si>
    <t>Pula_premii_milestone_PLN</t>
  </si>
  <si>
    <t>Status</t>
  </si>
  <si>
    <t>Uwagi</t>
  </si>
  <si>
    <t>Termin_0-100</t>
  </si>
  <si>
    <t>Budżet_0-100</t>
  </si>
  <si>
    <t>Jakość_0-100</t>
  </si>
  <si>
    <t>Ryzyko_0-100</t>
  </si>
  <si>
    <t>Mnożnik_milestone</t>
  </si>
  <si>
    <t>MS-001</t>
  </si>
  <si>
    <t>M1: Analiza Polikapilara</t>
  </si>
  <si>
    <t>2026-06-01</t>
  </si>
  <si>
    <t>W trakcie</t>
  </si>
  <si>
    <t>MS-002</t>
  </si>
  <si>
    <t>2026-07-16</t>
  </si>
  <si>
    <t>2026-08-31</t>
  </si>
  <si>
    <t>Plan</t>
  </si>
  <si>
    <t>Model premiowania – premie per milestone (z limitem puli)</t>
  </si>
  <si>
    <t>Założenie kluczowe</t>
  </si>
  <si>
    <t>Suma wypłat dla danego milestone nigdy nie przekracza 100% puli (może być mniej). Podział puli jest proporcjonalny do wkładu ważonego.</t>
  </si>
  <si>
    <t>Wzór</t>
  </si>
  <si>
    <t>Wkład_ważony = Udział_czasowy × Waga_roli × Faktor_wkładu</t>
  </si>
  <si>
    <t>Premia = Pula_milestone × Efektywny_mnożnik × (Wkład_ważony / Suma_wkładów) — z zaokrągleniem w dół do 2 miejsc (żeby nie przekroczyć puli).</t>
  </si>
  <si>
    <t>🔒 Arkusz 'Projekty' jest chroniony hasłem: premie.</t>
  </si>
  <si>
    <t>📌 KPI są wyłącznie w 'Milestones' (Termin/Budżet/Jakość/Ryzyko + Mnożnik_milestone).</t>
  </si>
  <si>
    <t>Parametry</t>
  </si>
  <si>
    <t>Role i wagi</t>
  </si>
  <si>
    <t>Mapowanie oceny wkładu (1–5) → faktor</t>
  </si>
  <si>
    <t>Ocena</t>
  </si>
  <si>
    <t>Faktor</t>
  </si>
  <si>
    <t>Lider projektu / Architekt</t>
  </si>
  <si>
    <t>Kluczowe decyzje, odpowiedzialność za integrację</t>
  </si>
  <si>
    <t>Senior</t>
  </si>
  <si>
    <t>Duży wpływ techniczny, mentoring</t>
  </si>
  <si>
    <t>Specjalista</t>
  </si>
  <si>
    <t>Standardowy wkład</t>
  </si>
  <si>
    <t>Wagi KPI (suma=1)</t>
  </si>
  <si>
    <t>Junior</t>
  </si>
  <si>
    <t>Wkład pod nadzorem</t>
  </si>
  <si>
    <t>Termin</t>
  </si>
  <si>
    <t>Tester/QA</t>
  </si>
  <si>
    <t>Jakość i kryteria akceptacji</t>
  </si>
  <si>
    <t>Budżet</t>
  </si>
  <si>
    <t>Inż. elektroniki</t>
  </si>
  <si>
    <t>Projektowanie, uruchomienia, EMC</t>
  </si>
  <si>
    <t>Jakość</t>
  </si>
  <si>
    <t>Inż. firmware</t>
  </si>
  <si>
    <t>Sterowniki, RTOS, bezpieczeństwo</t>
  </si>
  <si>
    <t>Ryzyko (im mniej tym lepiej)</t>
  </si>
  <si>
    <t>Inż. oprogramowania</t>
  </si>
  <si>
    <t>Backend/frontend, integracje</t>
  </si>
  <si>
    <t>Rola</t>
  </si>
  <si>
    <t>Waga_roli</t>
  </si>
  <si>
    <t>Opis</t>
  </si>
  <si>
    <t>Nazwa</t>
  </si>
  <si>
    <t>Okres_od</t>
  </si>
  <si>
    <t>Okres_do</t>
  </si>
  <si>
    <t>2026-09-30</t>
  </si>
  <si>
    <t>Przykład</t>
  </si>
  <si>
    <t>Employee_ID</t>
  </si>
  <si>
    <t>Imię i nazwisko</t>
  </si>
  <si>
    <t>Dział</t>
  </si>
  <si>
    <t>Poziom
NIEPOTRZEBNE</t>
  </si>
  <si>
    <t>E-001</t>
  </si>
  <si>
    <t>R&amp;D</t>
  </si>
  <si>
    <t>S</t>
  </si>
  <si>
    <t>E-002</t>
  </si>
  <si>
    <t>E-003</t>
  </si>
  <si>
    <t>Udział_czasowy_0-1</t>
  </si>
  <si>
    <t>Ocena_wkładu_1-5</t>
  </si>
  <si>
    <t>Faktor_wkładu
AUTOWYLICZENIE</t>
  </si>
  <si>
    <t>Opis wkładu / dowody</t>
  </si>
  <si>
    <t>Nazwa projektu</t>
  </si>
  <si>
    <t>Pula_milestone_PLN</t>
  </si>
  <si>
    <t>Efektywny_mnożnik (&lt;=1)</t>
  </si>
  <si>
    <t>Udział</t>
  </si>
  <si>
    <t>Faktor_wkładu</t>
  </si>
  <si>
    <t>Wkład_ważony</t>
  </si>
  <si>
    <t>Suma_wkładów_milestone</t>
  </si>
  <si>
    <t>Premia_wiersz_PLN</t>
  </si>
  <si>
    <t>Maks. wypłata (PLN)</t>
  </si>
  <si>
    <t>Wypłacone (PLN)</t>
  </si>
  <si>
    <t>Niewypłacone (PLN)</t>
  </si>
  <si>
    <t>OK?</t>
  </si>
  <si>
    <t>Suma udziału w aktywnych milestone (W trakcie/W toku)</t>
  </si>
  <si>
    <t>Łączna premia (PLN)</t>
  </si>
  <si>
    <t>Liczba milestone</t>
  </si>
  <si>
    <t>RD-093</t>
  </si>
  <si>
    <t>M2: źródło PV</t>
  </si>
  <si>
    <t>konstrukcja +testy</t>
  </si>
  <si>
    <t>MS-003</t>
  </si>
  <si>
    <t>M3: zasilacz do źródła</t>
  </si>
  <si>
    <t>2026-06-31</t>
  </si>
  <si>
    <t>konstrukcja elektroniczna + oprogramowanie</t>
  </si>
  <si>
    <t>RD-093: Mikrowiązka v2</t>
  </si>
  <si>
    <t>nowy produkt</t>
  </si>
  <si>
    <t>Youtrack</t>
  </si>
  <si>
    <t>Min mnożnik etapu</t>
  </si>
  <si>
    <t>Max mnożnik etapu</t>
  </si>
  <si>
    <t>Jan Kochanowski</t>
  </si>
  <si>
    <t>Albert Giza</t>
  </si>
  <si>
    <t>Tymoteusz Mądry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</si>
</sst>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2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6" fillId="5" borderId="2" xfId="0" applyFont="1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vertical="top" wrapText="1"/>
    </xf>
    <xf numFmtId="0" fontId="7" fillId="0" borderId="1" xfId="0" applyFont="1" applyBorder="1"/>
  </cellXfs>
  <cellStyles count="1">
    <cellStyle name="Normalny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A19" sqref="A18:A19"/>
    </sheetView>
  </sheetViews>
  <sheetFormatPr defaultRowHeight="15" x14ac:dyDescent="0.25"/>
  <cols>
    <col min="1" max="1" width="140" customWidth="1"/>
  </cols>
  <sheetData>
    <row r="1" spans="1:1" ht="18.75" customHeight="1" x14ac:dyDescent="0.3">
      <c r="A1" s="1" t="s">
        <v>21</v>
      </c>
    </row>
    <row r="3" spans="1:1" x14ac:dyDescent="0.25">
      <c r="A3" s="2" t="s">
        <v>22</v>
      </c>
    </row>
    <row r="4" spans="1:1" x14ac:dyDescent="0.25">
      <c r="A4" t="s">
        <v>23</v>
      </c>
    </row>
    <row r="6" spans="1:1" x14ac:dyDescent="0.25">
      <c r="A6" s="2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10" spans="1:1" x14ac:dyDescent="0.25">
      <c r="A10" s="2"/>
    </row>
    <row r="14" spans="1:1" x14ac:dyDescent="0.25">
      <c r="A14" s="7" t="s">
        <v>27</v>
      </c>
    </row>
    <row r="15" spans="1:1" x14ac:dyDescent="0.25">
      <c r="A15" s="7" t="s">
        <v>28</v>
      </c>
    </row>
    <row r="16" spans="1:1" x14ac:dyDescent="0.25">
      <c r="A16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workbookViewId="0">
      <pane ySplit="2" topLeftCell="A3" activePane="bottomLeft" state="frozen"/>
      <selection pane="bottomLeft" activeCell="F12" sqref="F12"/>
    </sheetView>
  </sheetViews>
  <sheetFormatPr defaultRowHeight="15" x14ac:dyDescent="0.25"/>
  <cols>
    <col min="1" max="1" width="26" customWidth="1"/>
    <col min="2" max="2" width="18" customWidth="1"/>
    <col min="3" max="3" width="3" customWidth="1"/>
    <col min="4" max="4" width="34" customWidth="1"/>
    <col min="5" max="5" width="12" customWidth="1"/>
    <col min="6" max="6" width="48" customWidth="1"/>
    <col min="7" max="7" width="3" customWidth="1"/>
    <col min="8" max="8" width="14" customWidth="1"/>
    <col min="9" max="9" width="12" customWidth="1"/>
  </cols>
  <sheetData>
    <row r="1" spans="1:9" ht="15.75" customHeight="1" x14ac:dyDescent="0.25">
      <c r="A1" s="3" t="s">
        <v>29</v>
      </c>
    </row>
    <row r="2" spans="1:9" x14ac:dyDescent="0.25">
      <c r="A2" s="4"/>
      <c r="B2" s="4"/>
      <c r="C2" s="4"/>
      <c r="D2" s="5" t="s">
        <v>30</v>
      </c>
      <c r="E2" s="4"/>
      <c r="F2" s="4"/>
      <c r="G2" s="4"/>
      <c r="H2" s="5" t="s">
        <v>31</v>
      </c>
      <c r="I2" s="4"/>
    </row>
    <row r="3" spans="1:9" x14ac:dyDescent="0.25">
      <c r="A3" s="4" t="s">
        <v>101</v>
      </c>
      <c r="B3" s="4">
        <v>0.7</v>
      </c>
      <c r="C3" s="4"/>
      <c r="D3" s="13" t="s">
        <v>55</v>
      </c>
      <c r="E3" s="13" t="s">
        <v>56</v>
      </c>
      <c r="F3" s="13" t="s">
        <v>57</v>
      </c>
      <c r="G3" s="4"/>
      <c r="H3" s="4" t="s">
        <v>32</v>
      </c>
      <c r="I3" s="4" t="s">
        <v>33</v>
      </c>
    </row>
    <row r="4" spans="1:9" x14ac:dyDescent="0.25">
      <c r="A4" s="4" t="s">
        <v>102</v>
      </c>
      <c r="B4" s="4">
        <v>1.3</v>
      </c>
      <c r="C4" s="4"/>
      <c r="D4" s="4" t="s">
        <v>34</v>
      </c>
      <c r="E4" s="4">
        <v>1.25</v>
      </c>
      <c r="F4" s="4" t="s">
        <v>35</v>
      </c>
      <c r="G4" s="4"/>
      <c r="H4" s="4">
        <v>1</v>
      </c>
      <c r="I4" s="4">
        <v>0.8</v>
      </c>
    </row>
    <row r="5" spans="1:9" x14ac:dyDescent="0.25">
      <c r="A5" s="4"/>
      <c r="B5" s="4"/>
      <c r="C5" s="4"/>
      <c r="D5" s="4" t="s">
        <v>36</v>
      </c>
      <c r="E5" s="4">
        <v>1.1000000000000001</v>
      </c>
      <c r="F5" s="4" t="s">
        <v>37</v>
      </c>
      <c r="G5" s="4"/>
      <c r="H5" s="4">
        <v>2</v>
      </c>
      <c r="I5" s="4">
        <v>0.9</v>
      </c>
    </row>
    <row r="6" spans="1:9" x14ac:dyDescent="0.25">
      <c r="A6" s="4"/>
      <c r="B6" s="4"/>
      <c r="C6" s="4"/>
      <c r="D6" s="4" t="s">
        <v>38</v>
      </c>
      <c r="E6" s="4">
        <v>1</v>
      </c>
      <c r="F6" s="4" t="s">
        <v>39</v>
      </c>
      <c r="G6" s="4"/>
      <c r="H6" s="4">
        <v>3</v>
      </c>
      <c r="I6" s="4">
        <v>1</v>
      </c>
    </row>
    <row r="7" spans="1:9" x14ac:dyDescent="0.25">
      <c r="A7" s="5" t="s">
        <v>40</v>
      </c>
      <c r="B7" s="4"/>
      <c r="C7" s="4"/>
      <c r="D7" s="4" t="s">
        <v>41</v>
      </c>
      <c r="E7" s="4">
        <v>0.85</v>
      </c>
      <c r="F7" s="4" t="s">
        <v>42</v>
      </c>
      <c r="G7" s="4"/>
      <c r="H7" s="4">
        <v>4</v>
      </c>
      <c r="I7" s="4">
        <v>1.1000000000000001</v>
      </c>
    </row>
    <row r="8" spans="1:9" x14ac:dyDescent="0.25">
      <c r="A8" s="4" t="s">
        <v>43</v>
      </c>
      <c r="B8" s="4">
        <v>0.3</v>
      </c>
      <c r="C8" s="4"/>
      <c r="D8" s="4" t="s">
        <v>44</v>
      </c>
      <c r="E8" s="4">
        <v>1</v>
      </c>
      <c r="F8" s="4" t="s">
        <v>45</v>
      </c>
      <c r="G8" s="4"/>
      <c r="H8" s="4">
        <v>5</v>
      </c>
      <c r="I8" s="4">
        <v>1.2</v>
      </c>
    </row>
    <row r="9" spans="1:9" x14ac:dyDescent="0.25">
      <c r="A9" s="4" t="s">
        <v>46</v>
      </c>
      <c r="B9" s="4">
        <v>0.3</v>
      </c>
      <c r="C9" s="4"/>
      <c r="D9" s="4" t="s">
        <v>47</v>
      </c>
      <c r="E9" s="4">
        <v>1.1000000000000001</v>
      </c>
      <c r="F9" s="4" t="s">
        <v>48</v>
      </c>
      <c r="G9" s="4"/>
      <c r="H9" s="4"/>
      <c r="I9" s="4"/>
    </row>
    <row r="10" spans="1:9" x14ac:dyDescent="0.25">
      <c r="A10" s="4" t="s">
        <v>49</v>
      </c>
      <c r="B10" s="4">
        <v>0.25</v>
      </c>
      <c r="C10" s="4"/>
      <c r="D10" s="4" t="s">
        <v>50</v>
      </c>
      <c r="E10" s="4">
        <v>1.1499999999999999</v>
      </c>
      <c r="F10" s="4" t="s">
        <v>51</v>
      </c>
      <c r="G10" s="4"/>
      <c r="H10" s="4"/>
      <c r="I10" s="4"/>
    </row>
    <row r="11" spans="1:9" x14ac:dyDescent="0.25">
      <c r="A11" s="4" t="s">
        <v>52</v>
      </c>
      <c r="B11" s="4">
        <v>0.15</v>
      </c>
      <c r="C11" s="4"/>
      <c r="D11" s="4" t="s">
        <v>53</v>
      </c>
      <c r="E11" s="4">
        <v>1.05</v>
      </c>
      <c r="F11" s="4" t="s">
        <v>54</v>
      </c>
      <c r="G11" s="4"/>
      <c r="H11" s="4"/>
      <c r="I11" s="4"/>
    </row>
    <row r="12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spans="1:9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spans="1:9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spans="1:9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spans="1:9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spans="1:9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spans="1:9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spans="1:9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spans="1:9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spans="1:9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spans="1:9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spans="1:9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spans="1:9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spans="1:9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spans="1:9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spans="1:9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spans="1:9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spans="1:9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spans="1:9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spans="1:9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spans="1:9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spans="1:9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spans="1:9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spans="1:9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spans="1:9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spans="1:9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spans="1:9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spans="1:9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spans="1:9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spans="1:9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spans="1:9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spans="1:9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spans="1:9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spans="1:9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spans="1:9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spans="1:9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spans="1:9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spans="1:9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spans="1:9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spans="1:9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spans="1:9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spans="1:9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spans="1:9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spans="1:9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spans="1:9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spans="1:9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spans="1:9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spans="1:9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spans="1:9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spans="1:9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spans="1:9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spans="1:9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spans="1:9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spans="1:9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spans="1:9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spans="1:9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spans="1:9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spans="1:9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spans="1:9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spans="1:9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spans="1:9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spans="1:9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spans="1:9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spans="1:9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spans="1:9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spans="1:9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spans="1:9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spans="1:9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spans="1:9" x14ac:dyDescent="0.25">
      <c r="A200" s="4"/>
      <c r="B200" s="4"/>
      <c r="C200" s="4"/>
      <c r="D200" s="4"/>
      <c r="E200" s="4"/>
      <c r="F200" s="4"/>
      <c r="G200" s="4"/>
      <c r="H200" s="4"/>
      <c r="I200" s="4"/>
    </row>
    <row r="201" spans="1:9" x14ac:dyDescent="0.25">
      <c r="A201" s="4"/>
      <c r="B201" s="4"/>
      <c r="C201" s="4"/>
      <c r="D201" s="4"/>
      <c r="E201" s="4"/>
      <c r="F201" s="4"/>
      <c r="G201" s="4"/>
      <c r="H201" s="4"/>
      <c r="I201" s="4"/>
    </row>
    <row r="202" spans="1:9" x14ac:dyDescent="0.25">
      <c r="A202" s="4"/>
      <c r="B202" s="4"/>
      <c r="C202" s="4"/>
      <c r="D202" s="4"/>
      <c r="E202" s="4"/>
      <c r="F202" s="4"/>
      <c r="G202" s="4"/>
      <c r="H202" s="4"/>
      <c r="I202" s="4"/>
    </row>
    <row r="203" spans="1:9" x14ac:dyDescent="0.25">
      <c r="A203" s="4"/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4"/>
      <c r="B204" s="4"/>
      <c r="C204" s="4"/>
      <c r="D204" s="4"/>
      <c r="E204" s="4"/>
      <c r="F204" s="4"/>
      <c r="G204" s="4"/>
      <c r="H204" s="4"/>
      <c r="I204" s="4"/>
    </row>
    <row r="205" spans="1:9" x14ac:dyDescent="0.25">
      <c r="A205" s="4"/>
      <c r="B205" s="4"/>
      <c r="C205" s="4"/>
      <c r="D205" s="4"/>
      <c r="E205" s="4"/>
      <c r="F205" s="4"/>
      <c r="G205" s="4"/>
      <c r="H205" s="4"/>
      <c r="I205" s="4"/>
    </row>
    <row r="206" spans="1:9" x14ac:dyDescent="0.25">
      <c r="A206" s="4"/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4"/>
      <c r="B207" s="4"/>
      <c r="C207" s="4"/>
      <c r="D207" s="4"/>
      <c r="E207" s="4"/>
      <c r="F207" s="4"/>
      <c r="G207" s="4"/>
      <c r="H207" s="4"/>
      <c r="I207" s="4"/>
    </row>
    <row r="208" spans="1:9" x14ac:dyDescent="0.25">
      <c r="A208" s="4"/>
      <c r="B208" s="4"/>
      <c r="C208" s="4"/>
      <c r="D208" s="4"/>
      <c r="E208" s="4"/>
      <c r="F208" s="4"/>
      <c r="G208" s="4"/>
      <c r="H208" s="4"/>
      <c r="I208" s="4"/>
    </row>
    <row r="209" spans="1:9" x14ac:dyDescent="0.25">
      <c r="A209" s="4"/>
      <c r="B209" s="4"/>
      <c r="C209" s="4"/>
      <c r="D209" s="4"/>
      <c r="E209" s="4"/>
      <c r="F209" s="4"/>
      <c r="G209" s="4"/>
      <c r="H209" s="4"/>
      <c r="I209" s="4"/>
    </row>
    <row r="210" spans="1:9" x14ac:dyDescent="0.25">
      <c r="A210" s="4"/>
      <c r="B210" s="4"/>
      <c r="C210" s="4"/>
      <c r="D210" s="4"/>
      <c r="E210" s="4"/>
      <c r="F210" s="4"/>
      <c r="G210" s="4"/>
      <c r="H210" s="4"/>
      <c r="I210" s="4"/>
    </row>
    <row r="211" spans="1:9" x14ac:dyDescent="0.25">
      <c r="A211" s="4"/>
      <c r="B211" s="4"/>
      <c r="C211" s="4"/>
      <c r="D211" s="4"/>
      <c r="E211" s="4"/>
      <c r="F211" s="4"/>
      <c r="G211" s="4"/>
      <c r="H211" s="4"/>
      <c r="I211" s="4"/>
    </row>
    <row r="212" spans="1:9" x14ac:dyDescent="0.25">
      <c r="A212" s="4"/>
      <c r="B212" s="4"/>
      <c r="C212" s="4"/>
      <c r="D212" s="4"/>
      <c r="E212" s="4"/>
      <c r="F212" s="4"/>
      <c r="G212" s="4"/>
      <c r="H212" s="4"/>
      <c r="I212" s="4"/>
    </row>
    <row r="213" spans="1:9" x14ac:dyDescent="0.25">
      <c r="A213" s="4"/>
      <c r="B213" s="4"/>
      <c r="C213" s="4"/>
      <c r="D213" s="4"/>
      <c r="E213" s="4"/>
      <c r="F213" s="4"/>
      <c r="G213" s="4"/>
      <c r="H213" s="4"/>
      <c r="I213" s="4"/>
    </row>
    <row r="214" spans="1:9" x14ac:dyDescent="0.25">
      <c r="A214" s="4"/>
      <c r="B214" s="4"/>
      <c r="C214" s="4"/>
      <c r="D214" s="4"/>
      <c r="E214" s="4"/>
      <c r="F214" s="4"/>
      <c r="G214" s="4"/>
      <c r="H214" s="4"/>
      <c r="I214" s="4"/>
    </row>
    <row r="215" spans="1:9" x14ac:dyDescent="0.25">
      <c r="A215" s="4"/>
      <c r="B215" s="4"/>
      <c r="C215" s="4"/>
      <c r="D215" s="4"/>
      <c r="E215" s="4"/>
      <c r="F215" s="4"/>
      <c r="G215" s="4"/>
      <c r="H215" s="4"/>
      <c r="I215" s="4"/>
    </row>
    <row r="216" spans="1:9" x14ac:dyDescent="0.25">
      <c r="A216" s="4"/>
      <c r="B216" s="4"/>
      <c r="C216" s="4"/>
      <c r="D216" s="4"/>
      <c r="E216" s="4"/>
      <c r="F216" s="4"/>
      <c r="G216" s="4"/>
      <c r="H216" s="4"/>
      <c r="I216" s="4"/>
    </row>
    <row r="217" spans="1:9" x14ac:dyDescent="0.25">
      <c r="A217" s="4"/>
      <c r="B217" s="4"/>
      <c r="C217" s="4"/>
      <c r="D217" s="4"/>
      <c r="E217" s="4"/>
      <c r="F217" s="4"/>
      <c r="G217" s="4"/>
      <c r="H217" s="4"/>
      <c r="I217" s="4"/>
    </row>
    <row r="218" spans="1:9" x14ac:dyDescent="0.25">
      <c r="A218" s="4"/>
      <c r="B218" s="4"/>
      <c r="C218" s="4"/>
      <c r="D218" s="4"/>
      <c r="E218" s="4"/>
      <c r="F218" s="4"/>
      <c r="G218" s="4"/>
      <c r="H218" s="4"/>
      <c r="I218" s="4"/>
    </row>
    <row r="219" spans="1:9" x14ac:dyDescent="0.25">
      <c r="A219" s="4"/>
      <c r="B219" s="4"/>
      <c r="C219" s="4"/>
      <c r="D219" s="4"/>
      <c r="E219" s="4"/>
      <c r="F219" s="4"/>
      <c r="G219" s="4"/>
      <c r="H219" s="4"/>
      <c r="I219" s="4"/>
    </row>
    <row r="220" spans="1:9" x14ac:dyDescent="0.25">
      <c r="A220" s="4"/>
      <c r="B220" s="4"/>
      <c r="C220" s="4"/>
      <c r="D220" s="4"/>
      <c r="E220" s="4"/>
      <c r="F220" s="4"/>
      <c r="G220" s="4"/>
      <c r="H220" s="4"/>
      <c r="I220" s="4"/>
    </row>
    <row r="221" spans="1:9" x14ac:dyDescent="0.25">
      <c r="A221" s="4"/>
      <c r="B221" s="4"/>
      <c r="C221" s="4"/>
      <c r="D221" s="4"/>
      <c r="E221" s="4"/>
      <c r="F221" s="4"/>
      <c r="G221" s="4"/>
      <c r="H221" s="4"/>
      <c r="I221" s="4"/>
    </row>
    <row r="222" spans="1:9" x14ac:dyDescent="0.25">
      <c r="A222" s="4"/>
      <c r="B222" s="4"/>
      <c r="C222" s="4"/>
      <c r="D222" s="4"/>
      <c r="E222" s="4"/>
      <c r="F222" s="4"/>
      <c r="G222" s="4"/>
      <c r="H222" s="4"/>
      <c r="I222" s="4"/>
    </row>
    <row r="223" spans="1:9" x14ac:dyDescent="0.25">
      <c r="A223" s="4"/>
      <c r="B223" s="4"/>
      <c r="C223" s="4"/>
      <c r="D223" s="4"/>
      <c r="E223" s="4"/>
      <c r="F223" s="4"/>
      <c r="G223" s="4"/>
      <c r="H223" s="4"/>
      <c r="I223" s="4"/>
    </row>
    <row r="224" spans="1:9" x14ac:dyDescent="0.25">
      <c r="A224" s="4"/>
      <c r="B224" s="4"/>
      <c r="C224" s="4"/>
      <c r="D224" s="4"/>
      <c r="E224" s="4"/>
      <c r="F224" s="4"/>
      <c r="G224" s="4"/>
      <c r="H224" s="4"/>
      <c r="I224" s="4"/>
    </row>
    <row r="225" spans="1:9" x14ac:dyDescent="0.25">
      <c r="A225" s="4"/>
      <c r="B225" s="4"/>
      <c r="C225" s="4"/>
      <c r="D225" s="4"/>
      <c r="E225" s="4"/>
      <c r="F225" s="4"/>
      <c r="G225" s="4"/>
      <c r="H225" s="4"/>
      <c r="I225" s="4"/>
    </row>
    <row r="226" spans="1:9" x14ac:dyDescent="0.25">
      <c r="A226" s="4"/>
      <c r="B226" s="4"/>
      <c r="C226" s="4"/>
      <c r="D226" s="4"/>
      <c r="E226" s="4"/>
      <c r="F226" s="4"/>
      <c r="G226" s="4"/>
      <c r="H226" s="4"/>
      <c r="I226" s="4"/>
    </row>
    <row r="227" spans="1:9" x14ac:dyDescent="0.25">
      <c r="A227" s="4"/>
      <c r="B227" s="4"/>
      <c r="C227" s="4"/>
      <c r="D227" s="4"/>
      <c r="E227" s="4"/>
      <c r="F227" s="4"/>
      <c r="G227" s="4"/>
      <c r="H227" s="4"/>
      <c r="I227" s="4"/>
    </row>
    <row r="228" spans="1:9" x14ac:dyDescent="0.25">
      <c r="A228" s="4"/>
      <c r="B228" s="4"/>
      <c r="C228" s="4"/>
      <c r="D228" s="4"/>
      <c r="E228" s="4"/>
      <c r="F228" s="4"/>
      <c r="G228" s="4"/>
      <c r="H228" s="4"/>
      <c r="I228" s="4"/>
    </row>
    <row r="229" spans="1:9" x14ac:dyDescent="0.25">
      <c r="A229" s="4"/>
      <c r="B229" s="4"/>
      <c r="C229" s="4"/>
      <c r="D229" s="4"/>
      <c r="E229" s="4"/>
      <c r="F229" s="4"/>
      <c r="G229" s="4"/>
      <c r="H229" s="4"/>
      <c r="I229" s="4"/>
    </row>
    <row r="230" spans="1:9" x14ac:dyDescent="0.25">
      <c r="A230" s="4"/>
      <c r="B230" s="4"/>
      <c r="C230" s="4"/>
      <c r="D230" s="4"/>
      <c r="E230" s="4"/>
      <c r="F230" s="4"/>
      <c r="G230" s="4"/>
      <c r="H230" s="4"/>
      <c r="I230" s="4"/>
    </row>
    <row r="231" spans="1:9" x14ac:dyDescent="0.25">
      <c r="A231" s="4"/>
      <c r="B231" s="4"/>
      <c r="C231" s="4"/>
      <c r="D231" s="4"/>
      <c r="E231" s="4"/>
      <c r="F231" s="4"/>
      <c r="G231" s="4"/>
      <c r="H231" s="4"/>
      <c r="I231" s="4"/>
    </row>
    <row r="232" spans="1:9" x14ac:dyDescent="0.25">
      <c r="A232" s="4"/>
      <c r="B232" s="4"/>
      <c r="C232" s="4"/>
      <c r="D232" s="4"/>
      <c r="E232" s="4"/>
      <c r="F232" s="4"/>
      <c r="G232" s="4"/>
      <c r="H232" s="4"/>
      <c r="I232" s="4"/>
    </row>
    <row r="233" spans="1:9" x14ac:dyDescent="0.25">
      <c r="A233" s="4"/>
      <c r="B233" s="4"/>
      <c r="C233" s="4"/>
      <c r="D233" s="4"/>
      <c r="E233" s="4"/>
      <c r="F233" s="4"/>
      <c r="G233" s="4"/>
      <c r="H233" s="4"/>
      <c r="I233" s="4"/>
    </row>
    <row r="234" spans="1:9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spans="1:9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spans="1:9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spans="1:9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spans="1:9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spans="1:9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spans="1:9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spans="1:9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spans="1:9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spans="1:9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spans="1:9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spans="1:9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spans="1:9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spans="1:9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spans="1:9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spans="1:9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spans="1:9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spans="1:9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spans="1:9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spans="1:9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spans="1:9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spans="1:9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spans="1:9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spans="1:9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spans="1:9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spans="1:9" x14ac:dyDescent="0.25">
      <c r="A259" s="4"/>
      <c r="B259" s="4"/>
      <c r="C259" s="4"/>
      <c r="D259" s="4"/>
      <c r="E259" s="4"/>
      <c r="F259" s="4"/>
      <c r="G259" s="4"/>
      <c r="H259" s="4"/>
      <c r="I259" s="4"/>
    </row>
    <row r="260" spans="1:9" x14ac:dyDescent="0.25">
      <c r="A260" s="4"/>
      <c r="B260" s="4"/>
      <c r="C260" s="4"/>
      <c r="D260" s="4"/>
      <c r="E260" s="4"/>
      <c r="F260" s="4"/>
      <c r="G260" s="4"/>
      <c r="H260" s="4"/>
      <c r="I260" s="4"/>
    </row>
    <row r="261" spans="1:9" x14ac:dyDescent="0.25">
      <c r="A261" s="4"/>
      <c r="B261" s="4"/>
      <c r="C261" s="4"/>
      <c r="D261" s="4"/>
      <c r="E261" s="4"/>
      <c r="F261" s="4"/>
      <c r="G261" s="4"/>
      <c r="H261" s="4"/>
      <c r="I261" s="4"/>
    </row>
    <row r="262" spans="1:9" x14ac:dyDescent="0.25">
      <c r="A262" s="4"/>
      <c r="B262" s="4"/>
      <c r="C262" s="4"/>
      <c r="D262" s="4"/>
      <c r="E262" s="4"/>
      <c r="F262" s="4"/>
      <c r="G262" s="4"/>
      <c r="H262" s="4"/>
      <c r="I262" s="4"/>
    </row>
    <row r="263" spans="1:9" x14ac:dyDescent="0.25">
      <c r="A263" s="4"/>
      <c r="B263" s="4"/>
      <c r="C263" s="4"/>
      <c r="D263" s="4"/>
      <c r="E263" s="4"/>
      <c r="F263" s="4"/>
      <c r="G263" s="4"/>
      <c r="H263" s="4"/>
      <c r="I263" s="4"/>
    </row>
    <row r="264" spans="1:9" x14ac:dyDescent="0.25">
      <c r="A264" s="4"/>
      <c r="B264" s="4"/>
      <c r="C264" s="4"/>
      <c r="D264" s="4"/>
      <c r="E264" s="4"/>
      <c r="F264" s="4"/>
      <c r="G264" s="4"/>
      <c r="H264" s="4"/>
      <c r="I264" s="4"/>
    </row>
    <row r="265" spans="1:9" x14ac:dyDescent="0.25">
      <c r="A265" s="4"/>
      <c r="B265" s="4"/>
      <c r="C265" s="4"/>
      <c r="D265" s="4"/>
      <c r="E265" s="4"/>
      <c r="F265" s="4"/>
      <c r="G265" s="4"/>
      <c r="H265" s="4"/>
      <c r="I265" s="4"/>
    </row>
    <row r="266" spans="1:9" x14ac:dyDescent="0.25">
      <c r="A266" s="4"/>
      <c r="B266" s="4"/>
      <c r="C266" s="4"/>
      <c r="D266" s="4"/>
      <c r="E266" s="4"/>
      <c r="F266" s="4"/>
      <c r="G266" s="4"/>
      <c r="H266" s="4"/>
      <c r="I266" s="4"/>
    </row>
    <row r="267" spans="1:9" x14ac:dyDescent="0.25">
      <c r="A267" s="4"/>
      <c r="B267" s="4"/>
      <c r="C267" s="4"/>
      <c r="D267" s="4"/>
      <c r="E267" s="4"/>
      <c r="F267" s="4"/>
      <c r="G267" s="4"/>
      <c r="H267" s="4"/>
      <c r="I267" s="4"/>
    </row>
    <row r="268" spans="1:9" x14ac:dyDescent="0.25">
      <c r="A268" s="4"/>
      <c r="B268" s="4"/>
      <c r="C268" s="4"/>
      <c r="D268" s="4"/>
      <c r="E268" s="4"/>
      <c r="F268" s="4"/>
      <c r="G268" s="4"/>
      <c r="H268" s="4"/>
      <c r="I268" s="4"/>
    </row>
    <row r="269" spans="1:9" x14ac:dyDescent="0.25">
      <c r="A269" s="4"/>
      <c r="B269" s="4"/>
      <c r="C269" s="4"/>
      <c r="D269" s="4"/>
      <c r="E269" s="4"/>
      <c r="F269" s="4"/>
      <c r="G269" s="4"/>
      <c r="H269" s="4"/>
      <c r="I269" s="4"/>
    </row>
    <row r="270" spans="1:9" x14ac:dyDescent="0.25">
      <c r="A270" s="4"/>
      <c r="B270" s="4"/>
      <c r="C270" s="4"/>
      <c r="D270" s="4"/>
      <c r="E270" s="4"/>
      <c r="F270" s="4"/>
      <c r="G270" s="4"/>
      <c r="H270" s="4"/>
      <c r="I270" s="4"/>
    </row>
    <row r="271" spans="1:9" x14ac:dyDescent="0.25">
      <c r="A271" s="4"/>
      <c r="B271" s="4"/>
      <c r="C271" s="4"/>
      <c r="D271" s="4"/>
      <c r="E271" s="4"/>
      <c r="F271" s="4"/>
      <c r="G271" s="4"/>
      <c r="H271" s="4"/>
      <c r="I271" s="4"/>
    </row>
    <row r="272" spans="1:9" x14ac:dyDescent="0.25">
      <c r="A272" s="4"/>
      <c r="B272" s="4"/>
      <c r="C272" s="4"/>
      <c r="D272" s="4"/>
      <c r="E272" s="4"/>
      <c r="F272" s="4"/>
      <c r="G272" s="4"/>
      <c r="H272" s="4"/>
      <c r="I272" s="4"/>
    </row>
    <row r="273" spans="1:9" x14ac:dyDescent="0.25">
      <c r="A273" s="4"/>
      <c r="B273" s="4"/>
      <c r="C273" s="4"/>
      <c r="D273" s="4"/>
      <c r="E273" s="4"/>
      <c r="F273" s="4"/>
      <c r="G273" s="4"/>
      <c r="H273" s="4"/>
      <c r="I273" s="4"/>
    </row>
    <row r="274" spans="1:9" x14ac:dyDescent="0.25">
      <c r="A274" s="4"/>
      <c r="B274" s="4"/>
      <c r="C274" s="4"/>
      <c r="D274" s="4"/>
      <c r="E274" s="4"/>
      <c r="F274" s="4"/>
      <c r="G274" s="4"/>
      <c r="H274" s="4"/>
      <c r="I274" s="4"/>
    </row>
    <row r="275" spans="1:9" x14ac:dyDescent="0.25">
      <c r="A275" s="4"/>
      <c r="B275" s="4"/>
      <c r="C275" s="4"/>
      <c r="D275" s="4"/>
      <c r="E275" s="4"/>
      <c r="F275" s="4"/>
      <c r="G275" s="4"/>
      <c r="H275" s="4"/>
      <c r="I275" s="4"/>
    </row>
    <row r="276" spans="1:9" x14ac:dyDescent="0.25">
      <c r="A276" s="4"/>
      <c r="B276" s="4"/>
      <c r="C276" s="4"/>
      <c r="D276" s="4"/>
      <c r="E276" s="4"/>
      <c r="F276" s="4"/>
      <c r="G276" s="4"/>
      <c r="H276" s="4"/>
      <c r="I276" s="4"/>
    </row>
    <row r="277" spans="1:9" x14ac:dyDescent="0.25">
      <c r="A277" s="4"/>
      <c r="B277" s="4"/>
      <c r="C277" s="4"/>
      <c r="D277" s="4"/>
      <c r="E277" s="4"/>
      <c r="F277" s="4"/>
      <c r="G277" s="4"/>
      <c r="H277" s="4"/>
      <c r="I277" s="4"/>
    </row>
    <row r="278" spans="1:9" x14ac:dyDescent="0.25">
      <c r="A278" s="4"/>
      <c r="B278" s="4"/>
      <c r="C278" s="4"/>
      <c r="D278" s="4"/>
      <c r="E278" s="4"/>
      <c r="F278" s="4"/>
      <c r="G278" s="4"/>
      <c r="H278" s="4"/>
      <c r="I278" s="4"/>
    </row>
    <row r="279" spans="1:9" x14ac:dyDescent="0.25">
      <c r="A279" s="4"/>
      <c r="B279" s="4"/>
      <c r="C279" s="4"/>
      <c r="D279" s="4"/>
      <c r="E279" s="4"/>
      <c r="F279" s="4"/>
      <c r="G279" s="4"/>
      <c r="H279" s="4"/>
      <c r="I279" s="4"/>
    </row>
    <row r="280" spans="1:9" x14ac:dyDescent="0.25">
      <c r="A280" s="4"/>
      <c r="B280" s="4"/>
      <c r="C280" s="4"/>
      <c r="D280" s="4"/>
      <c r="E280" s="4"/>
      <c r="F280" s="4"/>
      <c r="G280" s="4"/>
      <c r="H280" s="4"/>
      <c r="I280" s="4"/>
    </row>
    <row r="281" spans="1:9" x14ac:dyDescent="0.25">
      <c r="A281" s="4"/>
      <c r="B281" s="4"/>
      <c r="C281" s="4"/>
      <c r="D281" s="4"/>
      <c r="E281" s="4"/>
      <c r="F281" s="4"/>
      <c r="G281" s="4"/>
      <c r="H281" s="4"/>
      <c r="I281" s="4"/>
    </row>
    <row r="282" spans="1:9" x14ac:dyDescent="0.25">
      <c r="A282" s="4"/>
      <c r="B282" s="4"/>
      <c r="C282" s="4"/>
      <c r="D282" s="4"/>
      <c r="E282" s="4"/>
      <c r="F282" s="4"/>
      <c r="G282" s="4"/>
      <c r="H282" s="4"/>
      <c r="I282" s="4"/>
    </row>
    <row r="283" spans="1:9" x14ac:dyDescent="0.25">
      <c r="A283" s="4"/>
      <c r="B283" s="4"/>
      <c r="C283" s="4"/>
      <c r="D283" s="4"/>
      <c r="E283" s="4"/>
      <c r="F283" s="4"/>
      <c r="G283" s="4"/>
      <c r="H283" s="4"/>
      <c r="I283" s="4"/>
    </row>
    <row r="284" spans="1:9" x14ac:dyDescent="0.25">
      <c r="A284" s="4"/>
      <c r="B284" s="4"/>
      <c r="C284" s="4"/>
      <c r="D284" s="4"/>
      <c r="E284" s="4"/>
      <c r="F284" s="4"/>
      <c r="G284" s="4"/>
      <c r="H284" s="4"/>
      <c r="I284" s="4"/>
    </row>
    <row r="285" spans="1:9" x14ac:dyDescent="0.25">
      <c r="A285" s="4"/>
      <c r="B285" s="4"/>
      <c r="C285" s="4"/>
      <c r="D285" s="4"/>
      <c r="E285" s="4"/>
      <c r="F285" s="4"/>
      <c r="G285" s="4"/>
      <c r="H285" s="4"/>
      <c r="I285" s="4"/>
    </row>
    <row r="286" spans="1:9" x14ac:dyDescent="0.25">
      <c r="A286" s="4"/>
      <c r="B286" s="4"/>
      <c r="C286" s="4"/>
      <c r="D286" s="4"/>
      <c r="E286" s="4"/>
      <c r="F286" s="4"/>
      <c r="G286" s="4"/>
      <c r="H286" s="4"/>
      <c r="I286" s="4"/>
    </row>
    <row r="287" spans="1:9" x14ac:dyDescent="0.25">
      <c r="A287" s="4"/>
      <c r="B287" s="4"/>
      <c r="C287" s="4"/>
      <c r="D287" s="4"/>
      <c r="E287" s="4"/>
      <c r="F287" s="4"/>
      <c r="G287" s="4"/>
      <c r="H287" s="4"/>
      <c r="I287" s="4"/>
    </row>
    <row r="288" spans="1:9" x14ac:dyDescent="0.25">
      <c r="A288" s="4"/>
      <c r="B288" s="4"/>
      <c r="C288" s="4"/>
      <c r="D288" s="4"/>
      <c r="E288" s="4"/>
      <c r="F288" s="4"/>
      <c r="G288" s="4"/>
      <c r="H288" s="4"/>
      <c r="I288" s="4"/>
    </row>
    <row r="289" spans="1:9" x14ac:dyDescent="0.25">
      <c r="A289" s="4"/>
      <c r="B289" s="4"/>
      <c r="C289" s="4"/>
      <c r="D289" s="4"/>
      <c r="E289" s="4"/>
      <c r="F289" s="4"/>
      <c r="G289" s="4"/>
      <c r="H289" s="4"/>
      <c r="I289" s="4"/>
    </row>
    <row r="290" spans="1:9" x14ac:dyDescent="0.25">
      <c r="A290" s="4"/>
      <c r="B290" s="4"/>
      <c r="C290" s="4"/>
      <c r="D290" s="4"/>
      <c r="E290" s="4"/>
      <c r="F290" s="4"/>
      <c r="G290" s="4"/>
      <c r="H290" s="4"/>
      <c r="I290" s="4"/>
    </row>
    <row r="291" spans="1:9" x14ac:dyDescent="0.25">
      <c r="A291" s="4"/>
      <c r="B291" s="4"/>
      <c r="C291" s="4"/>
      <c r="D291" s="4"/>
      <c r="E291" s="4"/>
      <c r="F291" s="4"/>
      <c r="G291" s="4"/>
      <c r="H291" s="4"/>
      <c r="I291" s="4"/>
    </row>
    <row r="292" spans="1:9" x14ac:dyDescent="0.25">
      <c r="A292" s="4"/>
      <c r="B292" s="4"/>
      <c r="C292" s="4"/>
      <c r="D292" s="4"/>
      <c r="E292" s="4"/>
      <c r="F292" s="4"/>
      <c r="G292" s="4"/>
      <c r="H292" s="4"/>
      <c r="I292" s="4"/>
    </row>
    <row r="293" spans="1:9" x14ac:dyDescent="0.25">
      <c r="A293" s="4"/>
      <c r="B293" s="4"/>
      <c r="C293" s="4"/>
      <c r="D293" s="4"/>
      <c r="E293" s="4"/>
      <c r="F293" s="4"/>
      <c r="G293" s="4"/>
      <c r="H293" s="4"/>
      <c r="I293" s="4"/>
    </row>
    <row r="294" spans="1:9" x14ac:dyDescent="0.25">
      <c r="A294" s="4"/>
      <c r="B294" s="4"/>
      <c r="C294" s="4"/>
      <c r="D294" s="4"/>
      <c r="E294" s="4"/>
      <c r="F294" s="4"/>
      <c r="G294" s="4"/>
      <c r="H294" s="4"/>
      <c r="I294" s="4"/>
    </row>
    <row r="295" spans="1:9" x14ac:dyDescent="0.25">
      <c r="A295" s="4"/>
      <c r="B295" s="4"/>
      <c r="C295" s="4"/>
      <c r="D295" s="4"/>
      <c r="E295" s="4"/>
      <c r="F295" s="4"/>
      <c r="G295" s="4"/>
      <c r="H295" s="4"/>
      <c r="I295" s="4"/>
    </row>
    <row r="296" spans="1:9" x14ac:dyDescent="0.25">
      <c r="A296" s="4"/>
      <c r="B296" s="4"/>
      <c r="C296" s="4"/>
      <c r="D296" s="4"/>
      <c r="E296" s="4"/>
      <c r="F296" s="4"/>
      <c r="G296" s="4"/>
      <c r="H296" s="4"/>
      <c r="I296" s="4"/>
    </row>
    <row r="297" spans="1:9" x14ac:dyDescent="0.25">
      <c r="A297" s="4"/>
      <c r="B297" s="4"/>
      <c r="C297" s="4"/>
      <c r="D297" s="4"/>
      <c r="E297" s="4"/>
      <c r="F297" s="4"/>
      <c r="G297" s="4"/>
      <c r="H297" s="4"/>
      <c r="I297" s="4"/>
    </row>
    <row r="298" spans="1:9" x14ac:dyDescent="0.25">
      <c r="A298" s="4"/>
      <c r="B298" s="4"/>
      <c r="C298" s="4"/>
      <c r="D298" s="4"/>
      <c r="E298" s="4"/>
      <c r="F298" s="4"/>
      <c r="G298" s="4"/>
      <c r="H298" s="4"/>
      <c r="I298" s="4"/>
    </row>
    <row r="299" spans="1:9" x14ac:dyDescent="0.25">
      <c r="A299" s="4"/>
      <c r="B299" s="4"/>
      <c r="C299" s="4"/>
      <c r="D299" s="4"/>
      <c r="E299" s="4"/>
      <c r="F299" s="4"/>
      <c r="G299" s="4"/>
      <c r="H299" s="4"/>
      <c r="I299" s="4"/>
    </row>
    <row r="300" spans="1:9" x14ac:dyDescent="0.25">
      <c r="A300" s="4"/>
      <c r="B300" s="4"/>
      <c r="C300" s="4"/>
      <c r="D300" s="4"/>
      <c r="E300" s="4"/>
      <c r="F300" s="4"/>
      <c r="G300" s="4"/>
      <c r="H300" s="4"/>
      <c r="I300" s="4"/>
    </row>
    <row r="301" spans="1:9" x14ac:dyDescent="0.25">
      <c r="A301" s="4"/>
      <c r="B301" s="4"/>
      <c r="C301" s="4"/>
      <c r="D301" s="4"/>
      <c r="E301" s="4"/>
      <c r="F301" s="4"/>
      <c r="G301" s="4"/>
      <c r="H301" s="4"/>
      <c r="I301" s="4"/>
    </row>
    <row r="302" spans="1:9" x14ac:dyDescent="0.25">
      <c r="A302" s="4"/>
      <c r="B302" s="4"/>
      <c r="C302" s="4"/>
      <c r="D302" s="4"/>
      <c r="E302" s="4"/>
      <c r="F302" s="4"/>
      <c r="G302" s="4"/>
      <c r="H302" s="4"/>
      <c r="I302" s="4"/>
    </row>
    <row r="303" spans="1:9" x14ac:dyDescent="0.25">
      <c r="A303" s="4"/>
      <c r="B303" s="4"/>
      <c r="C303" s="4"/>
      <c r="D303" s="4"/>
      <c r="E303" s="4"/>
      <c r="F303" s="4"/>
      <c r="G303" s="4"/>
      <c r="H303" s="4"/>
      <c r="I303" s="4"/>
    </row>
    <row r="304" spans="1:9" x14ac:dyDescent="0.25">
      <c r="A304" s="4"/>
      <c r="B304" s="4"/>
      <c r="C304" s="4"/>
      <c r="D304" s="4"/>
      <c r="E304" s="4"/>
      <c r="F304" s="4"/>
      <c r="G304" s="4"/>
      <c r="H304" s="4"/>
      <c r="I304" s="4"/>
    </row>
    <row r="305" spans="1:9" x14ac:dyDescent="0.25">
      <c r="A305" s="4"/>
      <c r="B305" s="4"/>
      <c r="C305" s="4"/>
      <c r="D305" s="4"/>
      <c r="E305" s="4"/>
      <c r="F305" s="4"/>
      <c r="G305" s="4"/>
      <c r="H305" s="4"/>
      <c r="I305" s="4"/>
    </row>
    <row r="306" spans="1:9" x14ac:dyDescent="0.25">
      <c r="A306" s="4"/>
      <c r="B306" s="4"/>
      <c r="C306" s="4"/>
      <c r="D306" s="4"/>
      <c r="E306" s="4"/>
      <c r="F306" s="4"/>
      <c r="G306" s="4"/>
      <c r="H306" s="4"/>
      <c r="I306" s="4"/>
    </row>
    <row r="307" spans="1:9" x14ac:dyDescent="0.25">
      <c r="A307" s="4"/>
      <c r="B307" s="4"/>
      <c r="C307" s="4"/>
      <c r="D307" s="4"/>
      <c r="E307" s="4"/>
      <c r="F307" s="4"/>
      <c r="G307" s="4"/>
      <c r="H307" s="4"/>
      <c r="I307" s="4"/>
    </row>
    <row r="308" spans="1:9" x14ac:dyDescent="0.25">
      <c r="A308" s="4"/>
      <c r="B308" s="4"/>
      <c r="C308" s="4"/>
      <c r="D308" s="4"/>
      <c r="E308" s="4"/>
      <c r="F308" s="4"/>
      <c r="G308" s="4"/>
      <c r="H308" s="4"/>
      <c r="I308" s="4"/>
    </row>
    <row r="309" spans="1:9" x14ac:dyDescent="0.25">
      <c r="A309" s="4"/>
      <c r="B309" s="4"/>
      <c r="C309" s="4"/>
      <c r="D309" s="4"/>
      <c r="E309" s="4"/>
      <c r="F309" s="4"/>
      <c r="G309" s="4"/>
      <c r="H309" s="4"/>
      <c r="I309" s="4"/>
    </row>
    <row r="310" spans="1:9" x14ac:dyDescent="0.25">
      <c r="A310" s="4"/>
      <c r="B310" s="4"/>
      <c r="C310" s="4"/>
      <c r="D310" s="4"/>
      <c r="E310" s="4"/>
      <c r="F310" s="4"/>
      <c r="G310" s="4"/>
      <c r="H310" s="4"/>
      <c r="I310" s="4"/>
    </row>
    <row r="311" spans="1:9" x14ac:dyDescent="0.25">
      <c r="A311" s="4"/>
      <c r="B311" s="4"/>
      <c r="C311" s="4"/>
      <c r="D311" s="4"/>
      <c r="E311" s="4"/>
      <c r="F311" s="4"/>
      <c r="G311" s="4"/>
      <c r="H311" s="4"/>
      <c r="I311" s="4"/>
    </row>
    <row r="312" spans="1:9" x14ac:dyDescent="0.25">
      <c r="A312" s="4"/>
      <c r="B312" s="4"/>
      <c r="C312" s="4"/>
      <c r="D312" s="4"/>
      <c r="E312" s="4"/>
      <c r="F312" s="4"/>
      <c r="G312" s="4"/>
      <c r="H312" s="4"/>
      <c r="I312" s="4"/>
    </row>
    <row r="313" spans="1:9" x14ac:dyDescent="0.25">
      <c r="A313" s="4"/>
      <c r="B313" s="4"/>
      <c r="C313" s="4"/>
      <c r="D313" s="4"/>
      <c r="E313" s="4"/>
      <c r="F313" s="4"/>
      <c r="G313" s="4"/>
      <c r="H313" s="4"/>
      <c r="I313" s="4"/>
    </row>
    <row r="314" spans="1:9" x14ac:dyDescent="0.25">
      <c r="A314" s="4"/>
      <c r="B314" s="4"/>
      <c r="C314" s="4"/>
      <c r="D314" s="4"/>
      <c r="E314" s="4"/>
      <c r="F314" s="4"/>
      <c r="G314" s="4"/>
      <c r="H314" s="4"/>
      <c r="I314" s="4"/>
    </row>
    <row r="315" spans="1:9" x14ac:dyDescent="0.25">
      <c r="A315" s="4"/>
      <c r="B315" s="4"/>
      <c r="C315" s="4"/>
      <c r="D315" s="4"/>
      <c r="E315" s="4"/>
      <c r="F315" s="4"/>
      <c r="G315" s="4"/>
      <c r="H315" s="4"/>
      <c r="I315" s="4"/>
    </row>
    <row r="316" spans="1:9" x14ac:dyDescent="0.25">
      <c r="A316" s="4"/>
      <c r="B316" s="4"/>
      <c r="C316" s="4"/>
      <c r="D316" s="4"/>
      <c r="E316" s="4"/>
      <c r="F316" s="4"/>
      <c r="G316" s="4"/>
      <c r="H316" s="4"/>
      <c r="I316" s="4"/>
    </row>
    <row r="317" spans="1:9" x14ac:dyDescent="0.25">
      <c r="A317" s="4"/>
      <c r="B317" s="4"/>
      <c r="C317" s="4"/>
      <c r="D317" s="4"/>
      <c r="E317" s="4"/>
      <c r="F317" s="4"/>
      <c r="G317" s="4"/>
      <c r="H317" s="4"/>
      <c r="I317" s="4"/>
    </row>
    <row r="318" spans="1:9" x14ac:dyDescent="0.25">
      <c r="A318" s="4"/>
      <c r="B318" s="4"/>
      <c r="C318" s="4"/>
      <c r="D318" s="4"/>
      <c r="E318" s="4"/>
      <c r="F318" s="4"/>
      <c r="G318" s="4"/>
      <c r="H318" s="4"/>
      <c r="I318" s="4"/>
    </row>
    <row r="319" spans="1:9" x14ac:dyDescent="0.25">
      <c r="A319" s="4"/>
      <c r="B319" s="4"/>
      <c r="C319" s="4"/>
      <c r="D319" s="4"/>
      <c r="E319" s="4"/>
      <c r="F319" s="4"/>
      <c r="G319" s="4"/>
      <c r="H319" s="4"/>
      <c r="I319" s="4"/>
    </row>
    <row r="320" spans="1:9" x14ac:dyDescent="0.25">
      <c r="A320" s="4"/>
      <c r="B320" s="4"/>
      <c r="C320" s="4"/>
      <c r="D320" s="4"/>
      <c r="E320" s="4"/>
      <c r="F320" s="4"/>
      <c r="G320" s="4"/>
      <c r="H320" s="4"/>
      <c r="I320" s="4"/>
    </row>
    <row r="321" spans="1:9" x14ac:dyDescent="0.25">
      <c r="A321" s="4"/>
      <c r="B321" s="4"/>
      <c r="C321" s="4"/>
      <c r="D321" s="4"/>
      <c r="E321" s="4"/>
      <c r="F321" s="4"/>
      <c r="G321" s="4"/>
      <c r="H321" s="4"/>
      <c r="I321" s="4"/>
    </row>
    <row r="322" spans="1:9" x14ac:dyDescent="0.25">
      <c r="A322" s="4"/>
      <c r="B322" s="4"/>
      <c r="C322" s="4"/>
      <c r="D322" s="4"/>
      <c r="E322" s="4"/>
      <c r="F322" s="4"/>
      <c r="G322" s="4"/>
      <c r="H322" s="4"/>
      <c r="I322" s="4"/>
    </row>
    <row r="323" spans="1:9" x14ac:dyDescent="0.25">
      <c r="A323" s="4"/>
      <c r="B323" s="4"/>
      <c r="C323" s="4"/>
      <c r="D323" s="4"/>
      <c r="E323" s="4"/>
      <c r="F323" s="4"/>
      <c r="G323" s="4"/>
      <c r="H323" s="4"/>
      <c r="I323" s="4"/>
    </row>
    <row r="324" spans="1:9" x14ac:dyDescent="0.25">
      <c r="A324" s="4"/>
      <c r="B324" s="4"/>
      <c r="C324" s="4"/>
      <c r="D324" s="4"/>
      <c r="E324" s="4"/>
      <c r="F324" s="4"/>
      <c r="G324" s="4"/>
      <c r="H324" s="4"/>
      <c r="I324" s="4"/>
    </row>
    <row r="325" spans="1:9" x14ac:dyDescent="0.25">
      <c r="A325" s="4"/>
      <c r="B325" s="4"/>
      <c r="C325" s="4"/>
      <c r="D325" s="4"/>
      <c r="E325" s="4"/>
      <c r="F325" s="4"/>
      <c r="G325" s="4"/>
      <c r="H325" s="4"/>
      <c r="I325" s="4"/>
    </row>
    <row r="326" spans="1:9" x14ac:dyDescent="0.25">
      <c r="A326" s="4"/>
      <c r="B326" s="4"/>
      <c r="C326" s="4"/>
      <c r="D326" s="4"/>
      <c r="E326" s="4"/>
      <c r="F326" s="4"/>
      <c r="G326" s="4"/>
      <c r="H326" s="4"/>
      <c r="I326" s="4"/>
    </row>
    <row r="327" spans="1:9" x14ac:dyDescent="0.25">
      <c r="A327" s="4"/>
      <c r="B327" s="4"/>
      <c r="C327" s="4"/>
      <c r="D327" s="4"/>
      <c r="E327" s="4"/>
      <c r="F327" s="4"/>
      <c r="G327" s="4"/>
      <c r="H327" s="4"/>
      <c r="I327" s="4"/>
    </row>
    <row r="328" spans="1:9" x14ac:dyDescent="0.25">
      <c r="A328" s="4"/>
      <c r="B328" s="4"/>
      <c r="C328" s="4"/>
      <c r="D328" s="4"/>
      <c r="E328" s="4"/>
      <c r="F328" s="4"/>
      <c r="G328" s="4"/>
      <c r="H328" s="4"/>
      <c r="I328" s="4"/>
    </row>
    <row r="329" spans="1:9" x14ac:dyDescent="0.25">
      <c r="A329" s="4"/>
      <c r="B329" s="4"/>
      <c r="C329" s="4"/>
      <c r="D329" s="4"/>
      <c r="E329" s="4"/>
      <c r="F329" s="4"/>
      <c r="G329" s="4"/>
      <c r="H329" s="4"/>
      <c r="I329" s="4"/>
    </row>
    <row r="330" spans="1:9" x14ac:dyDescent="0.25">
      <c r="A330" s="4"/>
      <c r="B330" s="4"/>
      <c r="C330" s="4"/>
      <c r="D330" s="4"/>
      <c r="E330" s="4"/>
      <c r="F330" s="4"/>
      <c r="G330" s="4"/>
      <c r="H330" s="4"/>
      <c r="I330" s="4"/>
    </row>
    <row r="331" spans="1:9" x14ac:dyDescent="0.25">
      <c r="A331" s="4"/>
      <c r="B331" s="4"/>
      <c r="C331" s="4"/>
      <c r="D331" s="4"/>
      <c r="E331" s="4"/>
      <c r="F331" s="4"/>
      <c r="G331" s="4"/>
      <c r="H331" s="4"/>
      <c r="I331" s="4"/>
    </row>
    <row r="332" spans="1:9" x14ac:dyDescent="0.25">
      <c r="A332" s="4"/>
      <c r="B332" s="4"/>
      <c r="C332" s="4"/>
      <c r="D332" s="4"/>
      <c r="E332" s="4"/>
      <c r="F332" s="4"/>
      <c r="G332" s="4"/>
      <c r="H332" s="4"/>
      <c r="I332" s="4"/>
    </row>
    <row r="333" spans="1:9" x14ac:dyDescent="0.25">
      <c r="A333" s="4"/>
      <c r="B333" s="4"/>
      <c r="C333" s="4"/>
      <c r="D333" s="4"/>
      <c r="E333" s="4"/>
      <c r="F333" s="4"/>
      <c r="G333" s="4"/>
      <c r="H333" s="4"/>
      <c r="I333" s="4"/>
    </row>
    <row r="334" spans="1:9" x14ac:dyDescent="0.25">
      <c r="A334" s="4"/>
      <c r="B334" s="4"/>
      <c r="C334" s="4"/>
      <c r="D334" s="4"/>
      <c r="E334" s="4"/>
      <c r="F334" s="4"/>
      <c r="G334" s="4"/>
      <c r="H334" s="4"/>
      <c r="I334" s="4"/>
    </row>
    <row r="335" spans="1:9" x14ac:dyDescent="0.25">
      <c r="A335" s="4"/>
      <c r="B335" s="4"/>
      <c r="C335" s="4"/>
      <c r="D335" s="4"/>
      <c r="E335" s="4"/>
      <c r="F335" s="4"/>
      <c r="G335" s="4"/>
      <c r="H335" s="4"/>
      <c r="I335" s="4"/>
    </row>
    <row r="336" spans="1:9" x14ac:dyDescent="0.25">
      <c r="A336" s="4"/>
      <c r="B336" s="4"/>
      <c r="C336" s="4"/>
      <c r="D336" s="4"/>
      <c r="E336" s="4"/>
      <c r="F336" s="4"/>
      <c r="G336" s="4"/>
      <c r="H336" s="4"/>
      <c r="I336" s="4"/>
    </row>
    <row r="337" spans="1:9" x14ac:dyDescent="0.25">
      <c r="A337" s="4"/>
      <c r="B337" s="4"/>
      <c r="C337" s="4"/>
      <c r="D337" s="4"/>
      <c r="E337" s="4"/>
      <c r="F337" s="4"/>
      <c r="G337" s="4"/>
      <c r="H337" s="4"/>
      <c r="I337" s="4"/>
    </row>
    <row r="338" spans="1:9" x14ac:dyDescent="0.25">
      <c r="A338" s="4"/>
      <c r="B338" s="4"/>
      <c r="C338" s="4"/>
      <c r="D338" s="4"/>
      <c r="E338" s="4"/>
      <c r="F338" s="4"/>
      <c r="G338" s="4"/>
      <c r="H338" s="4"/>
      <c r="I338" s="4"/>
    </row>
    <row r="339" spans="1:9" x14ac:dyDescent="0.25">
      <c r="A339" s="4"/>
      <c r="B339" s="4"/>
      <c r="C339" s="4"/>
      <c r="D339" s="4"/>
      <c r="E339" s="4"/>
      <c r="F339" s="4"/>
      <c r="G339" s="4"/>
      <c r="H339" s="4"/>
      <c r="I339" s="4"/>
    </row>
    <row r="340" spans="1:9" x14ac:dyDescent="0.25">
      <c r="A340" s="4"/>
      <c r="B340" s="4"/>
      <c r="C340" s="4"/>
      <c r="D340" s="4"/>
      <c r="E340" s="4"/>
      <c r="F340" s="4"/>
      <c r="G340" s="4"/>
      <c r="H340" s="4"/>
      <c r="I340" s="4"/>
    </row>
    <row r="341" spans="1:9" x14ac:dyDescent="0.25">
      <c r="A341" s="4"/>
      <c r="B341" s="4"/>
      <c r="C341" s="4"/>
      <c r="D341" s="4"/>
      <c r="E341" s="4"/>
      <c r="F341" s="4"/>
      <c r="G341" s="4"/>
      <c r="H341" s="4"/>
      <c r="I341" s="4"/>
    </row>
    <row r="342" spans="1:9" x14ac:dyDescent="0.25">
      <c r="A342" s="4"/>
      <c r="B342" s="4"/>
      <c r="C342" s="4"/>
      <c r="D342" s="4"/>
      <c r="E342" s="4"/>
      <c r="F342" s="4"/>
      <c r="G342" s="4"/>
      <c r="H342" s="4"/>
      <c r="I342" s="4"/>
    </row>
    <row r="343" spans="1:9" x14ac:dyDescent="0.25">
      <c r="A343" s="4"/>
      <c r="B343" s="4"/>
      <c r="C343" s="4"/>
      <c r="D343" s="4"/>
      <c r="E343" s="4"/>
      <c r="F343" s="4"/>
      <c r="G343" s="4"/>
      <c r="H343" s="4"/>
      <c r="I343" s="4"/>
    </row>
    <row r="344" spans="1:9" x14ac:dyDescent="0.25">
      <c r="A344" s="4"/>
      <c r="B344" s="4"/>
      <c r="C344" s="4"/>
      <c r="D344" s="4"/>
      <c r="E344" s="4"/>
      <c r="F344" s="4"/>
      <c r="G344" s="4"/>
      <c r="H344" s="4"/>
      <c r="I344" s="4"/>
    </row>
    <row r="345" spans="1:9" x14ac:dyDescent="0.25">
      <c r="A345" s="4"/>
      <c r="B345" s="4"/>
      <c r="C345" s="4"/>
      <c r="D345" s="4"/>
      <c r="E345" s="4"/>
      <c r="F345" s="4"/>
      <c r="G345" s="4"/>
      <c r="H345" s="4"/>
      <c r="I345" s="4"/>
    </row>
    <row r="346" spans="1:9" x14ac:dyDescent="0.25">
      <c r="A346" s="4"/>
      <c r="B346" s="4"/>
      <c r="C346" s="4"/>
      <c r="D346" s="4"/>
      <c r="E346" s="4"/>
      <c r="F346" s="4"/>
      <c r="G346" s="4"/>
      <c r="H346" s="4"/>
      <c r="I346" s="4"/>
    </row>
    <row r="347" spans="1:9" x14ac:dyDescent="0.25">
      <c r="A347" s="4"/>
      <c r="B347" s="4"/>
      <c r="C347" s="4"/>
      <c r="D347" s="4"/>
      <c r="E347" s="4"/>
      <c r="F347" s="4"/>
      <c r="G347" s="4"/>
      <c r="H347" s="4"/>
      <c r="I347" s="4"/>
    </row>
    <row r="348" spans="1:9" x14ac:dyDescent="0.25">
      <c r="A348" s="4"/>
      <c r="B348" s="4"/>
      <c r="C348" s="4"/>
      <c r="D348" s="4"/>
      <c r="E348" s="4"/>
      <c r="F348" s="4"/>
      <c r="G348" s="4"/>
      <c r="H348" s="4"/>
      <c r="I348" s="4"/>
    </row>
    <row r="349" spans="1:9" x14ac:dyDescent="0.25">
      <c r="A349" s="4"/>
      <c r="B349" s="4"/>
      <c r="C349" s="4"/>
      <c r="D349" s="4"/>
      <c r="E349" s="4"/>
      <c r="F349" s="4"/>
      <c r="G349" s="4"/>
      <c r="H349" s="4"/>
      <c r="I349" s="4"/>
    </row>
    <row r="350" spans="1:9" x14ac:dyDescent="0.25">
      <c r="A350" s="4"/>
      <c r="B350" s="4"/>
      <c r="C350" s="4"/>
      <c r="D350" s="4"/>
      <c r="E350" s="4"/>
      <c r="F350" s="4"/>
      <c r="G350" s="4"/>
      <c r="H350" s="4"/>
      <c r="I350" s="4"/>
    </row>
    <row r="351" spans="1:9" x14ac:dyDescent="0.25">
      <c r="A351" s="4"/>
      <c r="B351" s="4"/>
      <c r="C351" s="4"/>
      <c r="D351" s="4"/>
      <c r="E351" s="4"/>
      <c r="F351" s="4"/>
      <c r="G351" s="4"/>
      <c r="H351" s="4"/>
      <c r="I351" s="4"/>
    </row>
    <row r="352" spans="1:9" x14ac:dyDescent="0.25">
      <c r="A352" s="4"/>
      <c r="B352" s="4"/>
      <c r="C352" s="4"/>
      <c r="D352" s="4"/>
      <c r="E352" s="4"/>
      <c r="F352" s="4"/>
      <c r="G352" s="4"/>
      <c r="H352" s="4"/>
      <c r="I352" s="4"/>
    </row>
    <row r="353" spans="1:9" x14ac:dyDescent="0.25">
      <c r="A353" s="4"/>
      <c r="B353" s="4"/>
      <c r="C353" s="4"/>
      <c r="D353" s="4"/>
      <c r="E353" s="4"/>
      <c r="F353" s="4"/>
      <c r="G353" s="4"/>
      <c r="H353" s="4"/>
      <c r="I353" s="4"/>
    </row>
    <row r="354" spans="1:9" x14ac:dyDescent="0.25">
      <c r="A354" s="4"/>
      <c r="B354" s="4"/>
      <c r="C354" s="4"/>
      <c r="D354" s="4"/>
      <c r="E354" s="4"/>
      <c r="F354" s="4"/>
      <c r="G354" s="4"/>
      <c r="H354" s="4"/>
      <c r="I354" s="4"/>
    </row>
    <row r="355" spans="1:9" x14ac:dyDescent="0.25">
      <c r="A355" s="4"/>
      <c r="B355" s="4"/>
      <c r="C355" s="4"/>
      <c r="D355" s="4"/>
      <c r="E355" s="4"/>
      <c r="F355" s="4"/>
      <c r="G355" s="4"/>
      <c r="H355" s="4"/>
      <c r="I355" s="4"/>
    </row>
    <row r="356" spans="1:9" x14ac:dyDescent="0.25">
      <c r="A356" s="4"/>
      <c r="B356" s="4"/>
      <c r="C356" s="4"/>
      <c r="D356" s="4"/>
      <c r="E356" s="4"/>
      <c r="F356" s="4"/>
      <c r="G356" s="4"/>
      <c r="H356" s="4"/>
      <c r="I356" s="4"/>
    </row>
    <row r="357" spans="1:9" x14ac:dyDescent="0.25">
      <c r="A357" s="4"/>
      <c r="B357" s="4"/>
      <c r="C357" s="4"/>
      <c r="D357" s="4"/>
      <c r="E357" s="4"/>
      <c r="F357" s="4"/>
      <c r="G357" s="4"/>
      <c r="H357" s="4"/>
      <c r="I357" s="4"/>
    </row>
    <row r="358" spans="1:9" x14ac:dyDescent="0.25">
      <c r="A358" s="4"/>
      <c r="B358" s="4"/>
      <c r="C358" s="4"/>
      <c r="D358" s="4"/>
      <c r="E358" s="4"/>
      <c r="F358" s="4"/>
      <c r="G358" s="4"/>
      <c r="H358" s="4"/>
      <c r="I358" s="4"/>
    </row>
    <row r="359" spans="1:9" x14ac:dyDescent="0.25">
      <c r="A359" s="4"/>
      <c r="B359" s="4"/>
      <c r="C359" s="4"/>
      <c r="D359" s="4"/>
      <c r="E359" s="4"/>
      <c r="F359" s="4"/>
      <c r="G359" s="4"/>
      <c r="H359" s="4"/>
      <c r="I359" s="4"/>
    </row>
    <row r="360" spans="1:9" x14ac:dyDescent="0.25">
      <c r="A360" s="4"/>
      <c r="B360" s="4"/>
      <c r="C360" s="4"/>
      <c r="D360" s="4"/>
      <c r="E360" s="4"/>
      <c r="F360" s="4"/>
      <c r="G360" s="4"/>
      <c r="H360" s="4"/>
      <c r="I360" s="4"/>
    </row>
    <row r="361" spans="1:9" x14ac:dyDescent="0.25">
      <c r="A361" s="4"/>
      <c r="B361" s="4"/>
      <c r="C361" s="4"/>
      <c r="D361" s="4"/>
      <c r="E361" s="4"/>
      <c r="F361" s="4"/>
      <c r="G361" s="4"/>
      <c r="H361" s="4"/>
      <c r="I361" s="4"/>
    </row>
    <row r="362" spans="1:9" x14ac:dyDescent="0.25">
      <c r="A362" s="4"/>
      <c r="B362" s="4"/>
      <c r="C362" s="4"/>
      <c r="D362" s="4"/>
      <c r="E362" s="4"/>
      <c r="F362" s="4"/>
      <c r="G362" s="4"/>
      <c r="H362" s="4"/>
      <c r="I362" s="4"/>
    </row>
    <row r="363" spans="1:9" x14ac:dyDescent="0.25">
      <c r="A363" s="4"/>
      <c r="B363" s="4"/>
      <c r="C363" s="4"/>
      <c r="D363" s="4"/>
      <c r="E363" s="4"/>
      <c r="F363" s="4"/>
      <c r="G363" s="4"/>
      <c r="H363" s="4"/>
      <c r="I363" s="4"/>
    </row>
    <row r="364" spans="1:9" x14ac:dyDescent="0.25">
      <c r="A364" s="4"/>
      <c r="B364" s="4"/>
      <c r="C364" s="4"/>
      <c r="D364" s="4"/>
      <c r="E364" s="4"/>
      <c r="F364" s="4"/>
      <c r="G364" s="4"/>
      <c r="H364" s="4"/>
      <c r="I364" s="4"/>
    </row>
    <row r="365" spans="1:9" x14ac:dyDescent="0.25">
      <c r="A365" s="4"/>
      <c r="B365" s="4"/>
      <c r="C365" s="4"/>
      <c r="D365" s="4"/>
      <c r="E365" s="4"/>
      <c r="F365" s="4"/>
      <c r="G365" s="4"/>
      <c r="H365" s="4"/>
      <c r="I365" s="4"/>
    </row>
    <row r="366" spans="1:9" x14ac:dyDescent="0.25">
      <c r="A366" s="4"/>
      <c r="B366" s="4"/>
      <c r="C366" s="4"/>
      <c r="D366" s="4"/>
      <c r="E366" s="4"/>
      <c r="F366" s="4"/>
      <c r="G366" s="4"/>
      <c r="H366" s="4"/>
      <c r="I366" s="4"/>
    </row>
    <row r="367" spans="1:9" x14ac:dyDescent="0.25">
      <c r="A367" s="4"/>
      <c r="B367" s="4"/>
      <c r="C367" s="4"/>
      <c r="D367" s="4"/>
      <c r="E367" s="4"/>
      <c r="F367" s="4"/>
      <c r="G367" s="4"/>
      <c r="H367" s="4"/>
      <c r="I367" s="4"/>
    </row>
    <row r="368" spans="1:9" x14ac:dyDescent="0.25">
      <c r="A368" s="4"/>
      <c r="B368" s="4"/>
      <c r="C368" s="4"/>
      <c r="D368" s="4"/>
      <c r="E368" s="4"/>
      <c r="F368" s="4"/>
      <c r="G368" s="4"/>
      <c r="H368" s="4"/>
      <c r="I368" s="4"/>
    </row>
    <row r="369" spans="1:9" x14ac:dyDescent="0.25">
      <c r="A369" s="4"/>
      <c r="B369" s="4"/>
      <c r="C369" s="4"/>
      <c r="D369" s="4"/>
      <c r="E369" s="4"/>
      <c r="F369" s="4"/>
      <c r="G369" s="4"/>
      <c r="H369" s="4"/>
      <c r="I369" s="4"/>
    </row>
    <row r="370" spans="1:9" x14ac:dyDescent="0.25">
      <c r="A370" s="4"/>
      <c r="B370" s="4"/>
      <c r="C370" s="4"/>
      <c r="D370" s="4"/>
      <c r="E370" s="4"/>
      <c r="F370" s="4"/>
      <c r="G370" s="4"/>
      <c r="H370" s="4"/>
      <c r="I370" s="4"/>
    </row>
    <row r="371" spans="1:9" x14ac:dyDescent="0.25">
      <c r="A371" s="4"/>
      <c r="B371" s="4"/>
      <c r="C371" s="4"/>
      <c r="D371" s="4"/>
      <c r="E371" s="4"/>
      <c r="F371" s="4"/>
      <c r="G371" s="4"/>
      <c r="H371" s="4"/>
      <c r="I371" s="4"/>
    </row>
    <row r="372" spans="1:9" x14ac:dyDescent="0.25">
      <c r="A372" s="4"/>
      <c r="B372" s="4"/>
      <c r="C372" s="4"/>
      <c r="D372" s="4"/>
      <c r="E372" s="4"/>
      <c r="F372" s="4"/>
      <c r="G372" s="4"/>
      <c r="H372" s="4"/>
      <c r="I372" s="4"/>
    </row>
    <row r="373" spans="1:9" x14ac:dyDescent="0.25">
      <c r="A373" s="4"/>
      <c r="B373" s="4"/>
      <c r="C373" s="4"/>
      <c r="D373" s="4"/>
      <c r="E373" s="4"/>
      <c r="F373" s="4"/>
      <c r="G373" s="4"/>
      <c r="H373" s="4"/>
      <c r="I373" s="4"/>
    </row>
    <row r="374" spans="1:9" x14ac:dyDescent="0.25">
      <c r="A374" s="4"/>
      <c r="B374" s="4"/>
      <c r="C374" s="4"/>
      <c r="D374" s="4"/>
      <c r="E374" s="4"/>
      <c r="F374" s="4"/>
      <c r="G374" s="4"/>
      <c r="H374" s="4"/>
      <c r="I374" s="4"/>
    </row>
    <row r="375" spans="1:9" x14ac:dyDescent="0.25">
      <c r="A375" s="4"/>
      <c r="B375" s="4"/>
      <c r="C375" s="4"/>
      <c r="D375" s="4"/>
      <c r="E375" s="4"/>
      <c r="F375" s="4"/>
      <c r="G375" s="4"/>
      <c r="H375" s="4"/>
      <c r="I375" s="4"/>
    </row>
    <row r="376" spans="1:9" x14ac:dyDescent="0.25">
      <c r="A376" s="4"/>
      <c r="B376" s="4"/>
      <c r="C376" s="4"/>
      <c r="D376" s="4"/>
      <c r="E376" s="4"/>
      <c r="F376" s="4"/>
      <c r="G376" s="4"/>
      <c r="H376" s="4"/>
      <c r="I376" s="4"/>
    </row>
    <row r="377" spans="1:9" x14ac:dyDescent="0.25">
      <c r="A377" s="4"/>
      <c r="B377" s="4"/>
      <c r="C377" s="4"/>
      <c r="D377" s="4"/>
      <c r="E377" s="4"/>
      <c r="F377" s="4"/>
      <c r="G377" s="4"/>
      <c r="H377" s="4"/>
      <c r="I377" s="4"/>
    </row>
    <row r="378" spans="1:9" x14ac:dyDescent="0.25">
      <c r="A378" s="4"/>
      <c r="B378" s="4"/>
      <c r="C378" s="4"/>
      <c r="D378" s="4"/>
      <c r="E378" s="4"/>
      <c r="F378" s="4"/>
      <c r="G378" s="4"/>
      <c r="H378" s="4"/>
      <c r="I378" s="4"/>
    </row>
    <row r="379" spans="1:9" x14ac:dyDescent="0.25">
      <c r="A379" s="4"/>
      <c r="B379" s="4"/>
      <c r="C379" s="4"/>
      <c r="D379" s="4"/>
      <c r="E379" s="4"/>
      <c r="F379" s="4"/>
      <c r="G379" s="4"/>
      <c r="H379" s="4"/>
      <c r="I379" s="4"/>
    </row>
    <row r="380" spans="1:9" x14ac:dyDescent="0.25">
      <c r="A380" s="4"/>
      <c r="B380" s="4"/>
      <c r="C380" s="4"/>
      <c r="D380" s="4"/>
      <c r="E380" s="4"/>
      <c r="F380" s="4"/>
      <c r="G380" s="4"/>
      <c r="H380" s="4"/>
      <c r="I380" s="4"/>
    </row>
    <row r="381" spans="1:9" x14ac:dyDescent="0.25">
      <c r="A381" s="4"/>
      <c r="B381" s="4"/>
      <c r="C381" s="4"/>
      <c r="D381" s="4"/>
      <c r="E381" s="4"/>
      <c r="F381" s="4"/>
      <c r="G381" s="4"/>
      <c r="H381" s="4"/>
      <c r="I381" s="4"/>
    </row>
    <row r="382" spans="1:9" x14ac:dyDescent="0.25">
      <c r="A382" s="4"/>
      <c r="B382" s="4"/>
      <c r="C382" s="4"/>
      <c r="D382" s="4"/>
      <c r="E382" s="4"/>
      <c r="F382" s="4"/>
      <c r="G382" s="4"/>
      <c r="H382" s="4"/>
      <c r="I382" s="4"/>
    </row>
    <row r="383" spans="1:9" x14ac:dyDescent="0.25">
      <c r="A383" s="4"/>
      <c r="B383" s="4"/>
      <c r="C383" s="4"/>
      <c r="D383" s="4"/>
      <c r="E383" s="4"/>
      <c r="F383" s="4"/>
      <c r="G383" s="4"/>
      <c r="H383" s="4"/>
      <c r="I383" s="4"/>
    </row>
    <row r="384" spans="1:9" x14ac:dyDescent="0.25">
      <c r="A384" s="4"/>
      <c r="B384" s="4"/>
      <c r="C384" s="4"/>
      <c r="D384" s="4"/>
      <c r="E384" s="4"/>
      <c r="F384" s="4"/>
      <c r="G384" s="4"/>
      <c r="H384" s="4"/>
      <c r="I384" s="4"/>
    </row>
    <row r="385" spans="1:9" x14ac:dyDescent="0.25">
      <c r="A385" s="4"/>
      <c r="B385" s="4"/>
      <c r="C385" s="4"/>
      <c r="D385" s="4"/>
      <c r="E385" s="4"/>
      <c r="F385" s="4"/>
      <c r="G385" s="4"/>
      <c r="H385" s="4"/>
      <c r="I385" s="4"/>
    </row>
    <row r="386" spans="1:9" x14ac:dyDescent="0.25">
      <c r="A386" s="4"/>
      <c r="B386" s="4"/>
      <c r="C386" s="4"/>
      <c r="D386" s="4"/>
      <c r="E386" s="4"/>
      <c r="F386" s="4"/>
      <c r="G386" s="4"/>
      <c r="H386" s="4"/>
      <c r="I386" s="4"/>
    </row>
    <row r="387" spans="1:9" x14ac:dyDescent="0.25">
      <c r="A387" s="4"/>
      <c r="B387" s="4"/>
      <c r="C387" s="4"/>
      <c r="D387" s="4"/>
      <c r="E387" s="4"/>
      <c r="F387" s="4"/>
      <c r="G387" s="4"/>
      <c r="H387" s="4"/>
      <c r="I387" s="4"/>
    </row>
    <row r="388" spans="1:9" x14ac:dyDescent="0.25">
      <c r="A388" s="4"/>
      <c r="B388" s="4"/>
      <c r="C388" s="4"/>
      <c r="D388" s="4"/>
      <c r="E388" s="4"/>
      <c r="F388" s="4"/>
      <c r="G388" s="4"/>
      <c r="H388" s="4"/>
      <c r="I388" s="4"/>
    </row>
    <row r="389" spans="1:9" x14ac:dyDescent="0.25">
      <c r="A389" s="4"/>
      <c r="B389" s="4"/>
      <c r="C389" s="4"/>
      <c r="D389" s="4"/>
      <c r="E389" s="4"/>
      <c r="F389" s="4"/>
      <c r="G389" s="4"/>
      <c r="H389" s="4"/>
      <c r="I389" s="4"/>
    </row>
    <row r="390" spans="1:9" x14ac:dyDescent="0.25">
      <c r="A390" s="4"/>
      <c r="B390" s="4"/>
      <c r="C390" s="4"/>
      <c r="D390" s="4"/>
      <c r="E390" s="4"/>
      <c r="F390" s="4"/>
      <c r="G390" s="4"/>
      <c r="H390" s="4"/>
      <c r="I390" s="4"/>
    </row>
    <row r="391" spans="1:9" x14ac:dyDescent="0.25">
      <c r="A391" s="4"/>
      <c r="B391" s="4"/>
      <c r="C391" s="4"/>
      <c r="D391" s="4"/>
      <c r="E391" s="4"/>
      <c r="F391" s="4"/>
      <c r="G391" s="4"/>
      <c r="H391" s="4"/>
      <c r="I391" s="4"/>
    </row>
    <row r="392" spans="1:9" x14ac:dyDescent="0.25">
      <c r="A392" s="4"/>
      <c r="B392" s="4"/>
      <c r="C392" s="4"/>
      <c r="D392" s="4"/>
      <c r="E392" s="4"/>
      <c r="F392" s="4"/>
      <c r="G392" s="4"/>
      <c r="H392" s="4"/>
      <c r="I392" s="4"/>
    </row>
    <row r="393" spans="1:9" x14ac:dyDescent="0.25">
      <c r="A393" s="4"/>
      <c r="B393" s="4"/>
      <c r="C393" s="4"/>
      <c r="D393" s="4"/>
      <c r="E393" s="4"/>
      <c r="F393" s="4"/>
      <c r="G393" s="4"/>
      <c r="H393" s="4"/>
      <c r="I393" s="4"/>
    </row>
    <row r="394" spans="1:9" x14ac:dyDescent="0.25">
      <c r="A394" s="4"/>
      <c r="B394" s="4"/>
      <c r="C394" s="4"/>
      <c r="D394" s="4"/>
      <c r="E394" s="4"/>
      <c r="F394" s="4"/>
      <c r="G394" s="4"/>
      <c r="H394" s="4"/>
      <c r="I394" s="4"/>
    </row>
    <row r="395" spans="1:9" x14ac:dyDescent="0.25">
      <c r="A395" s="4"/>
      <c r="B395" s="4"/>
      <c r="C395" s="4"/>
      <c r="D395" s="4"/>
      <c r="E395" s="4"/>
      <c r="F395" s="4"/>
      <c r="G395" s="4"/>
      <c r="H395" s="4"/>
      <c r="I395" s="4"/>
    </row>
    <row r="396" spans="1:9" x14ac:dyDescent="0.25">
      <c r="A396" s="4"/>
      <c r="B396" s="4"/>
      <c r="C396" s="4"/>
      <c r="D396" s="4"/>
      <c r="E396" s="4"/>
      <c r="F396" s="4"/>
      <c r="G396" s="4"/>
      <c r="H396" s="4"/>
      <c r="I396" s="4"/>
    </row>
    <row r="397" spans="1:9" x14ac:dyDescent="0.25">
      <c r="A397" s="4"/>
      <c r="B397" s="4"/>
      <c r="C397" s="4"/>
      <c r="D397" s="4"/>
      <c r="E397" s="4"/>
      <c r="F397" s="4"/>
      <c r="G397" s="4"/>
      <c r="H397" s="4"/>
      <c r="I397" s="4"/>
    </row>
    <row r="398" spans="1:9" x14ac:dyDescent="0.25">
      <c r="A398" s="4"/>
      <c r="B398" s="4"/>
      <c r="C398" s="4"/>
      <c r="D398" s="4"/>
      <c r="E398" s="4"/>
      <c r="F398" s="4"/>
      <c r="G398" s="4"/>
      <c r="H398" s="4"/>
      <c r="I398" s="4"/>
    </row>
    <row r="399" spans="1:9" x14ac:dyDescent="0.25">
      <c r="A399" s="4"/>
      <c r="B399" s="4"/>
      <c r="C399" s="4"/>
      <c r="D399" s="4"/>
      <c r="E399" s="4"/>
      <c r="F399" s="4"/>
      <c r="G399" s="4"/>
      <c r="H399" s="4"/>
      <c r="I399" s="4"/>
    </row>
    <row r="400" spans="1:9" x14ac:dyDescent="0.25">
      <c r="A400" s="4"/>
      <c r="B400" s="4"/>
      <c r="C400" s="4"/>
      <c r="D400" s="4"/>
      <c r="E400" s="4"/>
      <c r="F400" s="4"/>
      <c r="G400" s="4"/>
      <c r="H400" s="4"/>
      <c r="I400" s="4"/>
    </row>
    <row r="401" spans="1:9" x14ac:dyDescent="0.25">
      <c r="A401" s="4"/>
      <c r="B401" s="4"/>
      <c r="C401" s="4"/>
      <c r="D401" s="4"/>
      <c r="E401" s="4"/>
      <c r="F401" s="4"/>
      <c r="G401" s="4"/>
      <c r="H401" s="4"/>
      <c r="I401" s="4"/>
    </row>
    <row r="402" spans="1:9" x14ac:dyDescent="0.25">
      <c r="A402" s="4"/>
      <c r="B402" s="4"/>
      <c r="C402" s="4"/>
      <c r="D402" s="4"/>
      <c r="E402" s="4"/>
      <c r="F402" s="4"/>
      <c r="G402" s="4"/>
      <c r="H402" s="4"/>
      <c r="I402" s="4"/>
    </row>
    <row r="403" spans="1:9" x14ac:dyDescent="0.25">
      <c r="A403" s="4"/>
      <c r="B403" s="4"/>
      <c r="C403" s="4"/>
      <c r="D403" s="4"/>
      <c r="E403" s="4"/>
      <c r="F403" s="4"/>
      <c r="G403" s="4"/>
      <c r="H403" s="4"/>
      <c r="I403" s="4"/>
    </row>
    <row r="404" spans="1:9" x14ac:dyDescent="0.25">
      <c r="A404" s="4"/>
      <c r="B404" s="4"/>
      <c r="C404" s="4"/>
      <c r="D404" s="4"/>
      <c r="E404" s="4"/>
      <c r="F404" s="4"/>
      <c r="G404" s="4"/>
      <c r="H404" s="4"/>
      <c r="I404" s="4"/>
    </row>
    <row r="405" spans="1:9" x14ac:dyDescent="0.25">
      <c r="A405" s="4"/>
      <c r="B405" s="4"/>
      <c r="C405" s="4"/>
      <c r="D405" s="4"/>
      <c r="E405" s="4"/>
      <c r="F405" s="4"/>
      <c r="G405" s="4"/>
      <c r="H405" s="4"/>
      <c r="I405" s="4"/>
    </row>
    <row r="406" spans="1:9" x14ac:dyDescent="0.25">
      <c r="A406" s="4"/>
      <c r="B406" s="4"/>
      <c r="C406" s="4"/>
      <c r="D406" s="4"/>
      <c r="E406" s="4"/>
      <c r="F406" s="4"/>
      <c r="G406" s="4"/>
      <c r="H406" s="4"/>
      <c r="I406" s="4"/>
    </row>
    <row r="407" spans="1:9" x14ac:dyDescent="0.25">
      <c r="A407" s="4"/>
      <c r="B407" s="4"/>
      <c r="C407" s="4"/>
      <c r="D407" s="4"/>
      <c r="E407" s="4"/>
      <c r="F407" s="4"/>
      <c r="G407" s="4"/>
      <c r="H407" s="4"/>
      <c r="I407" s="4"/>
    </row>
    <row r="408" spans="1:9" x14ac:dyDescent="0.25">
      <c r="A408" s="4"/>
      <c r="B408" s="4"/>
      <c r="C408" s="4"/>
      <c r="D408" s="4"/>
      <c r="E408" s="4"/>
      <c r="F408" s="4"/>
      <c r="G408" s="4"/>
      <c r="H408" s="4"/>
      <c r="I408" s="4"/>
    </row>
    <row r="409" spans="1:9" x14ac:dyDescent="0.25">
      <c r="A409" s="4"/>
      <c r="B409" s="4"/>
      <c r="C409" s="4"/>
      <c r="D409" s="4"/>
      <c r="E409" s="4"/>
      <c r="F409" s="4"/>
      <c r="G409" s="4"/>
      <c r="H409" s="4"/>
      <c r="I409" s="4"/>
    </row>
    <row r="410" spans="1:9" x14ac:dyDescent="0.25">
      <c r="A410" s="4"/>
      <c r="B410" s="4"/>
      <c r="C410" s="4"/>
      <c r="D410" s="4"/>
      <c r="E410" s="4"/>
      <c r="F410" s="4"/>
      <c r="G410" s="4"/>
      <c r="H410" s="4"/>
      <c r="I410" s="4"/>
    </row>
    <row r="411" spans="1:9" x14ac:dyDescent="0.25">
      <c r="A411" s="4"/>
      <c r="B411" s="4"/>
      <c r="C411" s="4"/>
      <c r="D411" s="4"/>
      <c r="E411" s="4"/>
      <c r="F411" s="4"/>
      <c r="G411" s="4"/>
      <c r="H411" s="4"/>
      <c r="I411" s="4"/>
    </row>
    <row r="412" spans="1:9" x14ac:dyDescent="0.25">
      <c r="A412" s="4"/>
      <c r="B412" s="4"/>
      <c r="C412" s="4"/>
      <c r="D412" s="4"/>
      <c r="E412" s="4"/>
      <c r="F412" s="4"/>
      <c r="G412" s="4"/>
      <c r="H412" s="4"/>
      <c r="I412" s="4"/>
    </row>
    <row r="413" spans="1:9" x14ac:dyDescent="0.25">
      <c r="A413" s="4"/>
      <c r="B413" s="4"/>
      <c r="C413" s="4"/>
      <c r="D413" s="4"/>
      <c r="E413" s="4"/>
      <c r="F413" s="4"/>
      <c r="G413" s="4"/>
      <c r="H413" s="4"/>
      <c r="I413" s="4"/>
    </row>
    <row r="414" spans="1:9" x14ac:dyDescent="0.25">
      <c r="A414" s="4"/>
      <c r="B414" s="4"/>
      <c r="C414" s="4"/>
      <c r="D414" s="4"/>
      <c r="E414" s="4"/>
      <c r="F414" s="4"/>
      <c r="G414" s="4"/>
      <c r="H414" s="4"/>
      <c r="I414" s="4"/>
    </row>
    <row r="415" spans="1:9" x14ac:dyDescent="0.25">
      <c r="A415" s="4"/>
      <c r="B415" s="4"/>
      <c r="C415" s="4"/>
      <c r="D415" s="4"/>
      <c r="E415" s="4"/>
      <c r="F415" s="4"/>
      <c r="G415" s="4"/>
      <c r="H415" s="4"/>
      <c r="I415" s="4"/>
    </row>
    <row r="416" spans="1:9" x14ac:dyDescent="0.25">
      <c r="A416" s="4"/>
      <c r="B416" s="4"/>
      <c r="C416" s="4"/>
      <c r="D416" s="4"/>
      <c r="E416" s="4"/>
      <c r="F416" s="4"/>
      <c r="G416" s="4"/>
      <c r="H416" s="4"/>
      <c r="I416" s="4"/>
    </row>
    <row r="417" spans="1:9" x14ac:dyDescent="0.25">
      <c r="A417" s="4"/>
      <c r="B417" s="4"/>
      <c r="C417" s="4"/>
      <c r="D417" s="4"/>
      <c r="E417" s="4"/>
      <c r="F417" s="4"/>
      <c r="G417" s="4"/>
      <c r="H417" s="4"/>
      <c r="I417" s="4"/>
    </row>
    <row r="418" spans="1:9" x14ac:dyDescent="0.25">
      <c r="A418" s="4"/>
      <c r="B418" s="4"/>
      <c r="C418" s="4"/>
      <c r="D418" s="4"/>
      <c r="E418" s="4"/>
      <c r="F418" s="4"/>
      <c r="G418" s="4"/>
      <c r="H418" s="4"/>
      <c r="I418" s="4"/>
    </row>
    <row r="419" spans="1:9" x14ac:dyDescent="0.25">
      <c r="A419" s="4"/>
      <c r="B419" s="4"/>
      <c r="C419" s="4"/>
      <c r="D419" s="4"/>
      <c r="E419" s="4"/>
      <c r="F419" s="4"/>
      <c r="G419" s="4"/>
      <c r="H419" s="4"/>
      <c r="I419" s="4"/>
    </row>
    <row r="420" spans="1:9" x14ac:dyDescent="0.25">
      <c r="A420" s="4"/>
      <c r="B420" s="4"/>
      <c r="C420" s="4"/>
      <c r="D420" s="4"/>
      <c r="E420" s="4"/>
      <c r="F420" s="4"/>
      <c r="G420" s="4"/>
      <c r="H420" s="4"/>
      <c r="I420" s="4"/>
    </row>
    <row r="421" spans="1:9" x14ac:dyDescent="0.25">
      <c r="A421" s="4"/>
      <c r="B421" s="4"/>
      <c r="C421" s="4"/>
      <c r="D421" s="4"/>
      <c r="E421" s="4"/>
      <c r="F421" s="4"/>
      <c r="G421" s="4"/>
      <c r="H421" s="4"/>
      <c r="I421" s="4"/>
    </row>
    <row r="422" spans="1:9" x14ac:dyDescent="0.25">
      <c r="A422" s="4"/>
      <c r="B422" s="4"/>
      <c r="C422" s="4"/>
      <c r="D422" s="4"/>
      <c r="E422" s="4"/>
      <c r="F422" s="4"/>
      <c r="G422" s="4"/>
      <c r="H422" s="4"/>
      <c r="I422" s="4"/>
    </row>
    <row r="423" spans="1:9" x14ac:dyDescent="0.25">
      <c r="A423" s="4"/>
      <c r="B423" s="4"/>
      <c r="C423" s="4"/>
      <c r="D423" s="4"/>
      <c r="E423" s="4"/>
      <c r="F423" s="4"/>
      <c r="G423" s="4"/>
      <c r="H423" s="4"/>
      <c r="I423" s="4"/>
    </row>
    <row r="424" spans="1:9" x14ac:dyDescent="0.25">
      <c r="A424" s="4"/>
      <c r="B424" s="4"/>
      <c r="C424" s="4"/>
      <c r="D424" s="4"/>
      <c r="E424" s="4"/>
      <c r="F424" s="4"/>
      <c r="G424" s="4"/>
      <c r="H424" s="4"/>
      <c r="I424" s="4"/>
    </row>
    <row r="425" spans="1:9" x14ac:dyDescent="0.25">
      <c r="A425" s="4"/>
      <c r="B425" s="4"/>
      <c r="C425" s="4"/>
      <c r="D425" s="4"/>
      <c r="E425" s="4"/>
      <c r="F425" s="4"/>
      <c r="G425" s="4"/>
      <c r="H425" s="4"/>
      <c r="I425" s="4"/>
    </row>
    <row r="426" spans="1:9" x14ac:dyDescent="0.25">
      <c r="A426" s="4"/>
      <c r="B426" s="4"/>
      <c r="C426" s="4"/>
      <c r="D426" s="4"/>
      <c r="E426" s="4"/>
      <c r="F426" s="4"/>
      <c r="G426" s="4"/>
      <c r="H426" s="4"/>
      <c r="I426" s="4"/>
    </row>
    <row r="427" spans="1:9" x14ac:dyDescent="0.25">
      <c r="A427" s="4"/>
      <c r="B427" s="4"/>
      <c r="C427" s="4"/>
      <c r="D427" s="4"/>
      <c r="E427" s="4"/>
      <c r="F427" s="4"/>
      <c r="G427" s="4"/>
      <c r="H427" s="4"/>
      <c r="I427" s="4"/>
    </row>
    <row r="428" spans="1:9" x14ac:dyDescent="0.25">
      <c r="A428" s="4"/>
      <c r="B428" s="4"/>
      <c r="C428" s="4"/>
      <c r="D428" s="4"/>
      <c r="E428" s="4"/>
      <c r="F428" s="4"/>
      <c r="G428" s="4"/>
      <c r="H428" s="4"/>
      <c r="I428" s="4"/>
    </row>
    <row r="429" spans="1:9" x14ac:dyDescent="0.25">
      <c r="A429" s="4"/>
      <c r="B429" s="4"/>
      <c r="C429" s="4"/>
      <c r="D429" s="4"/>
      <c r="E429" s="4"/>
      <c r="F429" s="4"/>
      <c r="G429" s="4"/>
      <c r="H429" s="4"/>
      <c r="I429" s="4"/>
    </row>
    <row r="430" spans="1:9" x14ac:dyDescent="0.25">
      <c r="A430" s="4"/>
      <c r="B430" s="4"/>
      <c r="C430" s="4"/>
      <c r="D430" s="4"/>
      <c r="E430" s="4"/>
      <c r="F430" s="4"/>
      <c r="G430" s="4"/>
      <c r="H430" s="4"/>
      <c r="I430" s="4"/>
    </row>
    <row r="431" spans="1:9" x14ac:dyDescent="0.25">
      <c r="A431" s="4"/>
      <c r="B431" s="4"/>
      <c r="C431" s="4"/>
      <c r="D431" s="4"/>
      <c r="E431" s="4"/>
      <c r="F431" s="4"/>
      <c r="G431" s="4"/>
      <c r="H431" s="4"/>
      <c r="I431" s="4"/>
    </row>
    <row r="432" spans="1:9" x14ac:dyDescent="0.25">
      <c r="A432" s="4"/>
      <c r="B432" s="4"/>
      <c r="C432" s="4"/>
      <c r="D432" s="4"/>
      <c r="E432" s="4"/>
      <c r="F432" s="4"/>
      <c r="G432" s="4"/>
      <c r="H432" s="4"/>
      <c r="I432" s="4"/>
    </row>
    <row r="433" spans="1:9" x14ac:dyDescent="0.25">
      <c r="A433" s="4"/>
      <c r="B433" s="4"/>
      <c r="C433" s="4"/>
      <c r="D433" s="4"/>
      <c r="E433" s="4"/>
      <c r="F433" s="4"/>
      <c r="G433" s="4"/>
      <c r="H433" s="4"/>
      <c r="I433" s="4"/>
    </row>
    <row r="434" spans="1:9" x14ac:dyDescent="0.25">
      <c r="A434" s="4"/>
      <c r="B434" s="4"/>
      <c r="C434" s="4"/>
      <c r="D434" s="4"/>
      <c r="E434" s="4"/>
      <c r="F434" s="4"/>
      <c r="G434" s="4"/>
      <c r="H434" s="4"/>
      <c r="I434" s="4"/>
    </row>
    <row r="435" spans="1:9" x14ac:dyDescent="0.25">
      <c r="A435" s="4"/>
      <c r="B435" s="4"/>
      <c r="C435" s="4"/>
      <c r="D435" s="4"/>
      <c r="E435" s="4"/>
      <c r="F435" s="4"/>
      <c r="G435" s="4"/>
      <c r="H435" s="4"/>
      <c r="I435" s="4"/>
    </row>
    <row r="436" spans="1:9" x14ac:dyDescent="0.25">
      <c r="A436" s="4"/>
      <c r="B436" s="4"/>
      <c r="C436" s="4"/>
      <c r="D436" s="4"/>
      <c r="E436" s="4"/>
      <c r="F436" s="4"/>
      <c r="G436" s="4"/>
      <c r="H436" s="4"/>
      <c r="I436" s="4"/>
    </row>
    <row r="437" spans="1:9" x14ac:dyDescent="0.25">
      <c r="A437" s="4"/>
      <c r="B437" s="4"/>
      <c r="C437" s="4"/>
      <c r="D437" s="4"/>
      <c r="E437" s="4"/>
      <c r="F437" s="4"/>
      <c r="G437" s="4"/>
      <c r="H437" s="4"/>
      <c r="I437" s="4"/>
    </row>
    <row r="438" spans="1:9" x14ac:dyDescent="0.25">
      <c r="A438" s="4"/>
      <c r="B438" s="4"/>
      <c r="C438" s="4"/>
      <c r="D438" s="4"/>
      <c r="E438" s="4"/>
      <c r="F438" s="4"/>
      <c r="G438" s="4"/>
      <c r="H438" s="4"/>
      <c r="I438" s="4"/>
    </row>
    <row r="439" spans="1:9" x14ac:dyDescent="0.25">
      <c r="A439" s="4"/>
      <c r="B439" s="4"/>
      <c r="C439" s="4"/>
      <c r="D439" s="4"/>
      <c r="E439" s="4"/>
      <c r="F439" s="4"/>
      <c r="G439" s="4"/>
      <c r="H439" s="4"/>
      <c r="I439" s="4"/>
    </row>
    <row r="440" spans="1:9" x14ac:dyDescent="0.25">
      <c r="A440" s="4"/>
      <c r="B440" s="4"/>
      <c r="C440" s="4"/>
      <c r="D440" s="4"/>
      <c r="E440" s="4"/>
      <c r="F440" s="4"/>
      <c r="G440" s="4"/>
      <c r="H440" s="4"/>
      <c r="I440" s="4"/>
    </row>
    <row r="441" spans="1:9" x14ac:dyDescent="0.25">
      <c r="A441" s="4"/>
      <c r="B441" s="4"/>
      <c r="C441" s="4"/>
      <c r="D441" s="4"/>
      <c r="E441" s="4"/>
      <c r="F441" s="4"/>
      <c r="G441" s="4"/>
      <c r="H441" s="4"/>
      <c r="I441" s="4"/>
    </row>
    <row r="442" spans="1:9" x14ac:dyDescent="0.25">
      <c r="A442" s="4"/>
      <c r="B442" s="4"/>
      <c r="C442" s="4"/>
      <c r="D442" s="4"/>
      <c r="E442" s="4"/>
      <c r="F442" s="4"/>
      <c r="G442" s="4"/>
      <c r="H442" s="4"/>
      <c r="I442" s="4"/>
    </row>
    <row r="443" spans="1:9" x14ac:dyDescent="0.25">
      <c r="A443" s="4"/>
      <c r="B443" s="4"/>
      <c r="C443" s="4"/>
      <c r="D443" s="4"/>
      <c r="E443" s="4"/>
      <c r="F443" s="4"/>
      <c r="G443" s="4"/>
      <c r="H443" s="4"/>
      <c r="I443" s="4"/>
    </row>
    <row r="444" spans="1:9" x14ac:dyDescent="0.25">
      <c r="A444" s="4"/>
      <c r="B444" s="4"/>
      <c r="C444" s="4"/>
      <c r="D444" s="4"/>
      <c r="E444" s="4"/>
      <c r="F444" s="4"/>
      <c r="G444" s="4"/>
      <c r="H444" s="4"/>
      <c r="I444" s="4"/>
    </row>
    <row r="445" spans="1:9" x14ac:dyDescent="0.25">
      <c r="A445" s="4"/>
      <c r="B445" s="4"/>
      <c r="C445" s="4"/>
      <c r="D445" s="4"/>
      <c r="E445" s="4"/>
      <c r="F445" s="4"/>
      <c r="G445" s="4"/>
      <c r="H445" s="4"/>
      <c r="I445" s="4"/>
    </row>
    <row r="446" spans="1:9" x14ac:dyDescent="0.25">
      <c r="A446" s="4"/>
      <c r="B446" s="4"/>
      <c r="C446" s="4"/>
      <c r="D446" s="4"/>
      <c r="E446" s="4"/>
      <c r="F446" s="4"/>
      <c r="G446" s="4"/>
      <c r="H446" s="4"/>
      <c r="I446" s="4"/>
    </row>
    <row r="447" spans="1:9" x14ac:dyDescent="0.25">
      <c r="A447" s="4"/>
      <c r="B447" s="4"/>
      <c r="C447" s="4"/>
      <c r="D447" s="4"/>
      <c r="E447" s="4"/>
      <c r="F447" s="4"/>
      <c r="G447" s="4"/>
      <c r="H447" s="4"/>
      <c r="I447" s="4"/>
    </row>
    <row r="448" spans="1:9" x14ac:dyDescent="0.25">
      <c r="A448" s="4"/>
      <c r="B448" s="4"/>
      <c r="C448" s="4"/>
      <c r="D448" s="4"/>
      <c r="E448" s="4"/>
      <c r="F448" s="4"/>
      <c r="G448" s="4"/>
      <c r="H448" s="4"/>
      <c r="I448" s="4"/>
    </row>
    <row r="449" spans="1:9" x14ac:dyDescent="0.25">
      <c r="A449" s="4"/>
      <c r="B449" s="4"/>
      <c r="C449" s="4"/>
      <c r="D449" s="4"/>
      <c r="E449" s="4"/>
      <c r="F449" s="4"/>
      <c r="G449" s="4"/>
      <c r="H449" s="4"/>
      <c r="I449" s="4"/>
    </row>
    <row r="450" spans="1:9" x14ac:dyDescent="0.25">
      <c r="A450" s="4"/>
      <c r="B450" s="4"/>
      <c r="C450" s="4"/>
      <c r="D450" s="4"/>
      <c r="E450" s="4"/>
      <c r="F450" s="4"/>
      <c r="G450" s="4"/>
      <c r="H450" s="4"/>
      <c r="I450" s="4"/>
    </row>
    <row r="451" spans="1:9" x14ac:dyDescent="0.25">
      <c r="A451" s="4"/>
      <c r="B451" s="4"/>
      <c r="C451" s="4"/>
      <c r="D451" s="4"/>
      <c r="E451" s="4"/>
      <c r="F451" s="4"/>
      <c r="G451" s="4"/>
      <c r="H451" s="4"/>
      <c r="I451" s="4"/>
    </row>
    <row r="452" spans="1:9" x14ac:dyDescent="0.25">
      <c r="A452" s="4"/>
      <c r="B452" s="4"/>
      <c r="C452" s="4"/>
      <c r="D452" s="4"/>
      <c r="E452" s="4"/>
      <c r="F452" s="4"/>
      <c r="G452" s="4"/>
      <c r="H452" s="4"/>
      <c r="I452" s="4"/>
    </row>
    <row r="453" spans="1:9" x14ac:dyDescent="0.25">
      <c r="A453" s="4"/>
      <c r="B453" s="4"/>
      <c r="C453" s="4"/>
      <c r="D453" s="4"/>
      <c r="E453" s="4"/>
      <c r="F453" s="4"/>
      <c r="G453" s="4"/>
      <c r="H453" s="4"/>
      <c r="I453" s="4"/>
    </row>
    <row r="454" spans="1:9" x14ac:dyDescent="0.25">
      <c r="A454" s="4"/>
      <c r="B454" s="4"/>
      <c r="C454" s="4"/>
      <c r="D454" s="4"/>
      <c r="E454" s="4"/>
      <c r="F454" s="4"/>
      <c r="G454" s="4"/>
      <c r="H454" s="4"/>
      <c r="I454" s="4"/>
    </row>
    <row r="455" spans="1:9" x14ac:dyDescent="0.25">
      <c r="A455" s="4"/>
      <c r="B455" s="4"/>
      <c r="C455" s="4"/>
      <c r="D455" s="4"/>
      <c r="E455" s="4"/>
      <c r="F455" s="4"/>
      <c r="G455" s="4"/>
      <c r="H455" s="4"/>
      <c r="I455" s="4"/>
    </row>
    <row r="456" spans="1:9" x14ac:dyDescent="0.25">
      <c r="A456" s="4"/>
      <c r="B456" s="4"/>
      <c r="C456" s="4"/>
      <c r="D456" s="4"/>
      <c r="E456" s="4"/>
      <c r="F456" s="4"/>
      <c r="G456" s="4"/>
      <c r="H456" s="4"/>
      <c r="I456" s="4"/>
    </row>
    <row r="457" spans="1:9" x14ac:dyDescent="0.25">
      <c r="A457" s="4"/>
      <c r="B457" s="4"/>
      <c r="C457" s="4"/>
      <c r="D457" s="4"/>
      <c r="E457" s="4"/>
      <c r="F457" s="4"/>
      <c r="G457" s="4"/>
      <c r="H457" s="4"/>
      <c r="I457" s="4"/>
    </row>
    <row r="458" spans="1:9" x14ac:dyDescent="0.25">
      <c r="A458" s="4"/>
      <c r="B458" s="4"/>
      <c r="C458" s="4"/>
      <c r="D458" s="4"/>
      <c r="E458" s="4"/>
      <c r="F458" s="4"/>
      <c r="G458" s="4"/>
      <c r="H458" s="4"/>
      <c r="I458" s="4"/>
    </row>
    <row r="459" spans="1:9" x14ac:dyDescent="0.25">
      <c r="A459" s="4"/>
      <c r="B459" s="4"/>
      <c r="C459" s="4"/>
      <c r="D459" s="4"/>
      <c r="E459" s="4"/>
      <c r="F459" s="4"/>
      <c r="G459" s="4"/>
      <c r="H459" s="4"/>
      <c r="I459" s="4"/>
    </row>
    <row r="460" spans="1:9" x14ac:dyDescent="0.25">
      <c r="A460" s="4"/>
      <c r="B460" s="4"/>
      <c r="C460" s="4"/>
      <c r="D460" s="4"/>
      <c r="E460" s="4"/>
      <c r="F460" s="4"/>
      <c r="G460" s="4"/>
      <c r="H460" s="4"/>
      <c r="I460" s="4"/>
    </row>
    <row r="461" spans="1:9" x14ac:dyDescent="0.25">
      <c r="A461" s="4"/>
      <c r="B461" s="4"/>
      <c r="C461" s="4"/>
      <c r="D461" s="4"/>
      <c r="E461" s="4"/>
      <c r="F461" s="4"/>
      <c r="G461" s="4"/>
      <c r="H461" s="4"/>
      <c r="I461" s="4"/>
    </row>
    <row r="462" spans="1:9" x14ac:dyDescent="0.25">
      <c r="A462" s="4"/>
      <c r="B462" s="4"/>
      <c r="C462" s="4"/>
      <c r="D462" s="4"/>
      <c r="E462" s="4"/>
      <c r="F462" s="4"/>
      <c r="G462" s="4"/>
      <c r="H462" s="4"/>
      <c r="I462" s="4"/>
    </row>
    <row r="463" spans="1:9" x14ac:dyDescent="0.25">
      <c r="A463" s="4"/>
      <c r="B463" s="4"/>
      <c r="C463" s="4"/>
      <c r="D463" s="4"/>
      <c r="E463" s="4"/>
      <c r="F463" s="4"/>
      <c r="G463" s="4"/>
      <c r="H463" s="4"/>
      <c r="I463" s="4"/>
    </row>
    <row r="464" spans="1:9" x14ac:dyDescent="0.25">
      <c r="A464" s="4"/>
      <c r="B464" s="4"/>
      <c r="C464" s="4"/>
      <c r="D464" s="4"/>
      <c r="E464" s="4"/>
      <c r="F464" s="4"/>
      <c r="G464" s="4"/>
      <c r="H464" s="4"/>
      <c r="I464" s="4"/>
    </row>
    <row r="465" spans="1:9" x14ac:dyDescent="0.25">
      <c r="A465" s="4"/>
      <c r="B465" s="4"/>
      <c r="C465" s="4"/>
      <c r="D465" s="4"/>
      <c r="E465" s="4"/>
      <c r="F465" s="4"/>
      <c r="G465" s="4"/>
      <c r="H465" s="4"/>
      <c r="I465" s="4"/>
    </row>
    <row r="466" spans="1:9" x14ac:dyDescent="0.25">
      <c r="A466" s="4"/>
      <c r="B466" s="4"/>
      <c r="C466" s="4"/>
      <c r="D466" s="4"/>
      <c r="E466" s="4"/>
      <c r="F466" s="4"/>
      <c r="G466" s="4"/>
      <c r="H466" s="4"/>
      <c r="I466" s="4"/>
    </row>
    <row r="467" spans="1:9" x14ac:dyDescent="0.25">
      <c r="A467" s="4"/>
      <c r="B467" s="4"/>
      <c r="C467" s="4"/>
      <c r="D467" s="4"/>
      <c r="E467" s="4"/>
      <c r="F467" s="4"/>
      <c r="G467" s="4"/>
      <c r="H467" s="4"/>
      <c r="I467" s="4"/>
    </row>
    <row r="468" spans="1:9" x14ac:dyDescent="0.25">
      <c r="A468" s="4"/>
      <c r="B468" s="4"/>
      <c r="C468" s="4"/>
      <c r="D468" s="4"/>
      <c r="E468" s="4"/>
      <c r="F468" s="4"/>
      <c r="G468" s="4"/>
      <c r="H468" s="4"/>
      <c r="I468" s="4"/>
    </row>
    <row r="469" spans="1:9" x14ac:dyDescent="0.25">
      <c r="A469" s="4"/>
      <c r="B469" s="4"/>
      <c r="C469" s="4"/>
      <c r="D469" s="4"/>
      <c r="E469" s="4"/>
      <c r="F469" s="4"/>
      <c r="G469" s="4"/>
      <c r="H469" s="4"/>
      <c r="I469" s="4"/>
    </row>
    <row r="470" spans="1:9" x14ac:dyDescent="0.25">
      <c r="A470" s="4"/>
      <c r="B470" s="4"/>
      <c r="C470" s="4"/>
      <c r="D470" s="4"/>
      <c r="E470" s="4"/>
      <c r="F470" s="4"/>
      <c r="G470" s="4"/>
      <c r="H470" s="4"/>
      <c r="I470" s="4"/>
    </row>
    <row r="471" spans="1:9" x14ac:dyDescent="0.25">
      <c r="A471" s="4"/>
      <c r="B471" s="4"/>
      <c r="C471" s="4"/>
      <c r="D471" s="4"/>
      <c r="E471" s="4"/>
      <c r="F471" s="4"/>
      <c r="G471" s="4"/>
      <c r="H471" s="4"/>
      <c r="I471" s="4"/>
    </row>
    <row r="472" spans="1:9" x14ac:dyDescent="0.25">
      <c r="A472" s="4"/>
      <c r="B472" s="4"/>
      <c r="C472" s="4"/>
      <c r="D472" s="4"/>
      <c r="E472" s="4"/>
      <c r="F472" s="4"/>
      <c r="G472" s="4"/>
      <c r="H472" s="4"/>
      <c r="I472" s="4"/>
    </row>
    <row r="473" spans="1:9" x14ac:dyDescent="0.25">
      <c r="A473" s="4"/>
      <c r="B473" s="4"/>
      <c r="C473" s="4"/>
      <c r="D473" s="4"/>
      <c r="E473" s="4"/>
      <c r="F473" s="4"/>
      <c r="G473" s="4"/>
      <c r="H473" s="4"/>
      <c r="I473" s="4"/>
    </row>
    <row r="474" spans="1:9" x14ac:dyDescent="0.25">
      <c r="A474" s="4"/>
      <c r="B474" s="4"/>
      <c r="C474" s="4"/>
      <c r="D474" s="4"/>
      <c r="E474" s="4"/>
      <c r="F474" s="4"/>
      <c r="G474" s="4"/>
      <c r="H474" s="4"/>
      <c r="I474" s="4"/>
    </row>
    <row r="475" spans="1:9" x14ac:dyDescent="0.25">
      <c r="A475" s="4"/>
      <c r="B475" s="4"/>
      <c r="C475" s="4"/>
      <c r="D475" s="4"/>
      <c r="E475" s="4"/>
      <c r="F475" s="4"/>
      <c r="G475" s="4"/>
      <c r="H475" s="4"/>
      <c r="I475" s="4"/>
    </row>
    <row r="476" spans="1:9" x14ac:dyDescent="0.25">
      <c r="A476" s="4"/>
      <c r="B476" s="4"/>
      <c r="C476" s="4"/>
      <c r="D476" s="4"/>
      <c r="E476" s="4"/>
      <c r="F476" s="4"/>
      <c r="G476" s="4"/>
      <c r="H476" s="4"/>
      <c r="I476" s="4"/>
    </row>
    <row r="477" spans="1:9" x14ac:dyDescent="0.25">
      <c r="A477" s="4"/>
      <c r="B477" s="4"/>
      <c r="C477" s="4"/>
      <c r="D477" s="4"/>
      <c r="E477" s="4"/>
      <c r="F477" s="4"/>
      <c r="G477" s="4"/>
      <c r="H477" s="4"/>
      <c r="I477" s="4"/>
    </row>
    <row r="478" spans="1:9" x14ac:dyDescent="0.25">
      <c r="A478" s="4"/>
      <c r="B478" s="4"/>
      <c r="C478" s="4"/>
      <c r="D478" s="4"/>
      <c r="E478" s="4"/>
      <c r="F478" s="4"/>
      <c r="G478" s="4"/>
      <c r="H478" s="4"/>
      <c r="I478" s="4"/>
    </row>
    <row r="479" spans="1:9" x14ac:dyDescent="0.25">
      <c r="A479" s="4"/>
      <c r="B479" s="4"/>
      <c r="C479" s="4"/>
      <c r="D479" s="4"/>
      <c r="E479" s="4"/>
      <c r="F479" s="4"/>
      <c r="G479" s="4"/>
      <c r="H479" s="4"/>
      <c r="I479" s="4"/>
    </row>
    <row r="480" spans="1:9" x14ac:dyDescent="0.25">
      <c r="A480" s="4"/>
      <c r="B480" s="4"/>
      <c r="C480" s="4"/>
      <c r="D480" s="4"/>
      <c r="E480" s="4"/>
      <c r="F480" s="4"/>
      <c r="G480" s="4"/>
      <c r="H480" s="4"/>
      <c r="I480" s="4"/>
    </row>
    <row r="481" spans="1:9" x14ac:dyDescent="0.25">
      <c r="A481" s="4"/>
      <c r="B481" s="4"/>
      <c r="C481" s="4"/>
      <c r="D481" s="4"/>
      <c r="E481" s="4"/>
      <c r="F481" s="4"/>
      <c r="G481" s="4"/>
      <c r="H481" s="4"/>
      <c r="I481" s="4"/>
    </row>
    <row r="482" spans="1:9" x14ac:dyDescent="0.25">
      <c r="A482" s="4"/>
      <c r="B482" s="4"/>
      <c r="C482" s="4"/>
      <c r="D482" s="4"/>
      <c r="E482" s="4"/>
      <c r="F482" s="4"/>
      <c r="G482" s="4"/>
      <c r="H482" s="4"/>
      <c r="I482" s="4"/>
    </row>
    <row r="483" spans="1:9" x14ac:dyDescent="0.25">
      <c r="A483" s="4"/>
      <c r="B483" s="4"/>
      <c r="C483" s="4"/>
      <c r="D483" s="4"/>
      <c r="E483" s="4"/>
      <c r="F483" s="4"/>
      <c r="G483" s="4"/>
      <c r="H483" s="4"/>
      <c r="I483" s="4"/>
    </row>
    <row r="484" spans="1:9" x14ac:dyDescent="0.25">
      <c r="A484" s="4"/>
      <c r="B484" s="4"/>
      <c r="C484" s="4"/>
      <c r="D484" s="4"/>
      <c r="E484" s="4"/>
      <c r="F484" s="4"/>
      <c r="G484" s="4"/>
      <c r="H484" s="4"/>
      <c r="I484" s="4"/>
    </row>
    <row r="485" spans="1:9" x14ac:dyDescent="0.25">
      <c r="A485" s="4"/>
      <c r="B485" s="4"/>
      <c r="C485" s="4"/>
      <c r="D485" s="4"/>
      <c r="E485" s="4"/>
      <c r="F485" s="4"/>
      <c r="G485" s="4"/>
      <c r="H485" s="4"/>
      <c r="I485" s="4"/>
    </row>
    <row r="486" spans="1:9" x14ac:dyDescent="0.25">
      <c r="A486" s="4"/>
      <c r="B486" s="4"/>
      <c r="C486" s="4"/>
      <c r="D486" s="4"/>
      <c r="E486" s="4"/>
      <c r="F486" s="4"/>
      <c r="G486" s="4"/>
      <c r="H486" s="4"/>
      <c r="I486" s="4"/>
    </row>
    <row r="487" spans="1:9" x14ac:dyDescent="0.25">
      <c r="A487" s="4"/>
      <c r="B487" s="4"/>
      <c r="C487" s="4"/>
      <c r="D487" s="4"/>
      <c r="E487" s="4"/>
      <c r="F487" s="4"/>
      <c r="G487" s="4"/>
      <c r="H487" s="4"/>
      <c r="I487" s="4"/>
    </row>
    <row r="488" spans="1:9" x14ac:dyDescent="0.25">
      <c r="A488" s="4"/>
      <c r="B488" s="4"/>
      <c r="C488" s="4"/>
      <c r="D488" s="4"/>
      <c r="E488" s="4"/>
      <c r="F488" s="4"/>
      <c r="G488" s="4"/>
      <c r="H488" s="4"/>
      <c r="I488" s="4"/>
    </row>
    <row r="489" spans="1:9" x14ac:dyDescent="0.25">
      <c r="A489" s="4"/>
      <c r="B489" s="4"/>
      <c r="C489" s="4"/>
      <c r="D489" s="4"/>
      <c r="E489" s="4"/>
      <c r="F489" s="4"/>
      <c r="G489" s="4"/>
      <c r="H489" s="4"/>
      <c r="I489" s="4"/>
    </row>
    <row r="490" spans="1:9" x14ac:dyDescent="0.25">
      <c r="A490" s="4"/>
      <c r="B490" s="4"/>
      <c r="C490" s="4"/>
      <c r="D490" s="4"/>
      <c r="E490" s="4"/>
      <c r="F490" s="4"/>
      <c r="G490" s="4"/>
      <c r="H490" s="4"/>
      <c r="I490" s="4"/>
    </row>
    <row r="491" spans="1:9" x14ac:dyDescent="0.25">
      <c r="A491" s="4"/>
      <c r="B491" s="4"/>
      <c r="C491" s="4"/>
      <c r="D491" s="4"/>
      <c r="E491" s="4"/>
      <c r="F491" s="4"/>
      <c r="G491" s="4"/>
      <c r="H491" s="4"/>
      <c r="I491" s="4"/>
    </row>
    <row r="492" spans="1:9" x14ac:dyDescent="0.25">
      <c r="A492" s="4"/>
      <c r="B492" s="4"/>
      <c r="C492" s="4"/>
      <c r="D492" s="4"/>
      <c r="E492" s="4"/>
      <c r="F492" s="4"/>
      <c r="G492" s="4"/>
      <c r="H492" s="4"/>
      <c r="I492" s="4"/>
    </row>
    <row r="493" spans="1:9" x14ac:dyDescent="0.25">
      <c r="A493" s="4"/>
      <c r="B493" s="4"/>
      <c r="C493" s="4"/>
      <c r="D493" s="4"/>
      <c r="E493" s="4"/>
      <c r="F493" s="4"/>
      <c r="G493" s="4"/>
      <c r="H493" s="4"/>
      <c r="I493" s="4"/>
    </row>
    <row r="494" spans="1:9" x14ac:dyDescent="0.25">
      <c r="A494" s="4"/>
      <c r="B494" s="4"/>
      <c r="C494" s="4"/>
      <c r="D494" s="4"/>
      <c r="E494" s="4"/>
      <c r="F494" s="4"/>
      <c r="G494" s="4"/>
      <c r="H494" s="4"/>
      <c r="I494" s="4"/>
    </row>
    <row r="495" spans="1:9" x14ac:dyDescent="0.25">
      <c r="A495" s="4"/>
      <c r="B495" s="4"/>
      <c r="C495" s="4"/>
      <c r="D495" s="4"/>
      <c r="E495" s="4"/>
      <c r="F495" s="4"/>
      <c r="G495" s="4"/>
      <c r="H495" s="4"/>
      <c r="I495" s="4"/>
    </row>
    <row r="496" spans="1:9" x14ac:dyDescent="0.25">
      <c r="A496" s="4"/>
      <c r="B496" s="4"/>
      <c r="C496" s="4"/>
      <c r="D496" s="4"/>
      <c r="E496" s="4"/>
      <c r="F496" s="4"/>
      <c r="G496" s="4"/>
      <c r="H496" s="4"/>
      <c r="I496" s="4"/>
    </row>
    <row r="497" spans="1:9" x14ac:dyDescent="0.25">
      <c r="A497" s="4"/>
      <c r="B497" s="4"/>
      <c r="C497" s="4"/>
      <c r="D497" s="4"/>
      <c r="E497" s="4"/>
      <c r="F497" s="4"/>
      <c r="G497" s="4"/>
      <c r="H497" s="4"/>
      <c r="I497" s="4"/>
    </row>
    <row r="498" spans="1:9" x14ac:dyDescent="0.25">
      <c r="A498" s="4"/>
      <c r="B498" s="4"/>
      <c r="C498" s="4"/>
      <c r="D498" s="4"/>
      <c r="E498" s="4"/>
      <c r="F498" s="4"/>
      <c r="G498" s="4"/>
      <c r="H498" s="4"/>
      <c r="I498" s="4"/>
    </row>
    <row r="499" spans="1:9" x14ac:dyDescent="0.25">
      <c r="A499" s="4"/>
      <c r="B499" s="4"/>
      <c r="C499" s="4"/>
      <c r="D499" s="4"/>
      <c r="E499" s="4"/>
      <c r="F499" s="4"/>
      <c r="G499" s="4"/>
      <c r="H499" s="4"/>
      <c r="I499" s="4"/>
    </row>
    <row r="500" spans="1:9" x14ac:dyDescent="0.25">
      <c r="A500" s="4"/>
      <c r="B500" s="4"/>
      <c r="C500" s="4"/>
      <c r="D500" s="4"/>
      <c r="E500" s="4"/>
      <c r="F500" s="4"/>
      <c r="G500" s="4"/>
      <c r="H500" s="4"/>
      <c r="I500" s="4"/>
    </row>
    <row r="501" spans="1:9" x14ac:dyDescent="0.25">
      <c r="A501" s="4"/>
      <c r="B501" s="4"/>
      <c r="C501" s="4"/>
      <c r="D501" s="4"/>
      <c r="E501" s="4"/>
      <c r="F501" s="4"/>
      <c r="G501" s="4"/>
      <c r="H501" s="4"/>
      <c r="I501" s="4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1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4" customWidth="1"/>
    <col min="2" max="2" width="26" customWidth="1"/>
    <col min="3" max="3" width="18" customWidth="1"/>
    <col min="4" max="4" width="30" customWidth="1"/>
    <col min="5" max="5" width="10.5703125" customWidth="1"/>
    <col min="6" max="6" width="12" customWidth="1"/>
    <col min="7" max="7" width="32" customWidth="1"/>
  </cols>
  <sheetData>
    <row r="1" spans="1:7" ht="28.5" customHeight="1" x14ac:dyDescent="0.25">
      <c r="A1" s="6" t="s">
        <v>63</v>
      </c>
      <c r="B1" s="6" t="s">
        <v>64</v>
      </c>
      <c r="C1" s="6" t="s">
        <v>65</v>
      </c>
      <c r="D1" s="6" t="s">
        <v>55</v>
      </c>
      <c r="E1" s="6" t="s">
        <v>66</v>
      </c>
      <c r="F1" s="6" t="s">
        <v>56</v>
      </c>
      <c r="G1" s="6" t="s">
        <v>7</v>
      </c>
    </row>
    <row r="2" spans="1:7" x14ac:dyDescent="0.25">
      <c r="A2" s="4" t="s">
        <v>67</v>
      </c>
      <c r="B2" s="4" t="s">
        <v>105</v>
      </c>
      <c r="C2" s="4" t="s">
        <v>68</v>
      </c>
      <c r="D2" s="4" t="s">
        <v>38</v>
      </c>
      <c r="E2" s="4" t="s">
        <v>69</v>
      </c>
      <c r="F2" s="4">
        <f>IFERROR(_xlfn.XLOOKUP(D2,Ustawienia!$D$4:$D$100,Ustawienia!$E$4:$E$100),"")</f>
        <v>1</v>
      </c>
      <c r="G2" s="4"/>
    </row>
    <row r="3" spans="1:7" x14ac:dyDescent="0.25">
      <c r="A3" s="4" t="s">
        <v>70</v>
      </c>
      <c r="B3" s="4" t="s">
        <v>104</v>
      </c>
      <c r="C3" s="4" t="s">
        <v>68</v>
      </c>
      <c r="D3" s="4" t="s">
        <v>34</v>
      </c>
      <c r="E3" s="4" t="s">
        <v>69</v>
      </c>
      <c r="F3" s="4">
        <f>IFERROR(_xlfn.XLOOKUP(D3,Ustawienia!$D$4:$D$100,Ustawienia!$E$4:$E$100),"")</f>
        <v>1.25</v>
      </c>
      <c r="G3" s="4"/>
    </row>
    <row r="4" spans="1:7" x14ac:dyDescent="0.25">
      <c r="A4" s="4" t="s">
        <v>71</v>
      </c>
      <c r="B4" s="4" t="s">
        <v>103</v>
      </c>
      <c r="C4" s="4" t="s">
        <v>68</v>
      </c>
      <c r="D4" s="4" t="s">
        <v>36</v>
      </c>
      <c r="E4" s="4" t="s">
        <v>69</v>
      </c>
      <c r="F4" s="4">
        <f>IFERROR(_xlfn.XLOOKUP(D4,Ustawienia!$D$4:$D$100,Ustawienia!$E$4:$E$100),"")</f>
        <v>1.1000000000000001</v>
      </c>
      <c r="G4" s="4"/>
    </row>
    <row r="5" spans="1:7" x14ac:dyDescent="0.25">
      <c r="A5" s="4"/>
      <c r="B5" s="4"/>
      <c r="C5" s="4"/>
      <c r="D5" s="4"/>
      <c r="E5" s="4"/>
      <c r="F5" s="4" t="str">
        <f ca="1">IFERROR(_xludf.XLOOKUP(D5,Ustawienia!$D$4:$D$100,Ustawienia!$E$4:$E$100),"")</f>
        <v/>
      </c>
      <c r="G5" s="4"/>
    </row>
    <row r="6" spans="1:7" x14ac:dyDescent="0.25">
      <c r="A6" s="4"/>
      <c r="B6" s="4"/>
      <c r="C6" s="4"/>
      <c r="D6" s="4"/>
      <c r="E6" s="4"/>
      <c r="F6" s="4" t="str">
        <f ca="1">IFERROR(_xludf.XLOOKUP(D6,Ustawienia!$D$4:$D$100,Ustawienia!$E$4:$E$100),"")</f>
        <v/>
      </c>
      <c r="G6" s="4"/>
    </row>
    <row r="7" spans="1:7" x14ac:dyDescent="0.25">
      <c r="A7" s="4"/>
      <c r="B7" s="4"/>
      <c r="C7" s="4"/>
      <c r="D7" s="4"/>
      <c r="E7" s="4"/>
      <c r="F7" s="4" t="str">
        <f ca="1">IFERROR(_xludf.XLOOKUP(D7,Ustawienia!$D$4:$D$100,Ustawienia!$E$4:$E$100),"")</f>
        <v/>
      </c>
      <c r="G7" s="4"/>
    </row>
    <row r="8" spans="1:7" x14ac:dyDescent="0.25">
      <c r="A8" s="4"/>
      <c r="B8" s="4"/>
      <c r="C8" s="4"/>
      <c r="D8" s="4"/>
      <c r="E8" s="4"/>
      <c r="F8" s="4" t="str">
        <f ca="1">IFERROR(_xludf.XLOOKUP(D8,Ustawienia!$D$4:$D$100,Ustawienia!$E$4:$E$100),"")</f>
        <v/>
      </c>
      <c r="G8" s="4"/>
    </row>
    <row r="9" spans="1:7" x14ac:dyDescent="0.25">
      <c r="A9" s="4"/>
      <c r="B9" s="4"/>
      <c r="C9" s="4"/>
      <c r="D9" s="4"/>
      <c r="E9" s="4"/>
      <c r="F9" s="4" t="str">
        <f ca="1">IFERROR(_xludf.XLOOKUP(D9,Ustawienia!$D$4:$D$100,Ustawienia!$E$4:$E$100),"")</f>
        <v/>
      </c>
      <c r="G9" s="4"/>
    </row>
    <row r="10" spans="1:7" x14ac:dyDescent="0.25">
      <c r="A10" s="4"/>
      <c r="B10" s="4"/>
      <c r="C10" s="4"/>
      <c r="D10" s="4"/>
      <c r="E10" s="4"/>
      <c r="F10" s="4" t="str">
        <f ca="1">IFERROR(_xludf.XLOOKUP(D10,Ustawienia!$D$4:$D$100,Ustawienia!$E$4:$E$100),"")</f>
        <v/>
      </c>
      <c r="G10" s="4"/>
    </row>
    <row r="11" spans="1:7" x14ac:dyDescent="0.25">
      <c r="A11" s="4"/>
      <c r="B11" s="4"/>
      <c r="C11" s="4"/>
      <c r="D11" s="4"/>
      <c r="E11" s="4"/>
      <c r="F11" s="4" t="str">
        <f ca="1">IFERROR(_xludf.XLOOKUP(D11,Ustawienia!$D$4:$D$100,Ustawienia!$E$4:$E$100),"")</f>
        <v/>
      </c>
      <c r="G11" s="4"/>
    </row>
    <row r="12" spans="1:7" x14ac:dyDescent="0.25">
      <c r="A12" s="4"/>
      <c r="B12" s="4"/>
      <c r="C12" s="4"/>
      <c r="D12" s="4"/>
      <c r="E12" s="4"/>
      <c r="F12" s="4" t="str">
        <f ca="1">IFERROR(_xludf.XLOOKUP(D12,Ustawienia!$D$4:$D$100,Ustawienia!$E$4:$E$100),"")</f>
        <v/>
      </c>
      <c r="G12" s="4"/>
    </row>
    <row r="13" spans="1:7" x14ac:dyDescent="0.25">
      <c r="A13" s="4"/>
      <c r="B13" s="4"/>
      <c r="C13" s="4"/>
      <c r="D13" s="4"/>
      <c r="E13" s="4"/>
      <c r="F13" s="4" t="str">
        <f ca="1">IFERROR(_xludf.XLOOKUP(D13,Ustawienia!$D$4:$D$100,Ustawienia!$E$4:$E$100),"")</f>
        <v/>
      </c>
      <c r="G13" s="4"/>
    </row>
    <row r="14" spans="1:7" x14ac:dyDescent="0.25">
      <c r="A14" s="4"/>
      <c r="B14" s="4"/>
      <c r="C14" s="4"/>
      <c r="D14" s="4"/>
      <c r="E14" s="4"/>
      <c r="F14" s="4" t="str">
        <f ca="1">IFERROR(_xludf.XLOOKUP(D14,Ustawienia!$D$4:$D$100,Ustawienia!$E$4:$E$100),"")</f>
        <v/>
      </c>
      <c r="G14" s="4"/>
    </row>
    <row r="15" spans="1:7" x14ac:dyDescent="0.25">
      <c r="A15" s="4"/>
      <c r="B15" s="4"/>
      <c r="C15" s="4"/>
      <c r="D15" s="4"/>
      <c r="E15" s="4"/>
      <c r="F15" s="4" t="str">
        <f ca="1">IFERROR(_xludf.XLOOKUP(D15,Ustawienia!$D$4:$D$100,Ustawienia!$E$4:$E$100),"")</f>
        <v/>
      </c>
      <c r="G15" s="4"/>
    </row>
    <row r="16" spans="1:7" x14ac:dyDescent="0.25">
      <c r="A16" s="4"/>
      <c r="B16" s="4"/>
      <c r="C16" s="4"/>
      <c r="D16" s="4"/>
      <c r="E16" s="4"/>
      <c r="F16" s="4" t="str">
        <f ca="1">IFERROR(_xludf.XLOOKUP(D16,Ustawienia!$D$4:$D$100,Ustawienia!$E$4:$E$100),"")</f>
        <v/>
      </c>
      <c r="G16" s="4"/>
    </row>
    <row r="17" spans="1:7" x14ac:dyDescent="0.25">
      <c r="A17" s="4"/>
      <c r="B17" s="4"/>
      <c r="C17" s="4"/>
      <c r="D17" s="4"/>
      <c r="E17" s="4"/>
      <c r="F17" s="4" t="str">
        <f ca="1">IFERROR(_xludf.XLOOKUP(D17,Ustawienia!$D$4:$D$100,Ustawienia!$E$4:$E$100),"")</f>
        <v/>
      </c>
      <c r="G17" s="4"/>
    </row>
    <row r="18" spans="1:7" x14ac:dyDescent="0.25">
      <c r="A18" s="4"/>
      <c r="B18" s="4"/>
      <c r="C18" s="4"/>
      <c r="D18" s="4"/>
      <c r="E18" s="4"/>
      <c r="F18" s="4" t="str">
        <f ca="1">IFERROR(_xludf.XLOOKUP(D18,Ustawienia!$D$4:$D$100,Ustawienia!$E$4:$E$100),"")</f>
        <v/>
      </c>
      <c r="G18" s="4"/>
    </row>
    <row r="19" spans="1:7" x14ac:dyDescent="0.25">
      <c r="A19" s="4"/>
      <c r="B19" s="4"/>
      <c r="C19" s="4"/>
      <c r="D19" s="4"/>
      <c r="E19" s="4"/>
      <c r="F19" s="4" t="str">
        <f ca="1">IFERROR(_xludf.XLOOKUP(D19,Ustawienia!$D$4:$D$100,Ustawienia!$E$4:$E$100),"")</f>
        <v/>
      </c>
      <c r="G19" s="4"/>
    </row>
    <row r="20" spans="1:7" x14ac:dyDescent="0.25">
      <c r="A20" s="4"/>
      <c r="B20" s="4"/>
      <c r="C20" s="4"/>
      <c r="D20" s="4"/>
      <c r="E20" s="4"/>
      <c r="F20" s="4" t="str">
        <f ca="1">IFERROR(_xludf.XLOOKUP(D20,Ustawienia!$D$4:$D$100,Ustawienia!$E$4:$E$100),"")</f>
        <v/>
      </c>
      <c r="G20" s="4"/>
    </row>
    <row r="21" spans="1:7" x14ac:dyDescent="0.25">
      <c r="A21" s="4"/>
      <c r="B21" s="4"/>
      <c r="C21" s="4"/>
      <c r="D21" s="4"/>
      <c r="E21" s="4"/>
      <c r="F21" s="4" t="str">
        <f ca="1">IFERROR(_xludf.XLOOKUP(D21,Ustawienia!$D$4:$D$100,Ustawienia!$E$4:$E$100),"")</f>
        <v/>
      </c>
      <c r="G21" s="4"/>
    </row>
    <row r="22" spans="1:7" x14ac:dyDescent="0.25">
      <c r="A22" s="4"/>
      <c r="B22" s="4"/>
      <c r="C22" s="4"/>
      <c r="D22" s="4"/>
      <c r="E22" s="4"/>
      <c r="F22" s="4" t="str">
        <f ca="1">IFERROR(_xludf.XLOOKUP(D22,Ustawienia!$D$4:$D$100,Ustawienia!$E$4:$E$100),"")</f>
        <v/>
      </c>
      <c r="G22" s="4"/>
    </row>
    <row r="23" spans="1:7" x14ac:dyDescent="0.25">
      <c r="A23" s="4"/>
      <c r="B23" s="4"/>
      <c r="C23" s="4"/>
      <c r="D23" s="4"/>
      <c r="E23" s="4"/>
      <c r="F23" s="4" t="str">
        <f ca="1">IFERROR(_xludf.XLOOKUP(D23,Ustawienia!$D$4:$D$100,Ustawienia!$E$4:$E$100),"")</f>
        <v/>
      </c>
      <c r="G23" s="4"/>
    </row>
    <row r="24" spans="1:7" x14ac:dyDescent="0.25">
      <c r="A24" s="4"/>
      <c r="B24" s="4"/>
      <c r="C24" s="4"/>
      <c r="D24" s="4"/>
      <c r="E24" s="4"/>
      <c r="F24" s="4" t="str">
        <f ca="1">IFERROR(_xludf.XLOOKUP(D24,Ustawienia!$D$4:$D$100,Ustawienia!$E$4:$E$100),"")</f>
        <v/>
      </c>
      <c r="G24" s="4"/>
    </row>
    <row r="25" spans="1:7" x14ac:dyDescent="0.25">
      <c r="A25" s="4"/>
      <c r="B25" s="4"/>
      <c r="C25" s="4"/>
      <c r="D25" s="4"/>
      <c r="E25" s="4"/>
      <c r="F25" s="4" t="str">
        <f ca="1">IFERROR(_xludf.XLOOKUP(D25,Ustawienia!$D$4:$D$100,Ustawienia!$E$4:$E$100),"")</f>
        <v/>
      </c>
      <c r="G25" s="4"/>
    </row>
    <row r="26" spans="1:7" x14ac:dyDescent="0.25">
      <c r="A26" s="4"/>
      <c r="B26" s="4"/>
      <c r="C26" s="4"/>
      <c r="D26" s="4"/>
      <c r="E26" s="4"/>
      <c r="F26" s="4" t="str">
        <f ca="1">IFERROR(_xludf.XLOOKUP(D26,Ustawienia!$D$4:$D$100,Ustawienia!$E$4:$E$100),"")</f>
        <v/>
      </c>
      <c r="G26" s="4"/>
    </row>
    <row r="27" spans="1:7" x14ac:dyDescent="0.25">
      <c r="A27" s="4"/>
      <c r="B27" s="4"/>
      <c r="C27" s="4"/>
      <c r="D27" s="4"/>
      <c r="E27" s="4"/>
      <c r="F27" s="4" t="str">
        <f ca="1">IFERROR(_xludf.XLOOKUP(D27,Ustawienia!$D$4:$D$100,Ustawienia!$E$4:$E$100),"")</f>
        <v/>
      </c>
      <c r="G27" s="4"/>
    </row>
    <row r="28" spans="1:7" x14ac:dyDescent="0.25">
      <c r="A28" s="4"/>
      <c r="B28" s="4"/>
      <c r="C28" s="4"/>
      <c r="D28" s="4"/>
      <c r="E28" s="4"/>
      <c r="F28" s="4" t="str">
        <f ca="1">IFERROR(_xludf.XLOOKUP(D28,Ustawienia!$D$4:$D$100,Ustawienia!$E$4:$E$100),"")</f>
        <v/>
      </c>
      <c r="G28" s="4"/>
    </row>
    <row r="29" spans="1:7" x14ac:dyDescent="0.25">
      <c r="A29" s="4"/>
      <c r="B29" s="4"/>
      <c r="C29" s="4"/>
      <c r="D29" s="4"/>
      <c r="E29" s="4"/>
      <c r="F29" s="4" t="str">
        <f ca="1">IFERROR(_xludf.XLOOKUP(D29,Ustawienia!$D$4:$D$100,Ustawienia!$E$4:$E$100),"")</f>
        <v/>
      </c>
      <c r="G29" s="4"/>
    </row>
    <row r="30" spans="1:7" x14ac:dyDescent="0.25">
      <c r="A30" s="4"/>
      <c r="B30" s="4"/>
      <c r="C30" s="4"/>
      <c r="D30" s="4"/>
      <c r="E30" s="4"/>
      <c r="F30" s="4" t="str">
        <f ca="1">IFERROR(_xludf.XLOOKUP(D30,Ustawienia!$D$4:$D$100,Ustawienia!$E$4:$E$100),"")</f>
        <v/>
      </c>
      <c r="G30" s="4"/>
    </row>
    <row r="31" spans="1:7" x14ac:dyDescent="0.25">
      <c r="A31" s="4"/>
      <c r="B31" s="4"/>
      <c r="C31" s="4"/>
      <c r="D31" s="4"/>
      <c r="E31" s="4"/>
      <c r="F31" s="4" t="str">
        <f ca="1">IFERROR(_xludf.XLOOKUP(D31,Ustawienia!$D$4:$D$100,Ustawienia!$E$4:$E$100),"")</f>
        <v/>
      </c>
      <c r="G31" s="4"/>
    </row>
    <row r="32" spans="1:7" x14ac:dyDescent="0.25">
      <c r="A32" s="4"/>
      <c r="B32" s="4"/>
      <c r="C32" s="4"/>
      <c r="D32" s="4"/>
      <c r="E32" s="4"/>
      <c r="F32" s="4" t="str">
        <f ca="1">IFERROR(_xludf.XLOOKUP(D32,Ustawienia!$D$4:$D$100,Ustawienia!$E$4:$E$100),"")</f>
        <v/>
      </c>
      <c r="G32" s="4"/>
    </row>
    <row r="33" spans="1:7" x14ac:dyDescent="0.25">
      <c r="A33" s="4"/>
      <c r="B33" s="4"/>
      <c r="C33" s="4"/>
      <c r="D33" s="4"/>
      <c r="E33" s="4"/>
      <c r="F33" s="4" t="str">
        <f ca="1">IFERROR(_xludf.XLOOKUP(D33,Ustawienia!$D$4:$D$100,Ustawienia!$E$4:$E$100),"")</f>
        <v/>
      </c>
      <c r="G33" s="4"/>
    </row>
    <row r="34" spans="1:7" x14ac:dyDescent="0.25">
      <c r="A34" s="4"/>
      <c r="B34" s="4"/>
      <c r="C34" s="4"/>
      <c r="D34" s="4"/>
      <c r="E34" s="4"/>
      <c r="F34" s="4" t="str">
        <f ca="1">IFERROR(_xludf.XLOOKUP(D34,Ustawienia!$D$4:$D$100,Ustawienia!$E$4:$E$100),"")</f>
        <v/>
      </c>
      <c r="G34" s="4"/>
    </row>
    <row r="35" spans="1:7" x14ac:dyDescent="0.25">
      <c r="A35" s="4"/>
      <c r="B35" s="4"/>
      <c r="C35" s="4"/>
      <c r="D35" s="4"/>
      <c r="E35" s="4"/>
      <c r="F35" s="4" t="str">
        <f ca="1">IFERROR(_xludf.XLOOKUP(D35,Ustawienia!$D$4:$D$100,Ustawienia!$E$4:$E$100),"")</f>
        <v/>
      </c>
      <c r="G35" s="4"/>
    </row>
    <row r="36" spans="1:7" x14ac:dyDescent="0.25">
      <c r="A36" s="4"/>
      <c r="B36" s="4"/>
      <c r="C36" s="4"/>
      <c r="D36" s="4"/>
      <c r="E36" s="4"/>
      <c r="F36" s="4" t="str">
        <f ca="1">IFERROR(_xludf.XLOOKUP(D36,Ustawienia!$D$4:$D$100,Ustawienia!$E$4:$E$100),"")</f>
        <v/>
      </c>
      <c r="G36" s="4"/>
    </row>
    <row r="37" spans="1:7" x14ac:dyDescent="0.25">
      <c r="A37" s="4"/>
      <c r="B37" s="4"/>
      <c r="C37" s="4"/>
      <c r="D37" s="4"/>
      <c r="E37" s="4"/>
      <c r="F37" s="4" t="str">
        <f ca="1">IFERROR(_xludf.XLOOKUP(D37,Ustawienia!$D$4:$D$100,Ustawienia!$E$4:$E$100),"")</f>
        <v/>
      </c>
      <c r="G37" s="4"/>
    </row>
    <row r="38" spans="1:7" x14ac:dyDescent="0.25">
      <c r="A38" s="4"/>
      <c r="B38" s="4"/>
      <c r="C38" s="4"/>
      <c r="D38" s="4"/>
      <c r="E38" s="4"/>
      <c r="F38" s="4" t="str">
        <f ca="1">IFERROR(_xludf.XLOOKUP(D38,Ustawienia!$D$4:$D$100,Ustawienia!$E$4:$E$100),"")</f>
        <v/>
      </c>
      <c r="G38" s="4"/>
    </row>
    <row r="39" spans="1:7" x14ac:dyDescent="0.25">
      <c r="A39" s="4"/>
      <c r="B39" s="4"/>
      <c r="C39" s="4"/>
      <c r="D39" s="4"/>
      <c r="E39" s="4"/>
      <c r="F39" s="4" t="str">
        <f ca="1">IFERROR(_xludf.XLOOKUP(D39,Ustawienia!$D$4:$D$100,Ustawienia!$E$4:$E$100),"")</f>
        <v/>
      </c>
      <c r="G39" s="4"/>
    </row>
    <row r="40" spans="1:7" x14ac:dyDescent="0.25">
      <c r="A40" s="4"/>
      <c r="B40" s="4"/>
      <c r="C40" s="4"/>
      <c r="D40" s="4"/>
      <c r="E40" s="4"/>
      <c r="F40" s="4" t="str">
        <f ca="1">IFERROR(_xludf.XLOOKUP(D40,Ustawienia!$D$4:$D$100,Ustawienia!$E$4:$E$100),"")</f>
        <v/>
      </c>
      <c r="G40" s="4"/>
    </row>
    <row r="41" spans="1:7" x14ac:dyDescent="0.25">
      <c r="A41" s="4"/>
      <c r="B41" s="4"/>
      <c r="C41" s="4"/>
      <c r="D41" s="4"/>
      <c r="E41" s="4"/>
      <c r="F41" s="4" t="str">
        <f ca="1">IFERROR(_xludf.XLOOKUP(D41,Ustawienia!$D$4:$D$100,Ustawienia!$E$4:$E$100),"")</f>
        <v/>
      </c>
      <c r="G41" s="4"/>
    </row>
    <row r="42" spans="1:7" x14ac:dyDescent="0.25">
      <c r="A42" s="4"/>
      <c r="B42" s="4"/>
      <c r="C42" s="4"/>
      <c r="D42" s="4"/>
      <c r="E42" s="4"/>
      <c r="F42" s="4" t="str">
        <f ca="1">IFERROR(_xludf.XLOOKUP(D42,Ustawienia!$D$4:$D$100,Ustawienia!$E$4:$E$100),"")</f>
        <v/>
      </c>
      <c r="G42" s="4"/>
    </row>
    <row r="43" spans="1:7" x14ac:dyDescent="0.25">
      <c r="A43" s="4"/>
      <c r="B43" s="4"/>
      <c r="C43" s="4"/>
      <c r="D43" s="4"/>
      <c r="E43" s="4"/>
      <c r="F43" s="4" t="str">
        <f ca="1">IFERROR(_xludf.XLOOKUP(D43,Ustawienia!$D$4:$D$100,Ustawienia!$E$4:$E$100),"")</f>
        <v/>
      </c>
      <c r="G43" s="4"/>
    </row>
    <row r="44" spans="1:7" x14ac:dyDescent="0.25">
      <c r="A44" s="4"/>
      <c r="B44" s="4"/>
      <c r="C44" s="4"/>
      <c r="D44" s="4"/>
      <c r="E44" s="4"/>
      <c r="F44" s="4" t="str">
        <f ca="1">IFERROR(_xludf.XLOOKUP(D44,Ustawienia!$D$4:$D$100,Ustawienia!$E$4:$E$100),"")</f>
        <v/>
      </c>
      <c r="G44" s="4"/>
    </row>
    <row r="45" spans="1:7" x14ac:dyDescent="0.25">
      <c r="A45" s="4"/>
      <c r="B45" s="4"/>
      <c r="C45" s="4"/>
      <c r="D45" s="4"/>
      <c r="E45" s="4"/>
      <c r="F45" s="4" t="str">
        <f ca="1">IFERROR(_xludf.XLOOKUP(D45,Ustawienia!$D$4:$D$100,Ustawienia!$E$4:$E$100),"")</f>
        <v/>
      </c>
      <c r="G45" s="4"/>
    </row>
    <row r="46" spans="1:7" x14ac:dyDescent="0.25">
      <c r="A46" s="4"/>
      <c r="B46" s="4"/>
      <c r="C46" s="4"/>
      <c r="D46" s="4"/>
      <c r="E46" s="4"/>
      <c r="F46" s="4" t="str">
        <f ca="1">IFERROR(_xludf.XLOOKUP(D46,Ustawienia!$D$4:$D$100,Ustawienia!$E$4:$E$100),"")</f>
        <v/>
      </c>
      <c r="G46" s="4"/>
    </row>
    <row r="47" spans="1:7" x14ac:dyDescent="0.25">
      <c r="A47" s="4"/>
      <c r="B47" s="4"/>
      <c r="C47" s="4"/>
      <c r="D47" s="4"/>
      <c r="E47" s="4"/>
      <c r="F47" s="4" t="str">
        <f ca="1">IFERROR(_xludf.XLOOKUP(D47,Ustawienia!$D$4:$D$100,Ustawienia!$E$4:$E$100),"")</f>
        <v/>
      </c>
      <c r="G47" s="4"/>
    </row>
    <row r="48" spans="1:7" x14ac:dyDescent="0.25">
      <c r="A48" s="4"/>
      <c r="B48" s="4"/>
      <c r="C48" s="4"/>
      <c r="D48" s="4"/>
      <c r="E48" s="4"/>
      <c r="F48" s="4" t="str">
        <f ca="1">IFERROR(_xludf.XLOOKUP(D48,Ustawienia!$D$4:$D$100,Ustawienia!$E$4:$E$100),"")</f>
        <v/>
      </c>
      <c r="G48" s="4"/>
    </row>
    <row r="49" spans="1:7" x14ac:dyDescent="0.25">
      <c r="A49" s="4"/>
      <c r="B49" s="4"/>
      <c r="C49" s="4"/>
      <c r="D49" s="4"/>
      <c r="E49" s="4"/>
      <c r="F49" s="4" t="str">
        <f ca="1">IFERROR(_xludf.XLOOKUP(D49,Ustawienia!$D$4:$D$100,Ustawienia!$E$4:$E$100),"")</f>
        <v/>
      </c>
      <c r="G49" s="4"/>
    </row>
    <row r="50" spans="1:7" x14ac:dyDescent="0.25">
      <c r="A50" s="4"/>
      <c r="B50" s="4"/>
      <c r="C50" s="4"/>
      <c r="D50" s="4"/>
      <c r="E50" s="4"/>
      <c r="F50" s="4" t="str">
        <f ca="1">IFERROR(_xludf.XLOOKUP(D50,Ustawienia!$D$4:$D$100,Ustawienia!$E$4:$E$100),"")</f>
        <v/>
      </c>
      <c r="G50" s="4"/>
    </row>
    <row r="51" spans="1:7" x14ac:dyDescent="0.25">
      <c r="A51" s="4"/>
      <c r="B51" s="4"/>
      <c r="C51" s="4"/>
      <c r="D51" s="4"/>
      <c r="E51" s="4"/>
      <c r="F51" s="4" t="str">
        <f ca="1">IFERROR(_xludf.XLOOKUP(D51,Ustawienia!$D$4:$D$100,Ustawienia!$E$4:$E$100),"")</f>
        <v/>
      </c>
      <c r="G51" s="4"/>
    </row>
    <row r="52" spans="1:7" x14ac:dyDescent="0.25">
      <c r="A52" s="4"/>
      <c r="B52" s="4"/>
      <c r="C52" s="4"/>
      <c r="D52" s="4"/>
      <c r="E52" s="4"/>
      <c r="F52" s="4" t="str">
        <f ca="1">IFERROR(_xludf.XLOOKUP(D52,Ustawienia!$D$4:$D$100,Ustawienia!$E$4:$E$100),"")</f>
        <v/>
      </c>
      <c r="G52" s="4"/>
    </row>
    <row r="53" spans="1:7" x14ac:dyDescent="0.25">
      <c r="A53" s="4"/>
      <c r="B53" s="4"/>
      <c r="C53" s="4"/>
      <c r="D53" s="4"/>
      <c r="E53" s="4"/>
      <c r="F53" s="4" t="str">
        <f ca="1">IFERROR(_xludf.XLOOKUP(D53,Ustawienia!$D$4:$D$100,Ustawienia!$E$4:$E$100),"")</f>
        <v/>
      </c>
      <c r="G53" s="4"/>
    </row>
    <row r="54" spans="1:7" x14ac:dyDescent="0.25">
      <c r="A54" s="4"/>
      <c r="B54" s="4"/>
      <c r="C54" s="4"/>
      <c r="D54" s="4"/>
      <c r="E54" s="4"/>
      <c r="F54" s="4" t="str">
        <f ca="1">IFERROR(_xludf.XLOOKUP(D54,Ustawienia!$D$4:$D$100,Ustawienia!$E$4:$E$100),"")</f>
        <v/>
      </c>
      <c r="G54" s="4"/>
    </row>
    <row r="55" spans="1:7" x14ac:dyDescent="0.25">
      <c r="A55" s="4"/>
      <c r="B55" s="4"/>
      <c r="C55" s="4"/>
      <c r="D55" s="4"/>
      <c r="E55" s="4"/>
      <c r="F55" s="4" t="str">
        <f ca="1">IFERROR(_xludf.XLOOKUP(D55,Ustawienia!$D$4:$D$100,Ustawienia!$E$4:$E$100),"")</f>
        <v/>
      </c>
      <c r="G55" s="4"/>
    </row>
    <row r="56" spans="1:7" x14ac:dyDescent="0.25">
      <c r="A56" s="4"/>
      <c r="B56" s="4"/>
      <c r="C56" s="4"/>
      <c r="D56" s="4"/>
      <c r="E56" s="4"/>
      <c r="F56" s="4" t="str">
        <f ca="1">IFERROR(_xludf.XLOOKUP(D56,Ustawienia!$D$4:$D$100,Ustawienia!$E$4:$E$100),"")</f>
        <v/>
      </c>
      <c r="G56" s="4"/>
    </row>
    <row r="57" spans="1:7" x14ac:dyDescent="0.25">
      <c r="A57" s="4"/>
      <c r="B57" s="4"/>
      <c r="C57" s="4"/>
      <c r="D57" s="4"/>
      <c r="E57" s="4"/>
      <c r="F57" s="4" t="str">
        <f ca="1">IFERROR(_xludf.XLOOKUP(D57,Ustawienia!$D$4:$D$100,Ustawienia!$E$4:$E$100),"")</f>
        <v/>
      </c>
      <c r="G57" s="4"/>
    </row>
    <row r="58" spans="1:7" x14ac:dyDescent="0.25">
      <c r="A58" s="4"/>
      <c r="B58" s="4"/>
      <c r="C58" s="4"/>
      <c r="D58" s="4"/>
      <c r="E58" s="4"/>
      <c r="F58" s="4" t="str">
        <f ca="1">IFERROR(_xludf.XLOOKUP(D58,Ustawienia!$D$4:$D$100,Ustawienia!$E$4:$E$100),"")</f>
        <v/>
      </c>
      <c r="G58" s="4"/>
    </row>
    <row r="59" spans="1:7" x14ac:dyDescent="0.25">
      <c r="A59" s="4"/>
      <c r="B59" s="4"/>
      <c r="C59" s="4"/>
      <c r="D59" s="4"/>
      <c r="E59" s="4"/>
      <c r="F59" s="4" t="str">
        <f ca="1">IFERROR(_xludf.XLOOKUP(D59,Ustawienia!$D$4:$D$100,Ustawienia!$E$4:$E$100),"")</f>
        <v/>
      </c>
      <c r="G59" s="4"/>
    </row>
    <row r="60" spans="1:7" x14ac:dyDescent="0.25">
      <c r="A60" s="4"/>
      <c r="B60" s="4"/>
      <c r="C60" s="4"/>
      <c r="D60" s="4"/>
      <c r="E60" s="4"/>
      <c r="F60" s="4" t="str">
        <f ca="1">IFERROR(_xludf.XLOOKUP(D60,Ustawienia!$D$4:$D$100,Ustawienia!$E$4:$E$100),"")</f>
        <v/>
      </c>
      <c r="G60" s="4"/>
    </row>
    <row r="61" spans="1:7" x14ac:dyDescent="0.25">
      <c r="A61" s="4"/>
      <c r="B61" s="4"/>
      <c r="C61" s="4"/>
      <c r="D61" s="4"/>
      <c r="E61" s="4"/>
      <c r="F61" s="4" t="str">
        <f ca="1">IFERROR(_xludf.XLOOKUP(D61,Ustawienia!$D$4:$D$100,Ustawienia!$E$4:$E$100),"")</f>
        <v/>
      </c>
      <c r="G61" s="4"/>
    </row>
    <row r="62" spans="1:7" x14ac:dyDescent="0.25">
      <c r="A62" s="4"/>
      <c r="B62" s="4"/>
      <c r="C62" s="4"/>
      <c r="D62" s="4"/>
      <c r="E62" s="4"/>
      <c r="F62" s="4" t="str">
        <f ca="1">IFERROR(_xludf.XLOOKUP(D62,Ustawienia!$D$4:$D$100,Ustawienia!$E$4:$E$100),"")</f>
        <v/>
      </c>
      <c r="G62" s="4"/>
    </row>
    <row r="63" spans="1:7" x14ac:dyDescent="0.25">
      <c r="A63" s="4"/>
      <c r="B63" s="4"/>
      <c r="C63" s="4"/>
      <c r="D63" s="4"/>
      <c r="E63" s="4"/>
      <c r="F63" s="4" t="str">
        <f ca="1">IFERROR(_xludf.XLOOKUP(D63,Ustawienia!$D$4:$D$100,Ustawienia!$E$4:$E$100),"")</f>
        <v/>
      </c>
      <c r="G63" s="4"/>
    </row>
    <row r="64" spans="1:7" x14ac:dyDescent="0.25">
      <c r="A64" s="4"/>
      <c r="B64" s="4"/>
      <c r="C64" s="4"/>
      <c r="D64" s="4"/>
      <c r="E64" s="4"/>
      <c r="F64" s="4" t="str">
        <f ca="1">IFERROR(_xludf.XLOOKUP(D64,Ustawienia!$D$4:$D$100,Ustawienia!$E$4:$E$100),"")</f>
        <v/>
      </c>
      <c r="G64" s="4"/>
    </row>
    <row r="65" spans="1:7" x14ac:dyDescent="0.25">
      <c r="A65" s="4"/>
      <c r="B65" s="4"/>
      <c r="C65" s="4"/>
      <c r="D65" s="4"/>
      <c r="E65" s="4"/>
      <c r="F65" s="4" t="str">
        <f ca="1">IFERROR(_xludf.XLOOKUP(D65,Ustawienia!$D$4:$D$100,Ustawienia!$E$4:$E$100),"")</f>
        <v/>
      </c>
      <c r="G65" s="4"/>
    </row>
    <row r="66" spans="1:7" x14ac:dyDescent="0.25">
      <c r="A66" s="4"/>
      <c r="B66" s="4"/>
      <c r="C66" s="4"/>
      <c r="D66" s="4"/>
      <c r="E66" s="4"/>
      <c r="F66" s="4" t="str">
        <f ca="1">IFERROR(_xludf.XLOOKUP(D66,Ustawienia!$D$4:$D$100,Ustawienia!$E$4:$E$100),"")</f>
        <v/>
      </c>
      <c r="G66" s="4"/>
    </row>
    <row r="67" spans="1:7" x14ac:dyDescent="0.25">
      <c r="A67" s="4"/>
      <c r="B67" s="4"/>
      <c r="C67" s="4"/>
      <c r="D67" s="4"/>
      <c r="E67" s="4"/>
      <c r="F67" s="4" t="str">
        <f ca="1">IFERROR(_xludf.XLOOKUP(D67,Ustawienia!$D$4:$D$100,Ustawienia!$E$4:$E$100),"")</f>
        <v/>
      </c>
      <c r="G67" s="4"/>
    </row>
    <row r="68" spans="1:7" x14ac:dyDescent="0.25">
      <c r="A68" s="4"/>
      <c r="B68" s="4"/>
      <c r="C68" s="4"/>
      <c r="D68" s="4"/>
      <c r="E68" s="4"/>
      <c r="F68" s="4" t="str">
        <f ca="1">IFERROR(_xludf.XLOOKUP(D68,Ustawienia!$D$4:$D$100,Ustawienia!$E$4:$E$100),"")</f>
        <v/>
      </c>
      <c r="G68" s="4"/>
    </row>
    <row r="69" spans="1:7" x14ac:dyDescent="0.25">
      <c r="A69" s="4"/>
      <c r="B69" s="4"/>
      <c r="C69" s="4"/>
      <c r="D69" s="4"/>
      <c r="E69" s="4"/>
      <c r="F69" s="4" t="str">
        <f ca="1">IFERROR(_xludf.XLOOKUP(D69,Ustawienia!$D$4:$D$100,Ustawienia!$E$4:$E$100),"")</f>
        <v/>
      </c>
      <c r="G69" s="4"/>
    </row>
    <row r="70" spans="1:7" x14ac:dyDescent="0.25">
      <c r="A70" s="4"/>
      <c r="B70" s="4"/>
      <c r="C70" s="4"/>
      <c r="D70" s="4"/>
      <c r="E70" s="4"/>
      <c r="F70" s="4" t="str">
        <f ca="1">IFERROR(_xludf.XLOOKUP(D70,Ustawienia!$D$4:$D$100,Ustawienia!$E$4:$E$100),"")</f>
        <v/>
      </c>
      <c r="G70" s="4"/>
    </row>
    <row r="71" spans="1:7" x14ac:dyDescent="0.25">
      <c r="A71" s="4"/>
      <c r="B71" s="4"/>
      <c r="C71" s="4"/>
      <c r="D71" s="4"/>
      <c r="E71" s="4"/>
      <c r="F71" s="4" t="str">
        <f ca="1">IFERROR(_xludf.XLOOKUP(D71,Ustawienia!$D$4:$D$100,Ustawienia!$E$4:$E$100),"")</f>
        <v/>
      </c>
      <c r="G71" s="4"/>
    </row>
    <row r="72" spans="1:7" x14ac:dyDescent="0.25">
      <c r="A72" s="4"/>
      <c r="B72" s="4"/>
      <c r="C72" s="4"/>
      <c r="D72" s="4"/>
      <c r="E72" s="4"/>
      <c r="F72" s="4" t="str">
        <f ca="1">IFERROR(_xludf.XLOOKUP(D72,Ustawienia!$D$4:$D$100,Ustawienia!$E$4:$E$100),"")</f>
        <v/>
      </c>
      <c r="G72" s="4"/>
    </row>
    <row r="73" spans="1:7" x14ac:dyDescent="0.25">
      <c r="A73" s="4"/>
      <c r="B73" s="4"/>
      <c r="C73" s="4"/>
      <c r="D73" s="4"/>
      <c r="E73" s="4"/>
      <c r="F73" s="4" t="str">
        <f ca="1">IFERROR(_xludf.XLOOKUP(D73,Ustawienia!$D$4:$D$100,Ustawienia!$E$4:$E$100),"")</f>
        <v/>
      </c>
      <c r="G73" s="4"/>
    </row>
    <row r="74" spans="1:7" x14ac:dyDescent="0.25">
      <c r="A74" s="4"/>
      <c r="B74" s="4"/>
      <c r="C74" s="4"/>
      <c r="D74" s="4"/>
      <c r="E74" s="4"/>
      <c r="F74" s="4" t="str">
        <f ca="1">IFERROR(_xludf.XLOOKUP(D74,Ustawienia!$D$4:$D$100,Ustawienia!$E$4:$E$100),"")</f>
        <v/>
      </c>
      <c r="G74" s="4"/>
    </row>
    <row r="75" spans="1:7" x14ac:dyDescent="0.25">
      <c r="A75" s="4"/>
      <c r="B75" s="4"/>
      <c r="C75" s="4"/>
      <c r="D75" s="4"/>
      <c r="E75" s="4"/>
      <c r="F75" s="4" t="str">
        <f ca="1">IFERROR(_xludf.XLOOKUP(D75,Ustawienia!$D$4:$D$100,Ustawienia!$E$4:$E$100),"")</f>
        <v/>
      </c>
      <c r="G75" s="4"/>
    </row>
    <row r="76" spans="1:7" x14ac:dyDescent="0.25">
      <c r="A76" s="4"/>
      <c r="B76" s="4"/>
      <c r="C76" s="4"/>
      <c r="D76" s="4"/>
      <c r="E76" s="4"/>
      <c r="F76" s="4" t="str">
        <f ca="1">IFERROR(_xludf.XLOOKUP(D76,Ustawienia!$D$4:$D$100,Ustawienia!$E$4:$E$100),"")</f>
        <v/>
      </c>
      <c r="G76" s="4"/>
    </row>
    <row r="77" spans="1:7" x14ac:dyDescent="0.25">
      <c r="A77" s="4"/>
      <c r="B77" s="4"/>
      <c r="C77" s="4"/>
      <c r="D77" s="4"/>
      <c r="E77" s="4"/>
      <c r="F77" s="4" t="str">
        <f ca="1">IFERROR(_xludf.XLOOKUP(D77,Ustawienia!$D$4:$D$100,Ustawienia!$E$4:$E$100),"")</f>
        <v/>
      </c>
      <c r="G77" s="4"/>
    </row>
    <row r="78" spans="1:7" x14ac:dyDescent="0.25">
      <c r="A78" s="4"/>
      <c r="B78" s="4"/>
      <c r="C78" s="4"/>
      <c r="D78" s="4"/>
      <c r="E78" s="4"/>
      <c r="F78" s="4" t="str">
        <f ca="1">IFERROR(_xludf.XLOOKUP(D78,Ustawienia!$D$4:$D$100,Ustawienia!$E$4:$E$100),"")</f>
        <v/>
      </c>
      <c r="G78" s="4"/>
    </row>
    <row r="79" spans="1:7" x14ac:dyDescent="0.25">
      <c r="A79" s="4"/>
      <c r="B79" s="4"/>
      <c r="C79" s="4"/>
      <c r="D79" s="4"/>
      <c r="E79" s="4"/>
      <c r="F79" s="4" t="str">
        <f ca="1">IFERROR(_xludf.XLOOKUP(D79,Ustawienia!$D$4:$D$100,Ustawienia!$E$4:$E$100),"")</f>
        <v/>
      </c>
      <c r="G79" s="4"/>
    </row>
    <row r="80" spans="1:7" x14ac:dyDescent="0.25">
      <c r="A80" s="4"/>
      <c r="B80" s="4"/>
      <c r="C80" s="4"/>
      <c r="D80" s="4"/>
      <c r="E80" s="4"/>
      <c r="F80" s="4" t="str">
        <f ca="1">IFERROR(_xludf.XLOOKUP(D80,Ustawienia!$D$4:$D$100,Ustawienia!$E$4:$E$100),"")</f>
        <v/>
      </c>
      <c r="G80" s="4"/>
    </row>
    <row r="81" spans="1:7" x14ac:dyDescent="0.25">
      <c r="A81" s="4"/>
      <c r="B81" s="4"/>
      <c r="C81" s="4"/>
      <c r="D81" s="4"/>
      <c r="E81" s="4"/>
      <c r="F81" s="4" t="str">
        <f ca="1">IFERROR(_xludf.XLOOKUP(D81,Ustawienia!$D$4:$D$100,Ustawienia!$E$4:$E$100),"")</f>
        <v/>
      </c>
      <c r="G81" s="4"/>
    </row>
    <row r="82" spans="1:7" x14ac:dyDescent="0.25">
      <c r="A82" s="4"/>
      <c r="B82" s="4"/>
      <c r="C82" s="4"/>
      <c r="D82" s="4"/>
      <c r="E82" s="4"/>
      <c r="F82" s="4" t="str">
        <f ca="1">IFERROR(_xludf.XLOOKUP(D82,Ustawienia!$D$4:$D$100,Ustawienia!$E$4:$E$100),"")</f>
        <v/>
      </c>
      <c r="G82" s="4"/>
    </row>
    <row r="83" spans="1:7" x14ac:dyDescent="0.25">
      <c r="A83" s="4"/>
      <c r="B83" s="4"/>
      <c r="C83" s="4"/>
      <c r="D83" s="4"/>
      <c r="E83" s="4"/>
      <c r="F83" s="4" t="str">
        <f ca="1">IFERROR(_xludf.XLOOKUP(D83,Ustawienia!$D$4:$D$100,Ustawienia!$E$4:$E$100),"")</f>
        <v/>
      </c>
      <c r="G83" s="4"/>
    </row>
    <row r="84" spans="1:7" x14ac:dyDescent="0.25">
      <c r="A84" s="4"/>
      <c r="B84" s="4"/>
      <c r="C84" s="4"/>
      <c r="D84" s="4"/>
      <c r="E84" s="4"/>
      <c r="F84" s="4" t="str">
        <f ca="1">IFERROR(_xludf.XLOOKUP(D84,Ustawienia!$D$4:$D$100,Ustawienia!$E$4:$E$100),"")</f>
        <v/>
      </c>
      <c r="G84" s="4"/>
    </row>
    <row r="85" spans="1:7" x14ac:dyDescent="0.25">
      <c r="A85" s="4"/>
      <c r="B85" s="4"/>
      <c r="C85" s="4"/>
      <c r="D85" s="4"/>
      <c r="E85" s="4"/>
      <c r="F85" s="4" t="str">
        <f ca="1">IFERROR(_xludf.XLOOKUP(D85,Ustawienia!$D$4:$D$100,Ustawienia!$E$4:$E$100),"")</f>
        <v/>
      </c>
      <c r="G85" s="4"/>
    </row>
    <row r="86" spans="1:7" x14ac:dyDescent="0.25">
      <c r="A86" s="4"/>
      <c r="B86" s="4"/>
      <c r="C86" s="4"/>
      <c r="D86" s="4"/>
      <c r="E86" s="4"/>
      <c r="F86" s="4" t="str">
        <f ca="1">IFERROR(_xludf.XLOOKUP(D86,Ustawienia!$D$4:$D$100,Ustawienia!$E$4:$E$100),"")</f>
        <v/>
      </c>
      <c r="G86" s="4"/>
    </row>
    <row r="87" spans="1:7" x14ac:dyDescent="0.25">
      <c r="A87" s="4"/>
      <c r="B87" s="4"/>
      <c r="C87" s="4"/>
      <c r="D87" s="4"/>
      <c r="E87" s="4"/>
      <c r="F87" s="4" t="str">
        <f ca="1">IFERROR(_xludf.XLOOKUP(D87,Ustawienia!$D$4:$D$100,Ustawienia!$E$4:$E$100),"")</f>
        <v/>
      </c>
      <c r="G87" s="4"/>
    </row>
    <row r="88" spans="1:7" x14ac:dyDescent="0.25">
      <c r="A88" s="4"/>
      <c r="B88" s="4"/>
      <c r="C88" s="4"/>
      <c r="D88" s="4"/>
      <c r="E88" s="4"/>
      <c r="F88" s="4" t="str">
        <f ca="1">IFERROR(_xludf.XLOOKUP(D88,Ustawienia!$D$4:$D$100,Ustawienia!$E$4:$E$100),"")</f>
        <v/>
      </c>
      <c r="G88" s="4"/>
    </row>
    <row r="89" spans="1:7" x14ac:dyDescent="0.25">
      <c r="A89" s="4"/>
      <c r="B89" s="4"/>
      <c r="C89" s="4"/>
      <c r="D89" s="4"/>
      <c r="E89" s="4"/>
      <c r="F89" s="4" t="str">
        <f ca="1">IFERROR(_xludf.XLOOKUP(D89,Ustawienia!$D$4:$D$100,Ustawienia!$E$4:$E$100),"")</f>
        <v/>
      </c>
      <c r="G89" s="4"/>
    </row>
    <row r="90" spans="1:7" x14ac:dyDescent="0.25">
      <c r="A90" s="4"/>
      <c r="B90" s="4"/>
      <c r="C90" s="4"/>
      <c r="D90" s="4"/>
      <c r="E90" s="4"/>
      <c r="F90" s="4" t="str">
        <f ca="1">IFERROR(_xludf.XLOOKUP(D90,Ustawienia!$D$4:$D$100,Ustawienia!$E$4:$E$100),"")</f>
        <v/>
      </c>
      <c r="G90" s="4"/>
    </row>
    <row r="91" spans="1:7" x14ac:dyDescent="0.25">
      <c r="A91" s="4"/>
      <c r="B91" s="4"/>
      <c r="C91" s="4"/>
      <c r="D91" s="4"/>
      <c r="E91" s="4"/>
      <c r="F91" s="4" t="str">
        <f ca="1">IFERROR(_xludf.XLOOKUP(D91,Ustawienia!$D$4:$D$100,Ustawienia!$E$4:$E$100),"")</f>
        <v/>
      </c>
      <c r="G91" s="4"/>
    </row>
    <row r="92" spans="1:7" x14ac:dyDescent="0.25">
      <c r="A92" s="4"/>
      <c r="B92" s="4"/>
      <c r="C92" s="4"/>
      <c r="D92" s="4"/>
      <c r="E92" s="4"/>
      <c r="F92" s="4" t="str">
        <f ca="1">IFERROR(_xludf.XLOOKUP(D92,Ustawienia!$D$4:$D$100,Ustawienia!$E$4:$E$100),"")</f>
        <v/>
      </c>
      <c r="G92" s="4"/>
    </row>
    <row r="93" spans="1:7" x14ac:dyDescent="0.25">
      <c r="A93" s="4"/>
      <c r="B93" s="4"/>
      <c r="C93" s="4"/>
      <c r="D93" s="4"/>
      <c r="E93" s="4"/>
      <c r="F93" s="4" t="str">
        <f ca="1">IFERROR(_xludf.XLOOKUP(D93,Ustawienia!$D$4:$D$100,Ustawienia!$E$4:$E$100),"")</f>
        <v/>
      </c>
      <c r="G93" s="4"/>
    </row>
    <row r="94" spans="1:7" x14ac:dyDescent="0.25">
      <c r="A94" s="4"/>
      <c r="B94" s="4"/>
      <c r="C94" s="4"/>
      <c r="D94" s="4"/>
      <c r="E94" s="4"/>
      <c r="F94" s="4" t="str">
        <f ca="1">IFERROR(_xludf.XLOOKUP(D94,Ustawienia!$D$4:$D$100,Ustawienia!$E$4:$E$100),"")</f>
        <v/>
      </c>
      <c r="G94" s="4"/>
    </row>
    <row r="95" spans="1:7" x14ac:dyDescent="0.25">
      <c r="A95" s="4"/>
      <c r="B95" s="4"/>
      <c r="C95" s="4"/>
      <c r="D95" s="4"/>
      <c r="E95" s="4"/>
      <c r="F95" s="4" t="str">
        <f ca="1">IFERROR(_xludf.XLOOKUP(D95,Ustawienia!$D$4:$D$100,Ustawienia!$E$4:$E$100),"")</f>
        <v/>
      </c>
      <c r="G95" s="4"/>
    </row>
    <row r="96" spans="1:7" x14ac:dyDescent="0.25">
      <c r="A96" s="4"/>
      <c r="B96" s="4"/>
      <c r="C96" s="4"/>
      <c r="D96" s="4"/>
      <c r="E96" s="4"/>
      <c r="F96" s="4" t="str">
        <f ca="1">IFERROR(_xludf.XLOOKUP(D96,Ustawienia!$D$4:$D$100,Ustawienia!$E$4:$E$100),"")</f>
        <v/>
      </c>
      <c r="G96" s="4"/>
    </row>
    <row r="97" spans="1:7" x14ac:dyDescent="0.25">
      <c r="A97" s="4"/>
      <c r="B97" s="4"/>
      <c r="C97" s="4"/>
      <c r="D97" s="4"/>
      <c r="E97" s="4"/>
      <c r="F97" s="4" t="str">
        <f ca="1">IFERROR(_xludf.XLOOKUP(D97,Ustawienia!$D$4:$D$100,Ustawienia!$E$4:$E$100),"")</f>
        <v/>
      </c>
      <c r="G97" s="4"/>
    </row>
    <row r="98" spans="1:7" x14ac:dyDescent="0.25">
      <c r="A98" s="4"/>
      <c r="B98" s="4"/>
      <c r="C98" s="4"/>
      <c r="D98" s="4"/>
      <c r="E98" s="4"/>
      <c r="F98" s="4" t="str">
        <f ca="1">IFERROR(_xludf.XLOOKUP(D98,Ustawienia!$D$4:$D$100,Ustawienia!$E$4:$E$100),"")</f>
        <v/>
      </c>
      <c r="G98" s="4"/>
    </row>
    <row r="99" spans="1:7" x14ac:dyDescent="0.25">
      <c r="A99" s="4"/>
      <c r="B99" s="4"/>
      <c r="C99" s="4"/>
      <c r="D99" s="4"/>
      <c r="E99" s="4"/>
      <c r="F99" s="4" t="str">
        <f ca="1">IFERROR(_xludf.XLOOKUP(D99,Ustawienia!$D$4:$D$100,Ustawienia!$E$4:$E$100),"")</f>
        <v/>
      </c>
      <c r="G99" s="4"/>
    </row>
    <row r="100" spans="1:7" x14ac:dyDescent="0.25">
      <c r="A100" s="4"/>
      <c r="B100" s="4"/>
      <c r="C100" s="4"/>
      <c r="D100" s="4"/>
      <c r="E100" s="4"/>
      <c r="F100" s="4" t="str">
        <f ca="1">IFERROR(_xludf.XLOOKUP(D100,Ustawienia!$D$4:$D$100,Ustawienia!$E$4:$E$100),"")</f>
        <v/>
      </c>
      <c r="G100" s="4"/>
    </row>
    <row r="101" spans="1:7" x14ac:dyDescent="0.25">
      <c r="A101" s="4"/>
      <c r="B101" s="4"/>
      <c r="C101" s="4"/>
      <c r="D101" s="4"/>
      <c r="E101" s="4"/>
      <c r="F101" s="4" t="str">
        <f ca="1">IFERROR(_xludf.XLOOKUP(D101,Ustawienia!$D$4:$D$100,Ustawienia!$E$4:$E$100),"")</f>
        <v/>
      </c>
      <c r="G101" s="4"/>
    </row>
    <row r="102" spans="1:7" x14ac:dyDescent="0.25">
      <c r="A102" s="4"/>
      <c r="B102" s="4"/>
      <c r="C102" s="4"/>
      <c r="D102" s="4"/>
      <c r="E102" s="4"/>
      <c r="F102" s="4" t="str">
        <f ca="1">IFERROR(_xludf.XLOOKUP(D102,Ustawienia!$D$4:$D$100,Ustawienia!$E$4:$E$100),"")</f>
        <v/>
      </c>
      <c r="G102" s="4"/>
    </row>
    <row r="103" spans="1:7" x14ac:dyDescent="0.25">
      <c r="A103" s="4"/>
      <c r="B103" s="4"/>
      <c r="C103" s="4"/>
      <c r="D103" s="4"/>
      <c r="E103" s="4"/>
      <c r="F103" s="4" t="str">
        <f ca="1">IFERROR(_xludf.XLOOKUP(D103,Ustawienia!$D$4:$D$100,Ustawienia!$E$4:$E$100),"")</f>
        <v/>
      </c>
      <c r="G103" s="4"/>
    </row>
    <row r="104" spans="1:7" x14ac:dyDescent="0.25">
      <c r="A104" s="4"/>
      <c r="B104" s="4"/>
      <c r="C104" s="4"/>
      <c r="D104" s="4"/>
      <c r="E104" s="4"/>
      <c r="F104" s="4" t="str">
        <f ca="1">IFERROR(_xludf.XLOOKUP(D104,Ustawienia!$D$4:$D$100,Ustawienia!$E$4:$E$100),"")</f>
        <v/>
      </c>
      <c r="G104" s="4"/>
    </row>
    <row r="105" spans="1:7" x14ac:dyDescent="0.25">
      <c r="A105" s="4"/>
      <c r="B105" s="4"/>
      <c r="C105" s="4"/>
      <c r="D105" s="4"/>
      <c r="E105" s="4"/>
      <c r="F105" s="4" t="str">
        <f ca="1">IFERROR(_xludf.XLOOKUP(D105,Ustawienia!$D$4:$D$100,Ustawienia!$E$4:$E$100),"")</f>
        <v/>
      </c>
      <c r="G105" s="4"/>
    </row>
    <row r="106" spans="1:7" x14ac:dyDescent="0.25">
      <c r="A106" s="4"/>
      <c r="B106" s="4"/>
      <c r="C106" s="4"/>
      <c r="D106" s="4"/>
      <c r="E106" s="4"/>
      <c r="F106" s="4" t="str">
        <f ca="1">IFERROR(_xludf.XLOOKUP(D106,Ustawienia!$D$4:$D$100,Ustawienia!$E$4:$E$100),"")</f>
        <v/>
      </c>
      <c r="G106" s="4"/>
    </row>
    <row r="107" spans="1:7" x14ac:dyDescent="0.25">
      <c r="A107" s="4"/>
      <c r="B107" s="4"/>
      <c r="C107" s="4"/>
      <c r="D107" s="4"/>
      <c r="E107" s="4"/>
      <c r="F107" s="4" t="str">
        <f ca="1">IFERROR(_xludf.XLOOKUP(D107,Ustawienia!$D$4:$D$100,Ustawienia!$E$4:$E$100),"")</f>
        <v/>
      </c>
      <c r="G107" s="4"/>
    </row>
    <row r="108" spans="1:7" x14ac:dyDescent="0.25">
      <c r="A108" s="4"/>
      <c r="B108" s="4"/>
      <c r="C108" s="4"/>
      <c r="D108" s="4"/>
      <c r="E108" s="4"/>
      <c r="F108" s="4" t="str">
        <f ca="1">IFERROR(_xludf.XLOOKUP(D108,Ustawienia!$D$4:$D$100,Ustawienia!$E$4:$E$100),"")</f>
        <v/>
      </c>
      <c r="G108" s="4"/>
    </row>
    <row r="109" spans="1:7" x14ac:dyDescent="0.25">
      <c r="A109" s="4"/>
      <c r="B109" s="4"/>
      <c r="C109" s="4"/>
      <c r="D109" s="4"/>
      <c r="E109" s="4"/>
      <c r="F109" s="4" t="str">
        <f ca="1">IFERROR(_xludf.XLOOKUP(D109,Ustawienia!$D$4:$D$100,Ustawienia!$E$4:$E$100),"")</f>
        <v/>
      </c>
      <c r="G109" s="4"/>
    </row>
    <row r="110" spans="1:7" x14ac:dyDescent="0.25">
      <c r="A110" s="4"/>
      <c r="B110" s="4"/>
      <c r="C110" s="4"/>
      <c r="D110" s="4"/>
      <c r="E110" s="4"/>
      <c r="F110" s="4" t="str">
        <f ca="1">IFERROR(_xludf.XLOOKUP(D110,Ustawienia!$D$4:$D$100,Ustawienia!$E$4:$E$100),"")</f>
        <v/>
      </c>
      <c r="G110" s="4"/>
    </row>
    <row r="111" spans="1:7" x14ac:dyDescent="0.25">
      <c r="A111" s="4"/>
      <c r="B111" s="4"/>
      <c r="C111" s="4"/>
      <c r="D111" s="4"/>
      <c r="E111" s="4"/>
      <c r="F111" s="4" t="str">
        <f ca="1">IFERROR(_xludf.XLOOKUP(D111,Ustawienia!$D$4:$D$100,Ustawienia!$E$4:$E$100),"")</f>
        <v/>
      </c>
      <c r="G111" s="4"/>
    </row>
    <row r="112" spans="1:7" x14ac:dyDescent="0.25">
      <c r="A112" s="4"/>
      <c r="B112" s="4"/>
      <c r="C112" s="4"/>
      <c r="D112" s="4"/>
      <c r="E112" s="4"/>
      <c r="F112" s="4" t="str">
        <f ca="1">IFERROR(_xludf.XLOOKUP(D112,Ustawienia!$D$4:$D$100,Ustawienia!$E$4:$E$100),"")</f>
        <v/>
      </c>
      <c r="G112" s="4"/>
    </row>
    <row r="113" spans="1:7" x14ac:dyDescent="0.25">
      <c r="A113" s="4"/>
      <c r="B113" s="4"/>
      <c r="C113" s="4"/>
      <c r="D113" s="4"/>
      <c r="E113" s="4"/>
      <c r="F113" s="4" t="str">
        <f ca="1">IFERROR(_xludf.XLOOKUP(D113,Ustawienia!$D$4:$D$100,Ustawienia!$E$4:$E$100),"")</f>
        <v/>
      </c>
      <c r="G113" s="4"/>
    </row>
    <row r="114" spans="1:7" x14ac:dyDescent="0.25">
      <c r="A114" s="4"/>
      <c r="B114" s="4"/>
      <c r="C114" s="4"/>
      <c r="D114" s="4"/>
      <c r="E114" s="4"/>
      <c r="F114" s="4" t="str">
        <f ca="1">IFERROR(_xludf.XLOOKUP(D114,Ustawienia!$D$4:$D$100,Ustawienia!$E$4:$E$100),"")</f>
        <v/>
      </c>
      <c r="G114" s="4"/>
    </row>
    <row r="115" spans="1:7" x14ac:dyDescent="0.25">
      <c r="A115" s="4"/>
      <c r="B115" s="4"/>
      <c r="C115" s="4"/>
      <c r="D115" s="4"/>
      <c r="E115" s="4"/>
      <c r="F115" s="4" t="str">
        <f ca="1">IFERROR(_xludf.XLOOKUP(D115,Ustawienia!$D$4:$D$100,Ustawienia!$E$4:$E$100),"")</f>
        <v/>
      </c>
      <c r="G115" s="4"/>
    </row>
    <row r="116" spans="1:7" x14ac:dyDescent="0.25">
      <c r="A116" s="4"/>
      <c r="B116" s="4"/>
      <c r="C116" s="4"/>
      <c r="D116" s="4"/>
      <c r="E116" s="4"/>
      <c r="F116" s="4" t="str">
        <f ca="1">IFERROR(_xludf.XLOOKUP(D116,Ustawienia!$D$4:$D$100,Ustawienia!$E$4:$E$100),"")</f>
        <v/>
      </c>
      <c r="G116" s="4"/>
    </row>
    <row r="117" spans="1:7" x14ac:dyDescent="0.25">
      <c r="A117" s="4"/>
      <c r="B117" s="4"/>
      <c r="C117" s="4"/>
      <c r="D117" s="4"/>
      <c r="E117" s="4"/>
      <c r="F117" s="4" t="str">
        <f ca="1">IFERROR(_xludf.XLOOKUP(D117,Ustawienia!$D$4:$D$100,Ustawienia!$E$4:$E$100),"")</f>
        <v/>
      </c>
      <c r="G117" s="4"/>
    </row>
    <row r="118" spans="1:7" x14ac:dyDescent="0.25">
      <c r="A118" s="4"/>
      <c r="B118" s="4"/>
      <c r="C118" s="4"/>
      <c r="D118" s="4"/>
      <c r="E118" s="4"/>
      <c r="F118" s="4" t="str">
        <f ca="1">IFERROR(_xludf.XLOOKUP(D118,Ustawienia!$D$4:$D$100,Ustawienia!$E$4:$E$100),"")</f>
        <v/>
      </c>
      <c r="G118" s="4"/>
    </row>
    <row r="119" spans="1:7" x14ac:dyDescent="0.25">
      <c r="A119" s="4"/>
      <c r="B119" s="4"/>
      <c r="C119" s="4"/>
      <c r="D119" s="4"/>
      <c r="E119" s="4"/>
      <c r="F119" s="4" t="str">
        <f ca="1">IFERROR(_xludf.XLOOKUP(D119,Ustawienia!$D$4:$D$100,Ustawienia!$E$4:$E$100),"")</f>
        <v/>
      </c>
      <c r="G119" s="4"/>
    </row>
    <row r="120" spans="1:7" x14ac:dyDescent="0.25">
      <c r="A120" s="4"/>
      <c r="B120" s="4"/>
      <c r="C120" s="4"/>
      <c r="D120" s="4"/>
      <c r="E120" s="4"/>
      <c r="F120" s="4" t="str">
        <f ca="1">IFERROR(_xludf.XLOOKUP(D120,Ustawienia!$D$4:$D$100,Ustawienia!$E$4:$E$100),"")</f>
        <v/>
      </c>
      <c r="G120" s="4"/>
    </row>
    <row r="121" spans="1:7" x14ac:dyDescent="0.25">
      <c r="A121" s="4"/>
      <c r="B121" s="4"/>
      <c r="C121" s="4"/>
      <c r="D121" s="4"/>
      <c r="E121" s="4"/>
      <c r="F121" s="4" t="str">
        <f ca="1">IFERROR(_xludf.XLOOKUP(D121,Ustawienia!$D$4:$D$100,Ustawienia!$E$4:$E$100),"")</f>
        <v/>
      </c>
      <c r="G121" s="4"/>
    </row>
    <row r="122" spans="1:7" x14ac:dyDescent="0.25">
      <c r="A122" s="4"/>
      <c r="B122" s="4"/>
      <c r="C122" s="4"/>
      <c r="D122" s="4"/>
      <c r="E122" s="4"/>
      <c r="F122" s="4" t="str">
        <f ca="1">IFERROR(_xludf.XLOOKUP(D122,Ustawienia!$D$4:$D$100,Ustawienia!$E$4:$E$100),"")</f>
        <v/>
      </c>
      <c r="G122" s="4"/>
    </row>
    <row r="123" spans="1:7" x14ac:dyDescent="0.25">
      <c r="A123" s="4"/>
      <c r="B123" s="4"/>
      <c r="C123" s="4"/>
      <c r="D123" s="4"/>
      <c r="E123" s="4"/>
      <c r="F123" s="4" t="str">
        <f ca="1">IFERROR(_xludf.XLOOKUP(D123,Ustawienia!$D$4:$D$100,Ustawienia!$E$4:$E$100),"")</f>
        <v/>
      </c>
      <c r="G123" s="4"/>
    </row>
    <row r="124" spans="1:7" x14ac:dyDescent="0.25">
      <c r="A124" s="4"/>
      <c r="B124" s="4"/>
      <c r="C124" s="4"/>
      <c r="D124" s="4"/>
      <c r="E124" s="4"/>
      <c r="F124" s="4" t="str">
        <f ca="1">IFERROR(_xludf.XLOOKUP(D124,Ustawienia!$D$4:$D$100,Ustawienia!$E$4:$E$100),"")</f>
        <v/>
      </c>
      <c r="G124" s="4"/>
    </row>
    <row r="125" spans="1:7" x14ac:dyDescent="0.25">
      <c r="A125" s="4"/>
      <c r="B125" s="4"/>
      <c r="C125" s="4"/>
      <c r="D125" s="4"/>
      <c r="E125" s="4"/>
      <c r="F125" s="4" t="str">
        <f ca="1">IFERROR(_xludf.XLOOKUP(D125,Ustawienia!$D$4:$D$100,Ustawienia!$E$4:$E$100),"")</f>
        <v/>
      </c>
      <c r="G125" s="4"/>
    </row>
    <row r="126" spans="1:7" x14ac:dyDescent="0.25">
      <c r="A126" s="4"/>
      <c r="B126" s="4"/>
      <c r="C126" s="4"/>
      <c r="D126" s="4"/>
      <c r="E126" s="4"/>
      <c r="F126" s="4" t="str">
        <f ca="1">IFERROR(_xludf.XLOOKUP(D126,Ustawienia!$D$4:$D$100,Ustawienia!$E$4:$E$100),"")</f>
        <v/>
      </c>
      <c r="G126" s="4"/>
    </row>
    <row r="127" spans="1:7" x14ac:dyDescent="0.25">
      <c r="A127" s="4"/>
      <c r="B127" s="4"/>
      <c r="C127" s="4"/>
      <c r="D127" s="4"/>
      <c r="E127" s="4"/>
      <c r="F127" s="4" t="str">
        <f ca="1">IFERROR(_xludf.XLOOKUP(D127,Ustawienia!$D$4:$D$100,Ustawienia!$E$4:$E$100),"")</f>
        <v/>
      </c>
      <c r="G127" s="4"/>
    </row>
    <row r="128" spans="1:7" x14ac:dyDescent="0.25">
      <c r="A128" s="4"/>
      <c r="B128" s="4"/>
      <c r="C128" s="4"/>
      <c r="D128" s="4"/>
      <c r="E128" s="4"/>
      <c r="F128" s="4" t="str">
        <f ca="1">IFERROR(_xludf.XLOOKUP(D128,Ustawienia!$D$4:$D$100,Ustawienia!$E$4:$E$100),"")</f>
        <v/>
      </c>
      <c r="G128" s="4"/>
    </row>
    <row r="129" spans="1:7" x14ac:dyDescent="0.25">
      <c r="A129" s="4"/>
      <c r="B129" s="4"/>
      <c r="C129" s="4"/>
      <c r="D129" s="4"/>
      <c r="E129" s="4"/>
      <c r="F129" s="4" t="str">
        <f ca="1">IFERROR(_xludf.XLOOKUP(D129,Ustawienia!$D$4:$D$100,Ustawienia!$E$4:$E$100),"")</f>
        <v/>
      </c>
      <c r="G129" s="4"/>
    </row>
    <row r="130" spans="1:7" x14ac:dyDescent="0.25">
      <c r="A130" s="4"/>
      <c r="B130" s="4"/>
      <c r="C130" s="4"/>
      <c r="D130" s="4"/>
      <c r="E130" s="4"/>
      <c r="F130" s="4" t="str">
        <f ca="1">IFERROR(_xludf.XLOOKUP(D130,Ustawienia!$D$4:$D$100,Ustawienia!$E$4:$E$100),"")</f>
        <v/>
      </c>
      <c r="G130" s="4"/>
    </row>
    <row r="131" spans="1:7" x14ac:dyDescent="0.25">
      <c r="A131" s="4"/>
      <c r="B131" s="4"/>
      <c r="C131" s="4"/>
      <c r="D131" s="4"/>
      <c r="E131" s="4"/>
      <c r="F131" s="4" t="str">
        <f ca="1">IFERROR(_xludf.XLOOKUP(D131,Ustawienia!$D$4:$D$100,Ustawienia!$E$4:$E$100),"")</f>
        <v/>
      </c>
      <c r="G131" s="4"/>
    </row>
    <row r="132" spans="1:7" x14ac:dyDescent="0.25">
      <c r="A132" s="4"/>
      <c r="B132" s="4"/>
      <c r="C132" s="4"/>
      <c r="D132" s="4"/>
      <c r="E132" s="4"/>
      <c r="F132" s="4" t="str">
        <f ca="1">IFERROR(_xludf.XLOOKUP(D132,Ustawienia!$D$4:$D$100,Ustawienia!$E$4:$E$100),"")</f>
        <v/>
      </c>
      <c r="G132" s="4"/>
    </row>
    <row r="133" spans="1:7" x14ac:dyDescent="0.25">
      <c r="A133" s="4"/>
      <c r="B133" s="4"/>
      <c r="C133" s="4"/>
      <c r="D133" s="4"/>
      <c r="E133" s="4"/>
      <c r="F133" s="4" t="str">
        <f ca="1">IFERROR(_xludf.XLOOKUP(D133,Ustawienia!$D$4:$D$100,Ustawienia!$E$4:$E$100),"")</f>
        <v/>
      </c>
      <c r="G133" s="4"/>
    </row>
    <row r="134" spans="1:7" x14ac:dyDescent="0.25">
      <c r="A134" s="4"/>
      <c r="B134" s="4"/>
      <c r="C134" s="4"/>
      <c r="D134" s="4"/>
      <c r="E134" s="4"/>
      <c r="F134" s="4" t="str">
        <f ca="1">IFERROR(_xludf.XLOOKUP(D134,Ustawienia!$D$4:$D$100,Ustawienia!$E$4:$E$100),"")</f>
        <v/>
      </c>
      <c r="G134" s="4"/>
    </row>
    <row r="135" spans="1:7" x14ac:dyDescent="0.25">
      <c r="A135" s="4"/>
      <c r="B135" s="4"/>
      <c r="C135" s="4"/>
      <c r="D135" s="4"/>
      <c r="E135" s="4"/>
      <c r="F135" s="4" t="str">
        <f ca="1">IFERROR(_xludf.XLOOKUP(D135,Ustawienia!$D$4:$D$100,Ustawienia!$E$4:$E$100),"")</f>
        <v/>
      </c>
      <c r="G135" s="4"/>
    </row>
    <row r="136" spans="1:7" x14ac:dyDescent="0.25">
      <c r="A136" s="4"/>
      <c r="B136" s="4"/>
      <c r="C136" s="4"/>
      <c r="D136" s="4"/>
      <c r="E136" s="4"/>
      <c r="F136" s="4" t="str">
        <f ca="1">IFERROR(_xludf.XLOOKUP(D136,Ustawienia!$D$4:$D$100,Ustawienia!$E$4:$E$100),"")</f>
        <v/>
      </c>
      <c r="G136" s="4"/>
    </row>
    <row r="137" spans="1:7" x14ac:dyDescent="0.25">
      <c r="A137" s="4"/>
      <c r="B137" s="4"/>
      <c r="C137" s="4"/>
      <c r="D137" s="4"/>
      <c r="E137" s="4"/>
      <c r="F137" s="4" t="str">
        <f ca="1">IFERROR(_xludf.XLOOKUP(D137,Ustawienia!$D$4:$D$100,Ustawienia!$E$4:$E$100),"")</f>
        <v/>
      </c>
      <c r="G137" s="4"/>
    </row>
    <row r="138" spans="1:7" x14ac:dyDescent="0.25">
      <c r="A138" s="4"/>
      <c r="B138" s="4"/>
      <c r="C138" s="4"/>
      <c r="D138" s="4"/>
      <c r="E138" s="4"/>
      <c r="F138" s="4" t="str">
        <f ca="1">IFERROR(_xludf.XLOOKUP(D138,Ustawienia!$D$4:$D$100,Ustawienia!$E$4:$E$100),"")</f>
        <v/>
      </c>
      <c r="G138" s="4"/>
    </row>
    <row r="139" spans="1:7" x14ac:dyDescent="0.25">
      <c r="A139" s="4"/>
      <c r="B139" s="4"/>
      <c r="C139" s="4"/>
      <c r="D139" s="4"/>
      <c r="E139" s="4"/>
      <c r="F139" s="4" t="str">
        <f ca="1">IFERROR(_xludf.XLOOKUP(D139,Ustawienia!$D$4:$D$100,Ustawienia!$E$4:$E$100),"")</f>
        <v/>
      </c>
      <c r="G139" s="4"/>
    </row>
    <row r="140" spans="1:7" x14ac:dyDescent="0.25">
      <c r="A140" s="4"/>
      <c r="B140" s="4"/>
      <c r="C140" s="4"/>
      <c r="D140" s="4"/>
      <c r="E140" s="4"/>
      <c r="F140" s="4" t="str">
        <f ca="1">IFERROR(_xludf.XLOOKUP(D140,Ustawienia!$D$4:$D$100,Ustawienia!$E$4:$E$100),"")</f>
        <v/>
      </c>
      <c r="G140" s="4"/>
    </row>
    <row r="141" spans="1:7" x14ac:dyDescent="0.25">
      <c r="A141" s="4"/>
      <c r="B141" s="4"/>
      <c r="C141" s="4"/>
      <c r="D141" s="4"/>
      <c r="E141" s="4"/>
      <c r="F141" s="4" t="str">
        <f ca="1">IFERROR(_xludf.XLOOKUP(D141,Ustawienia!$D$4:$D$100,Ustawienia!$E$4:$E$100),"")</f>
        <v/>
      </c>
      <c r="G141" s="4"/>
    </row>
    <row r="142" spans="1:7" x14ac:dyDescent="0.25">
      <c r="A142" s="4"/>
      <c r="B142" s="4"/>
      <c r="C142" s="4"/>
      <c r="D142" s="4"/>
      <c r="E142" s="4"/>
      <c r="F142" s="4" t="str">
        <f ca="1">IFERROR(_xludf.XLOOKUP(D142,Ustawienia!$D$4:$D$100,Ustawienia!$E$4:$E$100),"")</f>
        <v/>
      </c>
      <c r="G142" s="4"/>
    </row>
    <row r="143" spans="1:7" x14ac:dyDescent="0.25">
      <c r="A143" s="4"/>
      <c r="B143" s="4"/>
      <c r="C143" s="4"/>
      <c r="D143" s="4"/>
      <c r="E143" s="4"/>
      <c r="F143" s="4" t="str">
        <f ca="1">IFERROR(_xludf.XLOOKUP(D143,Ustawienia!$D$4:$D$100,Ustawienia!$E$4:$E$100),"")</f>
        <v/>
      </c>
      <c r="G143" s="4"/>
    </row>
    <row r="144" spans="1:7" x14ac:dyDescent="0.25">
      <c r="A144" s="4"/>
      <c r="B144" s="4"/>
      <c r="C144" s="4"/>
      <c r="D144" s="4"/>
      <c r="E144" s="4"/>
      <c r="F144" s="4" t="str">
        <f ca="1">IFERROR(_xludf.XLOOKUP(D144,Ustawienia!$D$4:$D$100,Ustawienia!$E$4:$E$100),"")</f>
        <v/>
      </c>
      <c r="G144" s="4"/>
    </row>
    <row r="145" spans="1:7" x14ac:dyDescent="0.25">
      <c r="A145" s="4"/>
      <c r="B145" s="4"/>
      <c r="C145" s="4"/>
      <c r="D145" s="4"/>
      <c r="E145" s="4"/>
      <c r="F145" s="4" t="str">
        <f ca="1">IFERROR(_xludf.XLOOKUP(D145,Ustawienia!$D$4:$D$100,Ustawienia!$E$4:$E$100),"")</f>
        <v/>
      </c>
      <c r="G145" s="4"/>
    </row>
    <row r="146" spans="1:7" x14ac:dyDescent="0.25">
      <c r="A146" s="4"/>
      <c r="B146" s="4"/>
      <c r="C146" s="4"/>
      <c r="D146" s="4"/>
      <c r="E146" s="4"/>
      <c r="F146" s="4" t="str">
        <f ca="1">IFERROR(_xludf.XLOOKUP(D146,Ustawienia!$D$4:$D$100,Ustawienia!$E$4:$E$100),"")</f>
        <v/>
      </c>
      <c r="G146" s="4"/>
    </row>
    <row r="147" spans="1:7" x14ac:dyDescent="0.25">
      <c r="A147" s="4"/>
      <c r="B147" s="4"/>
      <c r="C147" s="4"/>
      <c r="D147" s="4"/>
      <c r="E147" s="4"/>
      <c r="F147" s="4" t="str">
        <f ca="1">IFERROR(_xludf.XLOOKUP(D147,Ustawienia!$D$4:$D$100,Ustawienia!$E$4:$E$100),"")</f>
        <v/>
      </c>
      <c r="G147" s="4"/>
    </row>
    <row r="148" spans="1:7" x14ac:dyDescent="0.25">
      <c r="A148" s="4"/>
      <c r="B148" s="4"/>
      <c r="C148" s="4"/>
      <c r="D148" s="4"/>
      <c r="E148" s="4"/>
      <c r="F148" s="4" t="str">
        <f ca="1">IFERROR(_xludf.XLOOKUP(D148,Ustawienia!$D$4:$D$100,Ustawienia!$E$4:$E$100),"")</f>
        <v/>
      </c>
      <c r="G148" s="4"/>
    </row>
    <row r="149" spans="1:7" x14ac:dyDescent="0.25">
      <c r="A149" s="4"/>
      <c r="B149" s="4"/>
      <c r="C149" s="4"/>
      <c r="D149" s="4"/>
      <c r="E149" s="4"/>
      <c r="F149" s="4" t="str">
        <f ca="1">IFERROR(_xludf.XLOOKUP(D149,Ustawienia!$D$4:$D$100,Ustawienia!$E$4:$E$100),"")</f>
        <v/>
      </c>
      <c r="G149" s="4"/>
    </row>
    <row r="150" spans="1:7" x14ac:dyDescent="0.25">
      <c r="A150" s="4"/>
      <c r="B150" s="4"/>
      <c r="C150" s="4"/>
      <c r="D150" s="4"/>
      <c r="E150" s="4"/>
      <c r="F150" s="4" t="str">
        <f ca="1">IFERROR(_xludf.XLOOKUP(D150,Ustawienia!$D$4:$D$100,Ustawienia!$E$4:$E$100),"")</f>
        <v/>
      </c>
      <c r="G150" s="4"/>
    </row>
    <row r="151" spans="1:7" x14ac:dyDescent="0.25">
      <c r="A151" s="4"/>
      <c r="B151" s="4"/>
      <c r="C151" s="4"/>
      <c r="D151" s="4"/>
      <c r="E151" s="4"/>
      <c r="F151" s="4" t="str">
        <f ca="1">IFERROR(_xludf.XLOOKUP(D151,Ustawienia!$D$4:$D$100,Ustawienia!$E$4:$E$100),"")</f>
        <v/>
      </c>
      <c r="G151" s="4"/>
    </row>
    <row r="152" spans="1:7" x14ac:dyDescent="0.25">
      <c r="A152" s="4"/>
      <c r="B152" s="4"/>
      <c r="C152" s="4"/>
      <c r="D152" s="4"/>
      <c r="E152" s="4"/>
      <c r="F152" s="4" t="str">
        <f ca="1">IFERROR(_xludf.XLOOKUP(D152,Ustawienia!$D$4:$D$100,Ustawienia!$E$4:$E$100),"")</f>
        <v/>
      </c>
      <c r="G152" s="4"/>
    </row>
    <row r="153" spans="1:7" x14ac:dyDescent="0.25">
      <c r="A153" s="4"/>
      <c r="B153" s="4"/>
      <c r="C153" s="4"/>
      <c r="D153" s="4"/>
      <c r="E153" s="4"/>
      <c r="F153" s="4" t="str">
        <f ca="1">IFERROR(_xludf.XLOOKUP(D153,Ustawienia!$D$4:$D$100,Ustawienia!$E$4:$E$100),"")</f>
        <v/>
      </c>
      <c r="G153" s="4"/>
    </row>
    <row r="154" spans="1:7" x14ac:dyDescent="0.25">
      <c r="A154" s="4"/>
      <c r="B154" s="4"/>
      <c r="C154" s="4"/>
      <c r="D154" s="4"/>
      <c r="E154" s="4"/>
      <c r="F154" s="4" t="str">
        <f ca="1">IFERROR(_xludf.XLOOKUP(D154,Ustawienia!$D$4:$D$100,Ustawienia!$E$4:$E$100),"")</f>
        <v/>
      </c>
      <c r="G154" s="4"/>
    </row>
    <row r="155" spans="1:7" x14ac:dyDescent="0.25">
      <c r="A155" s="4"/>
      <c r="B155" s="4"/>
      <c r="C155" s="4"/>
      <c r="D155" s="4"/>
      <c r="E155" s="4"/>
      <c r="F155" s="4" t="str">
        <f ca="1">IFERROR(_xludf.XLOOKUP(D155,Ustawienia!$D$4:$D$100,Ustawienia!$E$4:$E$100),"")</f>
        <v/>
      </c>
      <c r="G155" s="4"/>
    </row>
    <row r="156" spans="1:7" x14ac:dyDescent="0.25">
      <c r="A156" s="4"/>
      <c r="B156" s="4"/>
      <c r="C156" s="4"/>
      <c r="D156" s="4"/>
      <c r="E156" s="4"/>
      <c r="F156" s="4" t="str">
        <f ca="1">IFERROR(_xludf.XLOOKUP(D156,Ustawienia!$D$4:$D$100,Ustawienia!$E$4:$E$100),"")</f>
        <v/>
      </c>
      <c r="G156" s="4"/>
    </row>
    <row r="157" spans="1:7" x14ac:dyDescent="0.25">
      <c r="A157" s="4"/>
      <c r="B157" s="4"/>
      <c r="C157" s="4"/>
      <c r="D157" s="4"/>
      <c r="E157" s="4"/>
      <c r="F157" s="4" t="str">
        <f ca="1">IFERROR(_xludf.XLOOKUP(D157,Ustawienia!$D$4:$D$100,Ustawienia!$E$4:$E$100),"")</f>
        <v/>
      </c>
      <c r="G157" s="4"/>
    </row>
    <row r="158" spans="1:7" x14ac:dyDescent="0.25">
      <c r="A158" s="4"/>
      <c r="B158" s="4"/>
      <c r="C158" s="4"/>
      <c r="D158" s="4"/>
      <c r="E158" s="4"/>
      <c r="F158" s="4" t="str">
        <f ca="1">IFERROR(_xludf.XLOOKUP(D158,Ustawienia!$D$4:$D$100,Ustawienia!$E$4:$E$100),"")</f>
        <v/>
      </c>
      <c r="G158" s="4"/>
    </row>
    <row r="159" spans="1:7" x14ac:dyDescent="0.25">
      <c r="A159" s="4"/>
      <c r="B159" s="4"/>
      <c r="C159" s="4"/>
      <c r="D159" s="4"/>
      <c r="E159" s="4"/>
      <c r="F159" s="4" t="str">
        <f ca="1">IFERROR(_xludf.XLOOKUP(D159,Ustawienia!$D$4:$D$100,Ustawienia!$E$4:$E$100),"")</f>
        <v/>
      </c>
      <c r="G159" s="4"/>
    </row>
    <row r="160" spans="1:7" x14ac:dyDescent="0.25">
      <c r="A160" s="4"/>
      <c r="B160" s="4"/>
      <c r="C160" s="4"/>
      <c r="D160" s="4"/>
      <c r="E160" s="4"/>
      <c r="F160" s="4" t="str">
        <f ca="1">IFERROR(_xludf.XLOOKUP(D160,Ustawienia!$D$4:$D$100,Ustawienia!$E$4:$E$100),"")</f>
        <v/>
      </c>
      <c r="G160" s="4"/>
    </row>
    <row r="161" spans="1:7" x14ac:dyDescent="0.25">
      <c r="A161" s="4"/>
      <c r="B161" s="4"/>
      <c r="C161" s="4"/>
      <c r="D161" s="4"/>
      <c r="E161" s="4"/>
      <c r="F161" s="4" t="str">
        <f ca="1">IFERROR(_xludf.XLOOKUP(D161,Ustawienia!$D$4:$D$100,Ustawienia!$E$4:$E$100),"")</f>
        <v/>
      </c>
      <c r="G161" s="4"/>
    </row>
    <row r="162" spans="1:7" x14ac:dyDescent="0.25">
      <c r="A162" s="4"/>
      <c r="B162" s="4"/>
      <c r="C162" s="4"/>
      <c r="D162" s="4"/>
      <c r="E162" s="4"/>
      <c r="F162" s="4" t="str">
        <f ca="1">IFERROR(_xludf.XLOOKUP(D162,Ustawienia!$D$4:$D$100,Ustawienia!$E$4:$E$100),"")</f>
        <v/>
      </c>
      <c r="G162" s="4"/>
    </row>
    <row r="163" spans="1:7" x14ac:dyDescent="0.25">
      <c r="A163" s="4"/>
      <c r="B163" s="4"/>
      <c r="C163" s="4"/>
      <c r="D163" s="4"/>
      <c r="E163" s="4"/>
      <c r="F163" s="4" t="str">
        <f ca="1">IFERROR(_xludf.XLOOKUP(D163,Ustawienia!$D$4:$D$100,Ustawienia!$E$4:$E$100),"")</f>
        <v/>
      </c>
      <c r="G163" s="4"/>
    </row>
    <row r="164" spans="1:7" x14ac:dyDescent="0.25">
      <c r="A164" s="4"/>
      <c r="B164" s="4"/>
      <c r="C164" s="4"/>
      <c r="D164" s="4"/>
      <c r="E164" s="4"/>
      <c r="F164" s="4" t="str">
        <f ca="1">IFERROR(_xludf.XLOOKUP(D164,Ustawienia!$D$4:$D$100,Ustawienia!$E$4:$E$100),"")</f>
        <v/>
      </c>
      <c r="G164" s="4"/>
    </row>
    <row r="165" spans="1:7" x14ac:dyDescent="0.25">
      <c r="A165" s="4"/>
      <c r="B165" s="4"/>
      <c r="C165" s="4"/>
      <c r="D165" s="4"/>
      <c r="E165" s="4"/>
      <c r="F165" s="4" t="str">
        <f ca="1">IFERROR(_xludf.XLOOKUP(D165,Ustawienia!$D$4:$D$100,Ustawienia!$E$4:$E$100),"")</f>
        <v/>
      </c>
      <c r="G165" s="4"/>
    </row>
    <row r="166" spans="1:7" x14ac:dyDescent="0.25">
      <c r="A166" s="4"/>
      <c r="B166" s="4"/>
      <c r="C166" s="4"/>
      <c r="D166" s="4"/>
      <c r="E166" s="4"/>
      <c r="F166" s="4" t="str">
        <f ca="1">IFERROR(_xludf.XLOOKUP(D166,Ustawienia!$D$4:$D$100,Ustawienia!$E$4:$E$100),"")</f>
        <v/>
      </c>
      <c r="G166" s="4"/>
    </row>
    <row r="167" spans="1:7" x14ac:dyDescent="0.25">
      <c r="A167" s="4"/>
      <c r="B167" s="4"/>
      <c r="C167" s="4"/>
      <c r="D167" s="4"/>
      <c r="E167" s="4"/>
      <c r="F167" s="4" t="str">
        <f ca="1">IFERROR(_xludf.XLOOKUP(D167,Ustawienia!$D$4:$D$100,Ustawienia!$E$4:$E$100),"")</f>
        <v/>
      </c>
      <c r="G167" s="4"/>
    </row>
    <row r="168" spans="1:7" x14ac:dyDescent="0.25">
      <c r="A168" s="4"/>
      <c r="B168" s="4"/>
      <c r="C168" s="4"/>
      <c r="D168" s="4"/>
      <c r="E168" s="4"/>
      <c r="F168" s="4" t="str">
        <f ca="1">IFERROR(_xludf.XLOOKUP(D168,Ustawienia!$D$4:$D$100,Ustawienia!$E$4:$E$100),"")</f>
        <v/>
      </c>
      <c r="G168" s="4"/>
    </row>
    <row r="169" spans="1:7" x14ac:dyDescent="0.25">
      <c r="A169" s="4"/>
      <c r="B169" s="4"/>
      <c r="C169" s="4"/>
      <c r="D169" s="4"/>
      <c r="E169" s="4"/>
      <c r="F169" s="4" t="str">
        <f ca="1">IFERROR(_xludf.XLOOKUP(D169,Ustawienia!$D$4:$D$100,Ustawienia!$E$4:$E$100),"")</f>
        <v/>
      </c>
      <c r="G169" s="4"/>
    </row>
    <row r="170" spans="1:7" x14ac:dyDescent="0.25">
      <c r="A170" s="4"/>
      <c r="B170" s="4"/>
      <c r="C170" s="4"/>
      <c r="D170" s="4"/>
      <c r="E170" s="4"/>
      <c r="F170" s="4" t="str">
        <f ca="1">IFERROR(_xludf.XLOOKUP(D170,Ustawienia!$D$4:$D$100,Ustawienia!$E$4:$E$100),"")</f>
        <v/>
      </c>
      <c r="G170" s="4"/>
    </row>
    <row r="171" spans="1:7" x14ac:dyDescent="0.25">
      <c r="A171" s="4"/>
      <c r="B171" s="4"/>
      <c r="C171" s="4"/>
      <c r="D171" s="4"/>
      <c r="E171" s="4"/>
      <c r="F171" s="4" t="str">
        <f ca="1">IFERROR(_xludf.XLOOKUP(D171,Ustawienia!$D$4:$D$100,Ustawienia!$E$4:$E$100),"")</f>
        <v/>
      </c>
      <c r="G171" s="4"/>
    </row>
    <row r="172" spans="1:7" x14ac:dyDescent="0.25">
      <c r="A172" s="4"/>
      <c r="B172" s="4"/>
      <c r="C172" s="4"/>
      <c r="D172" s="4"/>
      <c r="E172" s="4"/>
      <c r="F172" s="4" t="str">
        <f ca="1">IFERROR(_xludf.XLOOKUP(D172,Ustawienia!$D$4:$D$100,Ustawienia!$E$4:$E$100),"")</f>
        <v/>
      </c>
      <c r="G172" s="4"/>
    </row>
    <row r="173" spans="1:7" x14ac:dyDescent="0.25">
      <c r="A173" s="4"/>
      <c r="B173" s="4"/>
      <c r="C173" s="4"/>
      <c r="D173" s="4"/>
      <c r="E173" s="4"/>
      <c r="F173" s="4" t="str">
        <f ca="1">IFERROR(_xludf.XLOOKUP(D173,Ustawienia!$D$4:$D$100,Ustawienia!$E$4:$E$100),"")</f>
        <v/>
      </c>
      <c r="G173" s="4"/>
    </row>
    <row r="174" spans="1:7" x14ac:dyDescent="0.25">
      <c r="A174" s="4"/>
      <c r="B174" s="4"/>
      <c r="C174" s="4"/>
      <c r="D174" s="4"/>
      <c r="E174" s="4"/>
      <c r="F174" s="4" t="str">
        <f ca="1">IFERROR(_xludf.XLOOKUP(D174,Ustawienia!$D$4:$D$100,Ustawienia!$E$4:$E$100),"")</f>
        <v/>
      </c>
      <c r="G174" s="4"/>
    </row>
    <row r="175" spans="1:7" x14ac:dyDescent="0.25">
      <c r="A175" s="4"/>
      <c r="B175" s="4"/>
      <c r="C175" s="4"/>
      <c r="D175" s="4"/>
      <c r="E175" s="4"/>
      <c r="F175" s="4" t="str">
        <f ca="1">IFERROR(_xludf.XLOOKUP(D175,Ustawienia!$D$4:$D$100,Ustawienia!$E$4:$E$100),"")</f>
        <v/>
      </c>
      <c r="G175" s="4"/>
    </row>
    <row r="176" spans="1:7" x14ac:dyDescent="0.25">
      <c r="A176" s="4"/>
      <c r="B176" s="4"/>
      <c r="C176" s="4"/>
      <c r="D176" s="4"/>
      <c r="E176" s="4"/>
      <c r="F176" s="4" t="str">
        <f ca="1">IFERROR(_xludf.XLOOKUP(D176,Ustawienia!$D$4:$D$100,Ustawienia!$E$4:$E$100),"")</f>
        <v/>
      </c>
      <c r="G176" s="4"/>
    </row>
    <row r="177" spans="1:7" x14ac:dyDescent="0.25">
      <c r="A177" s="4"/>
      <c r="B177" s="4"/>
      <c r="C177" s="4"/>
      <c r="D177" s="4"/>
      <c r="E177" s="4"/>
      <c r="F177" s="4" t="str">
        <f ca="1">IFERROR(_xludf.XLOOKUP(D177,Ustawienia!$D$4:$D$100,Ustawienia!$E$4:$E$100),"")</f>
        <v/>
      </c>
      <c r="G177" s="4"/>
    </row>
    <row r="178" spans="1:7" x14ac:dyDescent="0.25">
      <c r="A178" s="4"/>
      <c r="B178" s="4"/>
      <c r="C178" s="4"/>
      <c r="D178" s="4"/>
      <c r="E178" s="4"/>
      <c r="F178" s="4" t="str">
        <f ca="1">IFERROR(_xludf.XLOOKUP(D178,Ustawienia!$D$4:$D$100,Ustawienia!$E$4:$E$100),"")</f>
        <v/>
      </c>
      <c r="G178" s="4"/>
    </row>
    <row r="179" spans="1:7" x14ac:dyDescent="0.25">
      <c r="A179" s="4"/>
      <c r="B179" s="4"/>
      <c r="C179" s="4"/>
      <c r="D179" s="4"/>
      <c r="E179" s="4"/>
      <c r="F179" s="4" t="str">
        <f ca="1">IFERROR(_xludf.XLOOKUP(D179,Ustawienia!$D$4:$D$100,Ustawienia!$E$4:$E$100),"")</f>
        <v/>
      </c>
      <c r="G179" s="4"/>
    </row>
    <row r="180" spans="1:7" x14ac:dyDescent="0.25">
      <c r="A180" s="4"/>
      <c r="B180" s="4"/>
      <c r="C180" s="4"/>
      <c r="D180" s="4"/>
      <c r="E180" s="4"/>
      <c r="F180" s="4" t="str">
        <f ca="1">IFERROR(_xludf.XLOOKUP(D180,Ustawienia!$D$4:$D$100,Ustawienia!$E$4:$E$100),"")</f>
        <v/>
      </c>
      <c r="G180" s="4"/>
    </row>
    <row r="181" spans="1:7" x14ac:dyDescent="0.25">
      <c r="A181" s="4"/>
      <c r="B181" s="4"/>
      <c r="C181" s="4"/>
      <c r="D181" s="4"/>
      <c r="E181" s="4"/>
      <c r="F181" s="4" t="str">
        <f ca="1">IFERROR(_xludf.XLOOKUP(D181,Ustawienia!$D$4:$D$100,Ustawienia!$E$4:$E$100),"")</f>
        <v/>
      </c>
      <c r="G181" s="4"/>
    </row>
    <row r="182" spans="1:7" x14ac:dyDescent="0.25">
      <c r="A182" s="4"/>
      <c r="B182" s="4"/>
      <c r="C182" s="4"/>
      <c r="D182" s="4"/>
      <c r="E182" s="4"/>
      <c r="F182" s="4" t="str">
        <f ca="1">IFERROR(_xludf.XLOOKUP(D182,Ustawienia!$D$4:$D$100,Ustawienia!$E$4:$E$100),"")</f>
        <v/>
      </c>
      <c r="G182" s="4"/>
    </row>
    <row r="183" spans="1:7" x14ac:dyDescent="0.25">
      <c r="A183" s="4"/>
      <c r="B183" s="4"/>
      <c r="C183" s="4"/>
      <c r="D183" s="4"/>
      <c r="E183" s="4"/>
      <c r="F183" s="4" t="str">
        <f ca="1">IFERROR(_xludf.XLOOKUP(D183,Ustawienia!$D$4:$D$100,Ustawienia!$E$4:$E$100),"")</f>
        <v/>
      </c>
      <c r="G183" s="4"/>
    </row>
    <row r="184" spans="1:7" x14ac:dyDescent="0.25">
      <c r="A184" s="4"/>
      <c r="B184" s="4"/>
      <c r="C184" s="4"/>
      <c r="D184" s="4"/>
      <c r="E184" s="4"/>
      <c r="F184" s="4" t="str">
        <f ca="1">IFERROR(_xludf.XLOOKUP(D184,Ustawienia!$D$4:$D$100,Ustawienia!$E$4:$E$100),"")</f>
        <v/>
      </c>
      <c r="G184" s="4"/>
    </row>
    <row r="185" spans="1:7" x14ac:dyDescent="0.25">
      <c r="A185" s="4"/>
      <c r="B185" s="4"/>
      <c r="C185" s="4"/>
      <c r="D185" s="4"/>
      <c r="E185" s="4"/>
      <c r="F185" s="4" t="str">
        <f ca="1">IFERROR(_xludf.XLOOKUP(D185,Ustawienia!$D$4:$D$100,Ustawienia!$E$4:$E$100),"")</f>
        <v/>
      </c>
      <c r="G185" s="4"/>
    </row>
    <row r="186" spans="1:7" x14ac:dyDescent="0.25">
      <c r="A186" s="4"/>
      <c r="B186" s="4"/>
      <c r="C186" s="4"/>
      <c r="D186" s="4"/>
      <c r="E186" s="4"/>
      <c r="F186" s="4" t="str">
        <f ca="1">IFERROR(_xludf.XLOOKUP(D186,Ustawienia!$D$4:$D$100,Ustawienia!$E$4:$E$100),"")</f>
        <v/>
      </c>
      <c r="G186" s="4"/>
    </row>
    <row r="187" spans="1:7" x14ac:dyDescent="0.25">
      <c r="A187" s="4"/>
      <c r="B187" s="4"/>
      <c r="C187" s="4"/>
      <c r="D187" s="4"/>
      <c r="E187" s="4"/>
      <c r="F187" s="4" t="str">
        <f ca="1">IFERROR(_xludf.XLOOKUP(D187,Ustawienia!$D$4:$D$100,Ustawienia!$E$4:$E$100),"")</f>
        <v/>
      </c>
      <c r="G187" s="4"/>
    </row>
    <row r="188" spans="1:7" x14ac:dyDescent="0.25">
      <c r="A188" s="4"/>
      <c r="B188" s="4"/>
      <c r="C188" s="4"/>
      <c r="D188" s="4"/>
      <c r="E188" s="4"/>
      <c r="F188" s="4" t="str">
        <f ca="1">IFERROR(_xludf.XLOOKUP(D188,Ustawienia!$D$4:$D$100,Ustawienia!$E$4:$E$100),"")</f>
        <v/>
      </c>
      <c r="G188" s="4"/>
    </row>
    <row r="189" spans="1:7" x14ac:dyDescent="0.25">
      <c r="A189" s="4"/>
      <c r="B189" s="4"/>
      <c r="C189" s="4"/>
      <c r="D189" s="4"/>
      <c r="E189" s="4"/>
      <c r="F189" s="4" t="str">
        <f ca="1">IFERROR(_xludf.XLOOKUP(D189,Ustawienia!$D$4:$D$100,Ustawienia!$E$4:$E$100),"")</f>
        <v/>
      </c>
      <c r="G189" s="4"/>
    </row>
    <row r="190" spans="1:7" x14ac:dyDescent="0.25">
      <c r="A190" s="4"/>
      <c r="B190" s="4"/>
      <c r="C190" s="4"/>
      <c r="D190" s="4"/>
      <c r="E190" s="4"/>
      <c r="F190" s="4" t="str">
        <f ca="1">IFERROR(_xludf.XLOOKUP(D190,Ustawienia!$D$4:$D$100,Ustawienia!$E$4:$E$100),"")</f>
        <v/>
      </c>
      <c r="G190" s="4"/>
    </row>
    <row r="191" spans="1:7" x14ac:dyDescent="0.25">
      <c r="A191" s="4"/>
      <c r="B191" s="4"/>
      <c r="C191" s="4"/>
      <c r="D191" s="4"/>
      <c r="E191" s="4"/>
      <c r="F191" s="4" t="str">
        <f ca="1">IFERROR(_xludf.XLOOKUP(D191,Ustawienia!$D$4:$D$100,Ustawienia!$E$4:$E$100),"")</f>
        <v/>
      </c>
      <c r="G191" s="4"/>
    </row>
    <row r="192" spans="1:7" x14ac:dyDescent="0.25">
      <c r="A192" s="4"/>
      <c r="B192" s="4"/>
      <c r="C192" s="4"/>
      <c r="D192" s="4"/>
      <c r="E192" s="4"/>
      <c r="F192" s="4" t="str">
        <f ca="1">IFERROR(_xludf.XLOOKUP(D192,Ustawienia!$D$4:$D$100,Ustawienia!$E$4:$E$100),"")</f>
        <v/>
      </c>
      <c r="G192" s="4"/>
    </row>
    <row r="193" spans="1:7" x14ac:dyDescent="0.25">
      <c r="A193" s="4"/>
      <c r="B193" s="4"/>
      <c r="C193" s="4"/>
      <c r="D193" s="4"/>
      <c r="E193" s="4"/>
      <c r="F193" s="4" t="str">
        <f ca="1">IFERROR(_xludf.XLOOKUP(D193,Ustawienia!$D$4:$D$100,Ustawienia!$E$4:$E$100),"")</f>
        <v/>
      </c>
      <c r="G193" s="4"/>
    </row>
    <row r="194" spans="1:7" x14ac:dyDescent="0.25">
      <c r="A194" s="4"/>
      <c r="B194" s="4"/>
      <c r="C194" s="4"/>
      <c r="D194" s="4"/>
      <c r="E194" s="4"/>
      <c r="F194" s="4" t="str">
        <f ca="1">IFERROR(_xludf.XLOOKUP(D194,Ustawienia!$D$4:$D$100,Ustawienia!$E$4:$E$100),"")</f>
        <v/>
      </c>
      <c r="G194" s="4"/>
    </row>
    <row r="195" spans="1:7" x14ac:dyDescent="0.25">
      <c r="A195" s="4"/>
      <c r="B195" s="4"/>
      <c r="C195" s="4"/>
      <c r="D195" s="4"/>
      <c r="E195" s="4"/>
      <c r="F195" s="4" t="str">
        <f ca="1">IFERROR(_xludf.XLOOKUP(D195,Ustawienia!$D$4:$D$100,Ustawienia!$E$4:$E$100),"")</f>
        <v/>
      </c>
      <c r="G195" s="4"/>
    </row>
    <row r="196" spans="1:7" x14ac:dyDescent="0.25">
      <c r="A196" s="4"/>
      <c r="B196" s="4"/>
      <c r="C196" s="4"/>
      <c r="D196" s="4"/>
      <c r="E196" s="4"/>
      <c r="F196" s="4" t="str">
        <f ca="1">IFERROR(_xludf.XLOOKUP(D196,Ustawienia!$D$4:$D$100,Ustawienia!$E$4:$E$100),"")</f>
        <v/>
      </c>
      <c r="G196" s="4"/>
    </row>
    <row r="197" spans="1:7" x14ac:dyDescent="0.25">
      <c r="A197" s="4"/>
      <c r="B197" s="4"/>
      <c r="C197" s="4"/>
      <c r="D197" s="4"/>
      <c r="E197" s="4"/>
      <c r="F197" s="4" t="str">
        <f ca="1">IFERROR(_xludf.XLOOKUP(D197,Ustawienia!$D$4:$D$100,Ustawienia!$E$4:$E$100),"")</f>
        <v/>
      </c>
      <c r="G197" s="4"/>
    </row>
    <row r="198" spans="1:7" x14ac:dyDescent="0.25">
      <c r="A198" s="4"/>
      <c r="B198" s="4"/>
      <c r="C198" s="4"/>
      <c r="D198" s="4"/>
      <c r="E198" s="4"/>
      <c r="F198" s="4" t="str">
        <f ca="1">IFERROR(_xludf.XLOOKUP(D198,Ustawienia!$D$4:$D$100,Ustawienia!$E$4:$E$100),"")</f>
        <v/>
      </c>
      <c r="G198" s="4"/>
    </row>
    <row r="199" spans="1:7" x14ac:dyDescent="0.25">
      <c r="A199" s="4"/>
      <c r="B199" s="4"/>
      <c r="C199" s="4"/>
      <c r="D199" s="4"/>
      <c r="E199" s="4"/>
      <c r="F199" s="4" t="str">
        <f ca="1">IFERROR(_xludf.XLOOKUP(D199,Ustawienia!$D$4:$D$100,Ustawienia!$E$4:$E$100),"")</f>
        <v/>
      </c>
      <c r="G199" s="4"/>
    </row>
    <row r="200" spans="1:7" x14ac:dyDescent="0.25">
      <c r="A200" s="4"/>
      <c r="B200" s="4"/>
      <c r="C200" s="4"/>
      <c r="D200" s="4"/>
      <c r="E200" s="4"/>
      <c r="F200" s="4" t="str">
        <f ca="1">IFERROR(_xludf.XLOOKUP(D200,Ustawienia!$D$4:$D$100,Ustawienia!$E$4:$E$100),"")</f>
        <v/>
      </c>
      <c r="G200" s="4"/>
    </row>
    <row r="201" spans="1:7" x14ac:dyDescent="0.25">
      <c r="A201" s="4"/>
      <c r="B201" s="4"/>
      <c r="C201" s="4"/>
      <c r="D201" s="4"/>
      <c r="E201" s="4"/>
      <c r="F201" s="4" t="str">
        <f ca="1">IFERROR(_xludf.XLOOKUP(D201,Ustawienia!$D$4:$D$100,Ustawienia!$E$4:$E$100),"")</f>
        <v/>
      </c>
      <c r="G201" s="4"/>
    </row>
    <row r="202" spans="1:7" x14ac:dyDescent="0.25">
      <c r="A202" s="4"/>
      <c r="B202" s="4"/>
      <c r="C202" s="4"/>
      <c r="D202" s="4"/>
      <c r="E202" s="4"/>
      <c r="F202" s="4" t="str">
        <f ca="1">IFERROR(_xludf.XLOOKUP(D202,Ustawienia!$D$4:$D$100,Ustawienia!$E$4:$E$100),"")</f>
        <v/>
      </c>
      <c r="G202" s="4"/>
    </row>
    <row r="203" spans="1:7" x14ac:dyDescent="0.25">
      <c r="A203" s="4"/>
      <c r="B203" s="4"/>
      <c r="C203" s="4"/>
      <c r="D203" s="4"/>
      <c r="E203" s="4"/>
      <c r="F203" s="4" t="str">
        <f ca="1">IFERROR(_xludf.XLOOKUP(D203,Ustawienia!$D$4:$D$100,Ustawienia!$E$4:$E$100),"")</f>
        <v/>
      </c>
      <c r="G203" s="4"/>
    </row>
    <row r="204" spans="1:7" x14ac:dyDescent="0.25">
      <c r="A204" s="4"/>
      <c r="B204" s="4"/>
      <c r="C204" s="4"/>
      <c r="D204" s="4"/>
      <c r="E204" s="4"/>
      <c r="F204" s="4" t="str">
        <f ca="1">IFERROR(_xludf.XLOOKUP(D204,Ustawienia!$D$4:$D$100,Ustawienia!$E$4:$E$100),"")</f>
        <v/>
      </c>
      <c r="G204" s="4"/>
    </row>
    <row r="205" spans="1:7" x14ac:dyDescent="0.25">
      <c r="A205" s="4"/>
      <c r="B205" s="4"/>
      <c r="C205" s="4"/>
      <c r="D205" s="4"/>
      <c r="E205" s="4"/>
      <c r="F205" s="4" t="str">
        <f ca="1">IFERROR(_xludf.XLOOKUP(D205,Ustawienia!$D$4:$D$100,Ustawienia!$E$4:$E$100),"")</f>
        <v/>
      </c>
      <c r="G205" s="4"/>
    </row>
    <row r="206" spans="1:7" x14ac:dyDescent="0.25">
      <c r="A206" s="4"/>
      <c r="B206" s="4"/>
      <c r="C206" s="4"/>
      <c r="D206" s="4"/>
      <c r="E206" s="4"/>
      <c r="F206" s="4" t="str">
        <f ca="1">IFERROR(_xludf.XLOOKUP(D206,Ustawienia!$D$4:$D$100,Ustawienia!$E$4:$E$100),"")</f>
        <v/>
      </c>
      <c r="G206" s="4"/>
    </row>
    <row r="207" spans="1:7" x14ac:dyDescent="0.25">
      <c r="A207" s="4"/>
      <c r="B207" s="4"/>
      <c r="C207" s="4"/>
      <c r="D207" s="4"/>
      <c r="E207" s="4"/>
      <c r="F207" s="4" t="str">
        <f ca="1">IFERROR(_xludf.XLOOKUP(D207,Ustawienia!$D$4:$D$100,Ustawienia!$E$4:$E$100),"")</f>
        <v/>
      </c>
      <c r="G207" s="4"/>
    </row>
    <row r="208" spans="1:7" x14ac:dyDescent="0.25">
      <c r="A208" s="4"/>
      <c r="B208" s="4"/>
      <c r="C208" s="4"/>
      <c r="D208" s="4"/>
      <c r="E208" s="4"/>
      <c r="F208" s="4" t="str">
        <f ca="1">IFERROR(_xludf.XLOOKUP(D208,Ustawienia!$D$4:$D$100,Ustawienia!$E$4:$E$100),"")</f>
        <v/>
      </c>
      <c r="G208" s="4"/>
    </row>
    <row r="209" spans="1:7" x14ac:dyDescent="0.25">
      <c r="A209" s="4"/>
      <c r="B209" s="4"/>
      <c r="C209" s="4"/>
      <c r="D209" s="4"/>
      <c r="E209" s="4"/>
      <c r="F209" s="4" t="str">
        <f ca="1">IFERROR(_xludf.XLOOKUP(D209,Ustawienia!$D$4:$D$100,Ustawienia!$E$4:$E$100),"")</f>
        <v/>
      </c>
      <c r="G209" s="4"/>
    </row>
    <row r="210" spans="1:7" x14ac:dyDescent="0.25">
      <c r="A210" s="4"/>
      <c r="B210" s="4"/>
      <c r="C210" s="4"/>
      <c r="D210" s="4"/>
      <c r="E210" s="4"/>
      <c r="F210" s="4" t="str">
        <f ca="1">IFERROR(_xludf.XLOOKUP(D210,Ustawienia!$D$4:$D$100,Ustawienia!$E$4:$E$100),"")</f>
        <v/>
      </c>
      <c r="G210" s="4"/>
    </row>
    <row r="211" spans="1:7" x14ac:dyDescent="0.25">
      <c r="A211" s="4"/>
      <c r="B211" s="4"/>
      <c r="C211" s="4"/>
      <c r="D211" s="4"/>
      <c r="E211" s="4"/>
      <c r="F211" s="4" t="str">
        <f ca="1">IFERROR(_xludf.XLOOKUP(D211,Ustawienia!$D$4:$D$100,Ustawienia!$E$4:$E$100),"")</f>
        <v/>
      </c>
      <c r="G211" s="4"/>
    </row>
    <row r="212" spans="1:7" x14ac:dyDescent="0.25">
      <c r="A212" s="4"/>
      <c r="B212" s="4"/>
      <c r="C212" s="4"/>
      <c r="D212" s="4"/>
      <c r="E212" s="4"/>
      <c r="F212" s="4" t="str">
        <f ca="1">IFERROR(_xludf.XLOOKUP(D212,Ustawienia!$D$4:$D$100,Ustawienia!$E$4:$E$100),"")</f>
        <v/>
      </c>
      <c r="G212" s="4"/>
    </row>
    <row r="213" spans="1:7" x14ac:dyDescent="0.25">
      <c r="A213" s="4"/>
      <c r="B213" s="4"/>
      <c r="C213" s="4"/>
      <c r="D213" s="4"/>
      <c r="E213" s="4"/>
      <c r="F213" s="4" t="str">
        <f ca="1">IFERROR(_xludf.XLOOKUP(D213,Ustawienia!$D$4:$D$100,Ustawienia!$E$4:$E$100),"")</f>
        <v/>
      </c>
      <c r="G213" s="4"/>
    </row>
    <row r="214" spans="1:7" x14ac:dyDescent="0.25">
      <c r="A214" s="4"/>
      <c r="B214" s="4"/>
      <c r="C214" s="4"/>
      <c r="D214" s="4"/>
      <c r="E214" s="4"/>
      <c r="F214" s="4" t="str">
        <f ca="1">IFERROR(_xludf.XLOOKUP(D214,Ustawienia!$D$4:$D$100,Ustawienia!$E$4:$E$100),"")</f>
        <v/>
      </c>
      <c r="G214" s="4"/>
    </row>
    <row r="215" spans="1:7" x14ac:dyDescent="0.25">
      <c r="A215" s="4"/>
      <c r="B215" s="4"/>
      <c r="C215" s="4"/>
      <c r="D215" s="4"/>
      <c r="E215" s="4"/>
      <c r="F215" s="4" t="str">
        <f ca="1">IFERROR(_xludf.XLOOKUP(D215,Ustawienia!$D$4:$D$100,Ustawienia!$E$4:$E$100),"")</f>
        <v/>
      </c>
      <c r="G215" s="4"/>
    </row>
    <row r="216" spans="1:7" x14ac:dyDescent="0.25">
      <c r="A216" s="4"/>
      <c r="B216" s="4"/>
      <c r="C216" s="4"/>
      <c r="D216" s="4"/>
      <c r="E216" s="4"/>
      <c r="F216" s="4" t="str">
        <f ca="1">IFERROR(_xludf.XLOOKUP(D216,Ustawienia!$D$4:$D$100,Ustawienia!$E$4:$E$100),"")</f>
        <v/>
      </c>
      <c r="G216" s="4"/>
    </row>
    <row r="217" spans="1:7" x14ac:dyDescent="0.25">
      <c r="A217" s="4"/>
      <c r="B217" s="4"/>
      <c r="C217" s="4"/>
      <c r="D217" s="4"/>
      <c r="E217" s="4"/>
      <c r="F217" s="4" t="str">
        <f ca="1">IFERROR(_xludf.XLOOKUP(D217,Ustawienia!$D$4:$D$100,Ustawienia!$E$4:$E$100),"")</f>
        <v/>
      </c>
      <c r="G217" s="4"/>
    </row>
    <row r="218" spans="1:7" x14ac:dyDescent="0.25">
      <c r="A218" s="4"/>
      <c r="B218" s="4"/>
      <c r="C218" s="4"/>
      <c r="D218" s="4"/>
      <c r="E218" s="4"/>
      <c r="F218" s="4" t="str">
        <f ca="1">IFERROR(_xludf.XLOOKUP(D218,Ustawienia!$D$4:$D$100,Ustawienia!$E$4:$E$100),"")</f>
        <v/>
      </c>
      <c r="G218" s="4"/>
    </row>
    <row r="219" spans="1:7" x14ac:dyDescent="0.25">
      <c r="A219" s="4"/>
      <c r="B219" s="4"/>
      <c r="C219" s="4"/>
      <c r="D219" s="4"/>
      <c r="E219" s="4"/>
      <c r="F219" s="4" t="str">
        <f ca="1">IFERROR(_xludf.XLOOKUP(D219,Ustawienia!$D$4:$D$100,Ustawienia!$E$4:$E$100),"")</f>
        <v/>
      </c>
      <c r="G219" s="4"/>
    </row>
    <row r="220" spans="1:7" x14ac:dyDescent="0.25">
      <c r="A220" s="4"/>
      <c r="B220" s="4"/>
      <c r="C220" s="4"/>
      <c r="D220" s="4"/>
      <c r="E220" s="4"/>
      <c r="F220" s="4" t="str">
        <f ca="1">IFERROR(_xludf.XLOOKUP(D220,Ustawienia!$D$4:$D$100,Ustawienia!$E$4:$E$100),"")</f>
        <v/>
      </c>
      <c r="G220" s="4"/>
    </row>
    <row r="221" spans="1:7" x14ac:dyDescent="0.25">
      <c r="A221" s="4"/>
      <c r="B221" s="4"/>
      <c r="C221" s="4"/>
      <c r="D221" s="4"/>
      <c r="E221" s="4"/>
      <c r="F221" s="4" t="str">
        <f ca="1">IFERROR(_xludf.XLOOKUP(D221,Ustawienia!$D$4:$D$100,Ustawienia!$E$4:$E$100),"")</f>
        <v/>
      </c>
      <c r="G221" s="4"/>
    </row>
    <row r="222" spans="1:7" x14ac:dyDescent="0.25">
      <c r="A222" s="4"/>
      <c r="B222" s="4"/>
      <c r="C222" s="4"/>
      <c r="D222" s="4"/>
      <c r="E222" s="4"/>
      <c r="F222" s="4" t="str">
        <f ca="1">IFERROR(_xludf.XLOOKUP(D222,Ustawienia!$D$4:$D$100,Ustawienia!$E$4:$E$100),"")</f>
        <v/>
      </c>
      <c r="G222" s="4"/>
    </row>
    <row r="223" spans="1:7" x14ac:dyDescent="0.25">
      <c r="A223" s="4"/>
      <c r="B223" s="4"/>
      <c r="C223" s="4"/>
      <c r="D223" s="4"/>
      <c r="E223" s="4"/>
      <c r="F223" s="4" t="str">
        <f ca="1">IFERROR(_xludf.XLOOKUP(D223,Ustawienia!$D$4:$D$100,Ustawienia!$E$4:$E$100),"")</f>
        <v/>
      </c>
      <c r="G223" s="4"/>
    </row>
    <row r="224" spans="1:7" x14ac:dyDescent="0.25">
      <c r="A224" s="4"/>
      <c r="B224" s="4"/>
      <c r="C224" s="4"/>
      <c r="D224" s="4"/>
      <c r="E224" s="4"/>
      <c r="F224" s="4" t="str">
        <f ca="1">IFERROR(_xludf.XLOOKUP(D224,Ustawienia!$D$4:$D$100,Ustawienia!$E$4:$E$100),"")</f>
        <v/>
      </c>
      <c r="G224" s="4"/>
    </row>
    <row r="225" spans="1:7" x14ac:dyDescent="0.25">
      <c r="A225" s="4"/>
      <c r="B225" s="4"/>
      <c r="C225" s="4"/>
      <c r="D225" s="4"/>
      <c r="E225" s="4"/>
      <c r="F225" s="4" t="str">
        <f ca="1">IFERROR(_xludf.XLOOKUP(D225,Ustawienia!$D$4:$D$100,Ustawienia!$E$4:$E$100),"")</f>
        <v/>
      </c>
      <c r="G225" s="4"/>
    </row>
    <row r="226" spans="1:7" x14ac:dyDescent="0.25">
      <c r="A226" s="4"/>
      <c r="B226" s="4"/>
      <c r="C226" s="4"/>
      <c r="D226" s="4"/>
      <c r="E226" s="4"/>
      <c r="F226" s="4" t="str">
        <f ca="1">IFERROR(_xludf.XLOOKUP(D226,Ustawienia!$D$4:$D$100,Ustawienia!$E$4:$E$100),"")</f>
        <v/>
      </c>
      <c r="G226" s="4"/>
    </row>
    <row r="227" spans="1:7" x14ac:dyDescent="0.25">
      <c r="A227" s="4"/>
      <c r="B227" s="4"/>
      <c r="C227" s="4"/>
      <c r="D227" s="4"/>
      <c r="E227" s="4"/>
      <c r="F227" s="4" t="str">
        <f ca="1">IFERROR(_xludf.XLOOKUP(D227,Ustawienia!$D$4:$D$100,Ustawienia!$E$4:$E$100),"")</f>
        <v/>
      </c>
      <c r="G227" s="4"/>
    </row>
    <row r="228" spans="1:7" x14ac:dyDescent="0.25">
      <c r="A228" s="4"/>
      <c r="B228" s="4"/>
      <c r="C228" s="4"/>
      <c r="D228" s="4"/>
      <c r="E228" s="4"/>
      <c r="F228" s="4" t="str">
        <f ca="1">IFERROR(_xludf.XLOOKUP(D228,Ustawienia!$D$4:$D$100,Ustawienia!$E$4:$E$100),"")</f>
        <v/>
      </c>
      <c r="G228" s="4"/>
    </row>
    <row r="229" spans="1:7" x14ac:dyDescent="0.25">
      <c r="A229" s="4"/>
      <c r="B229" s="4"/>
      <c r="C229" s="4"/>
      <c r="D229" s="4"/>
      <c r="E229" s="4"/>
      <c r="F229" s="4" t="str">
        <f ca="1">IFERROR(_xludf.XLOOKUP(D229,Ustawienia!$D$4:$D$100,Ustawienia!$E$4:$E$100),"")</f>
        <v/>
      </c>
      <c r="G229" s="4"/>
    </row>
    <row r="230" spans="1:7" x14ac:dyDescent="0.25">
      <c r="A230" s="4"/>
      <c r="B230" s="4"/>
      <c r="C230" s="4"/>
      <c r="D230" s="4"/>
      <c r="E230" s="4"/>
      <c r="F230" s="4" t="str">
        <f ca="1">IFERROR(_xludf.XLOOKUP(D230,Ustawienia!$D$4:$D$100,Ustawienia!$E$4:$E$100),"")</f>
        <v/>
      </c>
      <c r="G230" s="4"/>
    </row>
    <row r="231" spans="1:7" x14ac:dyDescent="0.25">
      <c r="A231" s="4"/>
      <c r="B231" s="4"/>
      <c r="C231" s="4"/>
      <c r="D231" s="4"/>
      <c r="E231" s="4"/>
      <c r="F231" s="4" t="str">
        <f ca="1">IFERROR(_xludf.XLOOKUP(D231,Ustawienia!$D$4:$D$100,Ustawienia!$E$4:$E$100),"")</f>
        <v/>
      </c>
      <c r="G231" s="4"/>
    </row>
    <row r="232" spans="1:7" x14ac:dyDescent="0.25">
      <c r="A232" s="4"/>
      <c r="B232" s="4"/>
      <c r="C232" s="4"/>
      <c r="D232" s="4"/>
      <c r="E232" s="4"/>
      <c r="F232" s="4" t="str">
        <f ca="1">IFERROR(_xludf.XLOOKUP(D232,Ustawienia!$D$4:$D$100,Ustawienia!$E$4:$E$100),"")</f>
        <v/>
      </c>
      <c r="G232" s="4"/>
    </row>
    <row r="233" spans="1:7" x14ac:dyDescent="0.25">
      <c r="A233" s="4"/>
      <c r="B233" s="4"/>
      <c r="C233" s="4"/>
      <c r="D233" s="4"/>
      <c r="E233" s="4"/>
      <c r="F233" s="4" t="str">
        <f ca="1">IFERROR(_xludf.XLOOKUP(D233,Ustawienia!$D$4:$D$100,Ustawienia!$E$4:$E$100),"")</f>
        <v/>
      </c>
      <c r="G233" s="4"/>
    </row>
    <row r="234" spans="1:7" x14ac:dyDescent="0.25">
      <c r="A234" s="4"/>
      <c r="B234" s="4"/>
      <c r="C234" s="4"/>
      <c r="D234" s="4"/>
      <c r="E234" s="4"/>
      <c r="F234" s="4" t="str">
        <f ca="1">IFERROR(_xludf.XLOOKUP(D234,Ustawienia!$D$4:$D$100,Ustawienia!$E$4:$E$100),"")</f>
        <v/>
      </c>
      <c r="G234" s="4"/>
    </row>
    <row r="235" spans="1:7" x14ac:dyDescent="0.25">
      <c r="A235" s="4"/>
      <c r="B235" s="4"/>
      <c r="C235" s="4"/>
      <c r="D235" s="4"/>
      <c r="E235" s="4"/>
      <c r="F235" s="4" t="str">
        <f ca="1">IFERROR(_xludf.XLOOKUP(D235,Ustawienia!$D$4:$D$100,Ustawienia!$E$4:$E$100),"")</f>
        <v/>
      </c>
      <c r="G235" s="4"/>
    </row>
    <row r="236" spans="1:7" x14ac:dyDescent="0.25">
      <c r="A236" s="4"/>
      <c r="B236" s="4"/>
      <c r="C236" s="4"/>
      <c r="D236" s="4"/>
      <c r="E236" s="4"/>
      <c r="F236" s="4" t="str">
        <f ca="1">IFERROR(_xludf.XLOOKUP(D236,Ustawienia!$D$4:$D$100,Ustawienia!$E$4:$E$100),"")</f>
        <v/>
      </c>
      <c r="G236" s="4"/>
    </row>
    <row r="237" spans="1:7" x14ac:dyDescent="0.25">
      <c r="A237" s="4"/>
      <c r="B237" s="4"/>
      <c r="C237" s="4"/>
      <c r="D237" s="4"/>
      <c r="E237" s="4"/>
      <c r="F237" s="4" t="str">
        <f ca="1">IFERROR(_xludf.XLOOKUP(D237,Ustawienia!$D$4:$D$100,Ustawienia!$E$4:$E$100),"")</f>
        <v/>
      </c>
      <c r="G237" s="4"/>
    </row>
    <row r="238" spans="1:7" x14ac:dyDescent="0.25">
      <c r="A238" s="4"/>
      <c r="B238" s="4"/>
      <c r="C238" s="4"/>
      <c r="D238" s="4"/>
      <c r="E238" s="4"/>
      <c r="F238" s="4" t="str">
        <f ca="1">IFERROR(_xludf.XLOOKUP(D238,Ustawienia!$D$4:$D$100,Ustawienia!$E$4:$E$100),"")</f>
        <v/>
      </c>
      <c r="G238" s="4"/>
    </row>
    <row r="239" spans="1:7" x14ac:dyDescent="0.25">
      <c r="A239" s="4"/>
      <c r="B239" s="4"/>
      <c r="C239" s="4"/>
      <c r="D239" s="4"/>
      <c r="E239" s="4"/>
      <c r="F239" s="4" t="str">
        <f ca="1">IFERROR(_xludf.XLOOKUP(D239,Ustawienia!$D$4:$D$100,Ustawienia!$E$4:$E$100),"")</f>
        <v/>
      </c>
      <c r="G239" s="4"/>
    </row>
    <row r="240" spans="1:7" x14ac:dyDescent="0.25">
      <c r="A240" s="4"/>
      <c r="B240" s="4"/>
      <c r="C240" s="4"/>
      <c r="D240" s="4"/>
      <c r="E240" s="4"/>
      <c r="F240" s="4" t="str">
        <f ca="1">IFERROR(_xludf.XLOOKUP(D240,Ustawienia!$D$4:$D$100,Ustawienia!$E$4:$E$100),"")</f>
        <v/>
      </c>
      <c r="G240" s="4"/>
    </row>
    <row r="241" spans="1:7" x14ac:dyDescent="0.25">
      <c r="A241" s="4"/>
      <c r="B241" s="4"/>
      <c r="C241" s="4"/>
      <c r="D241" s="4"/>
      <c r="E241" s="4"/>
      <c r="F241" s="4" t="str">
        <f ca="1">IFERROR(_xludf.XLOOKUP(D241,Ustawienia!$D$4:$D$100,Ustawienia!$E$4:$E$100),"")</f>
        <v/>
      </c>
      <c r="G241" s="4"/>
    </row>
    <row r="242" spans="1:7" x14ac:dyDescent="0.25">
      <c r="A242" s="4"/>
      <c r="B242" s="4"/>
      <c r="C242" s="4"/>
      <c r="D242" s="4"/>
      <c r="E242" s="4"/>
      <c r="F242" s="4" t="str">
        <f ca="1">IFERROR(_xludf.XLOOKUP(D242,Ustawienia!$D$4:$D$100,Ustawienia!$E$4:$E$100),"")</f>
        <v/>
      </c>
      <c r="G242" s="4"/>
    </row>
    <row r="243" spans="1:7" x14ac:dyDescent="0.25">
      <c r="A243" s="4"/>
      <c r="B243" s="4"/>
      <c r="C243" s="4"/>
      <c r="D243" s="4"/>
      <c r="E243" s="4"/>
      <c r="F243" s="4" t="str">
        <f ca="1">IFERROR(_xludf.XLOOKUP(D243,Ustawienia!$D$4:$D$100,Ustawienia!$E$4:$E$100),"")</f>
        <v/>
      </c>
      <c r="G243" s="4"/>
    </row>
    <row r="244" spans="1:7" x14ac:dyDescent="0.25">
      <c r="A244" s="4"/>
      <c r="B244" s="4"/>
      <c r="C244" s="4"/>
      <c r="D244" s="4"/>
      <c r="E244" s="4"/>
      <c r="F244" s="4" t="str">
        <f ca="1">IFERROR(_xludf.XLOOKUP(D244,Ustawienia!$D$4:$D$100,Ustawienia!$E$4:$E$100),"")</f>
        <v/>
      </c>
      <c r="G244" s="4"/>
    </row>
    <row r="245" spans="1:7" x14ac:dyDescent="0.25">
      <c r="A245" s="4"/>
      <c r="B245" s="4"/>
      <c r="C245" s="4"/>
      <c r="D245" s="4"/>
      <c r="E245" s="4"/>
      <c r="F245" s="4" t="str">
        <f ca="1">IFERROR(_xludf.XLOOKUP(D245,Ustawienia!$D$4:$D$100,Ustawienia!$E$4:$E$100),"")</f>
        <v/>
      </c>
      <c r="G245" s="4"/>
    </row>
    <row r="246" spans="1:7" x14ac:dyDescent="0.25">
      <c r="A246" s="4"/>
      <c r="B246" s="4"/>
      <c r="C246" s="4"/>
      <c r="D246" s="4"/>
      <c r="E246" s="4"/>
      <c r="F246" s="4" t="str">
        <f ca="1">IFERROR(_xludf.XLOOKUP(D246,Ustawienia!$D$4:$D$100,Ustawienia!$E$4:$E$100),"")</f>
        <v/>
      </c>
      <c r="G246" s="4"/>
    </row>
    <row r="247" spans="1:7" x14ac:dyDescent="0.25">
      <c r="A247" s="4"/>
      <c r="B247" s="4"/>
      <c r="C247" s="4"/>
      <c r="D247" s="4"/>
      <c r="E247" s="4"/>
      <c r="F247" s="4" t="str">
        <f ca="1">IFERROR(_xludf.XLOOKUP(D247,Ustawienia!$D$4:$D$100,Ustawienia!$E$4:$E$100),"")</f>
        <v/>
      </c>
      <c r="G247" s="4"/>
    </row>
    <row r="248" spans="1:7" x14ac:dyDescent="0.25">
      <c r="A248" s="4"/>
      <c r="B248" s="4"/>
      <c r="C248" s="4"/>
      <c r="D248" s="4"/>
      <c r="E248" s="4"/>
      <c r="F248" s="4" t="str">
        <f ca="1">IFERROR(_xludf.XLOOKUP(D248,Ustawienia!$D$4:$D$100,Ustawienia!$E$4:$E$100),"")</f>
        <v/>
      </c>
      <c r="G248" s="4"/>
    </row>
    <row r="249" spans="1:7" x14ac:dyDescent="0.25">
      <c r="A249" s="4"/>
      <c r="B249" s="4"/>
      <c r="C249" s="4"/>
      <c r="D249" s="4"/>
      <c r="E249" s="4"/>
      <c r="F249" s="4" t="str">
        <f ca="1">IFERROR(_xludf.XLOOKUP(D249,Ustawienia!$D$4:$D$100,Ustawienia!$E$4:$E$100),"")</f>
        <v/>
      </c>
      <c r="G249" s="4"/>
    </row>
    <row r="250" spans="1:7" x14ac:dyDescent="0.25">
      <c r="A250" s="4"/>
      <c r="B250" s="4"/>
      <c r="C250" s="4"/>
      <c r="D250" s="4"/>
      <c r="E250" s="4"/>
      <c r="F250" s="4" t="str">
        <f ca="1">IFERROR(_xludf.XLOOKUP(D250,Ustawienia!$D$4:$D$100,Ustawienia!$E$4:$E$100),"")</f>
        <v/>
      </c>
      <c r="G250" s="4"/>
    </row>
    <row r="251" spans="1:7" x14ac:dyDescent="0.25">
      <c r="A251" s="4"/>
      <c r="B251" s="4"/>
      <c r="C251" s="4"/>
      <c r="D251" s="4"/>
      <c r="E251" s="4"/>
      <c r="F251" s="4" t="str">
        <f ca="1">IFERROR(_xludf.XLOOKUP(D251,Ustawienia!$D$4:$D$100,Ustawienia!$E$4:$E$100),"")</f>
        <v/>
      </c>
      <c r="G251" s="4"/>
    </row>
    <row r="252" spans="1:7" x14ac:dyDescent="0.25">
      <c r="A252" s="4"/>
      <c r="B252" s="4"/>
      <c r="C252" s="4"/>
      <c r="D252" s="4"/>
      <c r="E252" s="4"/>
      <c r="F252" s="4" t="str">
        <f ca="1">IFERROR(_xludf.XLOOKUP(D252,Ustawienia!$D$4:$D$100,Ustawienia!$E$4:$E$100),"")</f>
        <v/>
      </c>
      <c r="G252" s="4"/>
    </row>
    <row r="253" spans="1:7" x14ac:dyDescent="0.25">
      <c r="A253" s="4"/>
      <c r="B253" s="4"/>
      <c r="C253" s="4"/>
      <c r="D253" s="4"/>
      <c r="E253" s="4"/>
      <c r="F253" s="4" t="str">
        <f ca="1">IFERROR(_xludf.XLOOKUP(D253,Ustawienia!$D$4:$D$100,Ustawienia!$E$4:$E$100),"")</f>
        <v/>
      </c>
      <c r="G253" s="4"/>
    </row>
    <row r="254" spans="1:7" x14ac:dyDescent="0.25">
      <c r="A254" s="4"/>
      <c r="B254" s="4"/>
      <c r="C254" s="4"/>
      <c r="D254" s="4"/>
      <c r="E254" s="4"/>
      <c r="F254" s="4" t="str">
        <f ca="1">IFERROR(_xludf.XLOOKUP(D254,Ustawienia!$D$4:$D$100,Ustawienia!$E$4:$E$100),"")</f>
        <v/>
      </c>
      <c r="G254" s="4"/>
    </row>
    <row r="255" spans="1:7" x14ac:dyDescent="0.25">
      <c r="A255" s="4"/>
      <c r="B255" s="4"/>
      <c r="C255" s="4"/>
      <c r="D255" s="4"/>
      <c r="E255" s="4"/>
      <c r="F255" s="4" t="str">
        <f ca="1">IFERROR(_xludf.XLOOKUP(D255,Ustawienia!$D$4:$D$100,Ustawienia!$E$4:$E$100),"")</f>
        <v/>
      </c>
      <c r="G255" s="4"/>
    </row>
    <row r="256" spans="1:7" x14ac:dyDescent="0.25">
      <c r="A256" s="4"/>
      <c r="B256" s="4"/>
      <c r="C256" s="4"/>
      <c r="D256" s="4"/>
      <c r="E256" s="4"/>
      <c r="F256" s="4" t="str">
        <f ca="1">IFERROR(_xludf.XLOOKUP(D256,Ustawienia!$D$4:$D$100,Ustawienia!$E$4:$E$100),"")</f>
        <v/>
      </c>
      <c r="G256" s="4"/>
    </row>
    <row r="257" spans="1:7" x14ac:dyDescent="0.25">
      <c r="A257" s="4"/>
      <c r="B257" s="4"/>
      <c r="C257" s="4"/>
      <c r="D257" s="4"/>
      <c r="E257" s="4"/>
      <c r="F257" s="4" t="str">
        <f ca="1">IFERROR(_xludf.XLOOKUP(D257,Ustawienia!$D$4:$D$100,Ustawienia!$E$4:$E$100),"")</f>
        <v/>
      </c>
      <c r="G257" s="4"/>
    </row>
    <row r="258" spans="1:7" x14ac:dyDescent="0.25">
      <c r="A258" s="4"/>
      <c r="B258" s="4"/>
      <c r="C258" s="4"/>
      <c r="D258" s="4"/>
      <c r="E258" s="4"/>
      <c r="F258" s="4" t="str">
        <f ca="1">IFERROR(_xludf.XLOOKUP(D258,Ustawienia!$D$4:$D$100,Ustawienia!$E$4:$E$100),"")</f>
        <v/>
      </c>
      <c r="G258" s="4"/>
    </row>
    <row r="259" spans="1:7" x14ac:dyDescent="0.25">
      <c r="A259" s="4"/>
      <c r="B259" s="4"/>
      <c r="C259" s="4"/>
      <c r="D259" s="4"/>
      <c r="E259" s="4"/>
      <c r="F259" s="4" t="str">
        <f ca="1">IFERROR(_xludf.XLOOKUP(D259,Ustawienia!$D$4:$D$100,Ustawienia!$E$4:$E$100),"")</f>
        <v/>
      </c>
      <c r="G259" s="4"/>
    </row>
    <row r="260" spans="1:7" x14ac:dyDescent="0.25">
      <c r="A260" s="4"/>
      <c r="B260" s="4"/>
      <c r="C260" s="4"/>
      <c r="D260" s="4"/>
      <c r="E260" s="4"/>
      <c r="F260" s="4" t="str">
        <f ca="1">IFERROR(_xludf.XLOOKUP(D260,Ustawienia!$D$4:$D$100,Ustawienia!$E$4:$E$100),"")</f>
        <v/>
      </c>
      <c r="G260" s="4"/>
    </row>
    <row r="261" spans="1:7" x14ac:dyDescent="0.25">
      <c r="A261" s="4"/>
      <c r="B261" s="4"/>
      <c r="C261" s="4"/>
      <c r="D261" s="4"/>
      <c r="E261" s="4"/>
      <c r="F261" s="4" t="str">
        <f ca="1">IFERROR(_xludf.XLOOKUP(D261,Ustawienia!$D$4:$D$100,Ustawienia!$E$4:$E$100),"")</f>
        <v/>
      </c>
      <c r="G261" s="4"/>
    </row>
    <row r="262" spans="1:7" x14ac:dyDescent="0.25">
      <c r="A262" s="4"/>
      <c r="B262" s="4"/>
      <c r="C262" s="4"/>
      <c r="D262" s="4"/>
      <c r="E262" s="4"/>
      <c r="F262" s="4" t="str">
        <f ca="1">IFERROR(_xludf.XLOOKUP(D262,Ustawienia!$D$4:$D$100,Ustawienia!$E$4:$E$100),"")</f>
        <v/>
      </c>
      <c r="G262" s="4"/>
    </row>
    <row r="263" spans="1:7" x14ac:dyDescent="0.25">
      <c r="A263" s="4"/>
      <c r="B263" s="4"/>
      <c r="C263" s="4"/>
      <c r="D263" s="4"/>
      <c r="E263" s="4"/>
      <c r="F263" s="4" t="str">
        <f ca="1">IFERROR(_xludf.XLOOKUP(D263,Ustawienia!$D$4:$D$100,Ustawienia!$E$4:$E$100),"")</f>
        <v/>
      </c>
      <c r="G263" s="4"/>
    </row>
    <row r="264" spans="1:7" x14ac:dyDescent="0.25">
      <c r="A264" s="4"/>
      <c r="B264" s="4"/>
      <c r="C264" s="4"/>
      <c r="D264" s="4"/>
      <c r="E264" s="4"/>
      <c r="F264" s="4" t="str">
        <f ca="1">IFERROR(_xludf.XLOOKUP(D264,Ustawienia!$D$4:$D$100,Ustawienia!$E$4:$E$100),"")</f>
        <v/>
      </c>
      <c r="G264" s="4"/>
    </row>
    <row r="265" spans="1:7" x14ac:dyDescent="0.25">
      <c r="A265" s="4"/>
      <c r="B265" s="4"/>
      <c r="C265" s="4"/>
      <c r="D265" s="4"/>
      <c r="E265" s="4"/>
      <c r="F265" s="4" t="str">
        <f ca="1">IFERROR(_xludf.XLOOKUP(D265,Ustawienia!$D$4:$D$100,Ustawienia!$E$4:$E$100),"")</f>
        <v/>
      </c>
      <c r="G265" s="4"/>
    </row>
    <row r="266" spans="1:7" x14ac:dyDescent="0.25">
      <c r="A266" s="4"/>
      <c r="B266" s="4"/>
      <c r="C266" s="4"/>
      <c r="D266" s="4"/>
      <c r="E266" s="4"/>
      <c r="F266" s="4" t="str">
        <f ca="1">IFERROR(_xludf.XLOOKUP(D266,Ustawienia!$D$4:$D$100,Ustawienia!$E$4:$E$100),"")</f>
        <v/>
      </c>
      <c r="G266" s="4"/>
    </row>
    <row r="267" spans="1:7" x14ac:dyDescent="0.25">
      <c r="A267" s="4"/>
      <c r="B267" s="4"/>
      <c r="C267" s="4"/>
      <c r="D267" s="4"/>
      <c r="E267" s="4"/>
      <c r="F267" s="4" t="str">
        <f ca="1">IFERROR(_xludf.XLOOKUP(D267,Ustawienia!$D$4:$D$100,Ustawienia!$E$4:$E$100),"")</f>
        <v/>
      </c>
      <c r="G267" s="4"/>
    </row>
    <row r="268" spans="1:7" x14ac:dyDescent="0.25">
      <c r="A268" s="4"/>
      <c r="B268" s="4"/>
      <c r="C268" s="4"/>
      <c r="D268" s="4"/>
      <c r="E268" s="4"/>
      <c r="F268" s="4" t="str">
        <f ca="1">IFERROR(_xludf.XLOOKUP(D268,Ustawienia!$D$4:$D$100,Ustawienia!$E$4:$E$100),"")</f>
        <v/>
      </c>
      <c r="G268" s="4"/>
    </row>
    <row r="269" spans="1:7" x14ac:dyDescent="0.25">
      <c r="A269" s="4"/>
      <c r="B269" s="4"/>
      <c r="C269" s="4"/>
      <c r="D269" s="4"/>
      <c r="E269" s="4"/>
      <c r="F269" s="4" t="str">
        <f ca="1">IFERROR(_xludf.XLOOKUP(D269,Ustawienia!$D$4:$D$100,Ustawienia!$E$4:$E$100),"")</f>
        <v/>
      </c>
      <c r="G269" s="4"/>
    </row>
    <row r="270" spans="1:7" x14ac:dyDescent="0.25">
      <c r="A270" s="4"/>
      <c r="B270" s="4"/>
      <c r="C270" s="4"/>
      <c r="D270" s="4"/>
      <c r="E270" s="4"/>
      <c r="F270" s="4" t="str">
        <f ca="1">IFERROR(_xludf.XLOOKUP(D270,Ustawienia!$D$4:$D$100,Ustawienia!$E$4:$E$100),"")</f>
        <v/>
      </c>
      <c r="G270" s="4"/>
    </row>
    <row r="271" spans="1:7" x14ac:dyDescent="0.25">
      <c r="A271" s="4"/>
      <c r="B271" s="4"/>
      <c r="C271" s="4"/>
      <c r="D271" s="4"/>
      <c r="E271" s="4"/>
      <c r="F271" s="4" t="str">
        <f ca="1">IFERROR(_xludf.XLOOKUP(D271,Ustawienia!$D$4:$D$100,Ustawienia!$E$4:$E$100),"")</f>
        <v/>
      </c>
      <c r="G271" s="4"/>
    </row>
    <row r="272" spans="1:7" x14ac:dyDescent="0.25">
      <c r="A272" s="4"/>
      <c r="B272" s="4"/>
      <c r="C272" s="4"/>
      <c r="D272" s="4"/>
      <c r="E272" s="4"/>
      <c r="F272" s="4" t="str">
        <f ca="1">IFERROR(_xludf.XLOOKUP(D272,Ustawienia!$D$4:$D$100,Ustawienia!$E$4:$E$100),"")</f>
        <v/>
      </c>
      <c r="G272" s="4"/>
    </row>
    <row r="273" spans="1:7" x14ac:dyDescent="0.25">
      <c r="A273" s="4"/>
      <c r="B273" s="4"/>
      <c r="C273" s="4"/>
      <c r="D273" s="4"/>
      <c r="E273" s="4"/>
      <c r="F273" s="4" t="str">
        <f ca="1">IFERROR(_xludf.XLOOKUP(D273,Ustawienia!$D$4:$D$100,Ustawienia!$E$4:$E$100),"")</f>
        <v/>
      </c>
      <c r="G273" s="4"/>
    </row>
    <row r="274" spans="1:7" x14ac:dyDescent="0.25">
      <c r="A274" s="4"/>
      <c r="B274" s="4"/>
      <c r="C274" s="4"/>
      <c r="D274" s="4"/>
      <c r="E274" s="4"/>
      <c r="F274" s="4" t="str">
        <f ca="1">IFERROR(_xludf.XLOOKUP(D274,Ustawienia!$D$4:$D$100,Ustawienia!$E$4:$E$100),"")</f>
        <v/>
      </c>
      <c r="G274" s="4"/>
    </row>
    <row r="275" spans="1:7" x14ac:dyDescent="0.25">
      <c r="A275" s="4"/>
      <c r="B275" s="4"/>
      <c r="C275" s="4"/>
      <c r="D275" s="4"/>
      <c r="E275" s="4"/>
      <c r="F275" s="4" t="str">
        <f ca="1">IFERROR(_xludf.XLOOKUP(D275,Ustawienia!$D$4:$D$100,Ustawienia!$E$4:$E$100),"")</f>
        <v/>
      </c>
      <c r="G275" s="4"/>
    </row>
    <row r="276" spans="1:7" x14ac:dyDescent="0.25">
      <c r="A276" s="4"/>
      <c r="B276" s="4"/>
      <c r="C276" s="4"/>
      <c r="D276" s="4"/>
      <c r="E276" s="4"/>
      <c r="F276" s="4" t="str">
        <f ca="1">IFERROR(_xludf.XLOOKUP(D276,Ustawienia!$D$4:$D$100,Ustawienia!$E$4:$E$100),"")</f>
        <v/>
      </c>
      <c r="G276" s="4"/>
    </row>
    <row r="277" spans="1:7" x14ac:dyDescent="0.25">
      <c r="A277" s="4"/>
      <c r="B277" s="4"/>
      <c r="C277" s="4"/>
      <c r="D277" s="4"/>
      <c r="E277" s="4"/>
      <c r="F277" s="4" t="str">
        <f ca="1">IFERROR(_xludf.XLOOKUP(D277,Ustawienia!$D$4:$D$100,Ustawienia!$E$4:$E$100),"")</f>
        <v/>
      </c>
      <c r="G277" s="4"/>
    </row>
    <row r="278" spans="1:7" x14ac:dyDescent="0.25">
      <c r="A278" s="4"/>
      <c r="B278" s="4"/>
      <c r="C278" s="4"/>
      <c r="D278" s="4"/>
      <c r="E278" s="4"/>
      <c r="F278" s="4" t="str">
        <f ca="1">IFERROR(_xludf.XLOOKUP(D278,Ustawienia!$D$4:$D$100,Ustawienia!$E$4:$E$100),"")</f>
        <v/>
      </c>
      <c r="G278" s="4"/>
    </row>
    <row r="279" spans="1:7" x14ac:dyDescent="0.25">
      <c r="A279" s="4"/>
      <c r="B279" s="4"/>
      <c r="C279" s="4"/>
      <c r="D279" s="4"/>
      <c r="E279" s="4"/>
      <c r="F279" s="4" t="str">
        <f ca="1">IFERROR(_xludf.XLOOKUP(D279,Ustawienia!$D$4:$D$100,Ustawienia!$E$4:$E$100),"")</f>
        <v/>
      </c>
      <c r="G279" s="4"/>
    </row>
    <row r="280" spans="1:7" x14ac:dyDescent="0.25">
      <c r="A280" s="4"/>
      <c r="B280" s="4"/>
      <c r="C280" s="4"/>
      <c r="D280" s="4"/>
      <c r="E280" s="4"/>
      <c r="F280" s="4" t="str">
        <f ca="1">IFERROR(_xludf.XLOOKUP(D280,Ustawienia!$D$4:$D$100,Ustawienia!$E$4:$E$100),"")</f>
        <v/>
      </c>
      <c r="G280" s="4"/>
    </row>
    <row r="281" spans="1:7" x14ac:dyDescent="0.25">
      <c r="A281" s="4"/>
      <c r="B281" s="4"/>
      <c r="C281" s="4"/>
      <c r="D281" s="4"/>
      <c r="E281" s="4"/>
      <c r="F281" s="4" t="str">
        <f ca="1">IFERROR(_xludf.XLOOKUP(D281,Ustawienia!$D$4:$D$100,Ustawienia!$E$4:$E$100),"")</f>
        <v/>
      </c>
      <c r="G281" s="4"/>
    </row>
    <row r="282" spans="1:7" x14ac:dyDescent="0.25">
      <c r="A282" s="4"/>
      <c r="B282" s="4"/>
      <c r="C282" s="4"/>
      <c r="D282" s="4"/>
      <c r="E282" s="4"/>
      <c r="F282" s="4" t="str">
        <f ca="1">IFERROR(_xludf.XLOOKUP(D282,Ustawienia!$D$4:$D$100,Ustawienia!$E$4:$E$100),"")</f>
        <v/>
      </c>
      <c r="G282" s="4"/>
    </row>
    <row r="283" spans="1:7" x14ac:dyDescent="0.25">
      <c r="A283" s="4"/>
      <c r="B283" s="4"/>
      <c r="C283" s="4"/>
      <c r="D283" s="4"/>
      <c r="E283" s="4"/>
      <c r="F283" s="4" t="str">
        <f ca="1">IFERROR(_xludf.XLOOKUP(D283,Ustawienia!$D$4:$D$100,Ustawienia!$E$4:$E$100),"")</f>
        <v/>
      </c>
      <c r="G283" s="4"/>
    </row>
    <row r="284" spans="1:7" x14ac:dyDescent="0.25">
      <c r="A284" s="4"/>
      <c r="B284" s="4"/>
      <c r="C284" s="4"/>
      <c r="D284" s="4"/>
      <c r="E284" s="4"/>
      <c r="F284" s="4" t="str">
        <f ca="1">IFERROR(_xludf.XLOOKUP(D284,Ustawienia!$D$4:$D$100,Ustawienia!$E$4:$E$100),"")</f>
        <v/>
      </c>
      <c r="G284" s="4"/>
    </row>
    <row r="285" spans="1:7" x14ac:dyDescent="0.25">
      <c r="A285" s="4"/>
      <c r="B285" s="4"/>
      <c r="C285" s="4"/>
      <c r="D285" s="4"/>
      <c r="E285" s="4"/>
      <c r="F285" s="4" t="str">
        <f ca="1">IFERROR(_xludf.XLOOKUP(D285,Ustawienia!$D$4:$D$100,Ustawienia!$E$4:$E$100),"")</f>
        <v/>
      </c>
      <c r="G285" s="4"/>
    </row>
    <row r="286" spans="1:7" x14ac:dyDescent="0.25">
      <c r="A286" s="4"/>
      <c r="B286" s="4"/>
      <c r="C286" s="4"/>
      <c r="D286" s="4"/>
      <c r="E286" s="4"/>
      <c r="F286" s="4" t="str">
        <f ca="1">IFERROR(_xludf.XLOOKUP(D286,Ustawienia!$D$4:$D$100,Ustawienia!$E$4:$E$100),"")</f>
        <v/>
      </c>
      <c r="G286" s="4"/>
    </row>
    <row r="287" spans="1:7" x14ac:dyDescent="0.25">
      <c r="A287" s="4"/>
      <c r="B287" s="4"/>
      <c r="C287" s="4"/>
      <c r="D287" s="4"/>
      <c r="E287" s="4"/>
      <c r="F287" s="4" t="str">
        <f ca="1">IFERROR(_xludf.XLOOKUP(D287,Ustawienia!$D$4:$D$100,Ustawienia!$E$4:$E$100),"")</f>
        <v/>
      </c>
      <c r="G287" s="4"/>
    </row>
    <row r="288" spans="1:7" x14ac:dyDescent="0.25">
      <c r="A288" s="4"/>
      <c r="B288" s="4"/>
      <c r="C288" s="4"/>
      <c r="D288" s="4"/>
      <c r="E288" s="4"/>
      <c r="F288" s="4" t="str">
        <f ca="1">IFERROR(_xludf.XLOOKUP(D288,Ustawienia!$D$4:$D$100,Ustawienia!$E$4:$E$100),"")</f>
        <v/>
      </c>
      <c r="G288" s="4"/>
    </row>
    <row r="289" spans="1:7" x14ac:dyDescent="0.25">
      <c r="A289" s="4"/>
      <c r="B289" s="4"/>
      <c r="C289" s="4"/>
      <c r="D289" s="4"/>
      <c r="E289" s="4"/>
      <c r="F289" s="4" t="str">
        <f ca="1">IFERROR(_xludf.XLOOKUP(D289,Ustawienia!$D$4:$D$100,Ustawienia!$E$4:$E$100),"")</f>
        <v/>
      </c>
      <c r="G289" s="4"/>
    </row>
    <row r="290" spans="1:7" x14ac:dyDescent="0.25">
      <c r="A290" s="4"/>
      <c r="B290" s="4"/>
      <c r="C290" s="4"/>
      <c r="D290" s="4"/>
      <c r="E290" s="4"/>
      <c r="F290" s="4" t="str">
        <f ca="1">IFERROR(_xludf.XLOOKUP(D290,Ustawienia!$D$4:$D$100,Ustawienia!$E$4:$E$100),"")</f>
        <v/>
      </c>
      <c r="G290" s="4"/>
    </row>
    <row r="291" spans="1:7" x14ac:dyDescent="0.25">
      <c r="A291" s="4"/>
      <c r="B291" s="4"/>
      <c r="C291" s="4"/>
      <c r="D291" s="4"/>
      <c r="E291" s="4"/>
      <c r="F291" s="4" t="str">
        <f ca="1">IFERROR(_xludf.XLOOKUP(D291,Ustawienia!$D$4:$D$100,Ustawienia!$E$4:$E$100),"")</f>
        <v/>
      </c>
      <c r="G291" s="4"/>
    </row>
    <row r="292" spans="1:7" x14ac:dyDescent="0.25">
      <c r="A292" s="4"/>
      <c r="B292" s="4"/>
      <c r="C292" s="4"/>
      <c r="D292" s="4"/>
      <c r="E292" s="4"/>
      <c r="F292" s="4" t="str">
        <f ca="1">IFERROR(_xludf.XLOOKUP(D292,Ustawienia!$D$4:$D$100,Ustawienia!$E$4:$E$100),"")</f>
        <v/>
      </c>
      <c r="G292" s="4"/>
    </row>
    <row r="293" spans="1:7" x14ac:dyDescent="0.25">
      <c r="A293" s="4"/>
      <c r="B293" s="4"/>
      <c r="C293" s="4"/>
      <c r="D293" s="4"/>
      <c r="E293" s="4"/>
      <c r="F293" s="4" t="str">
        <f ca="1">IFERROR(_xludf.XLOOKUP(D293,Ustawienia!$D$4:$D$100,Ustawienia!$E$4:$E$100),"")</f>
        <v/>
      </c>
      <c r="G293" s="4"/>
    </row>
    <row r="294" spans="1:7" x14ac:dyDescent="0.25">
      <c r="A294" s="4"/>
      <c r="B294" s="4"/>
      <c r="C294" s="4"/>
      <c r="D294" s="4"/>
      <c r="E294" s="4"/>
      <c r="F294" s="4" t="str">
        <f ca="1">IFERROR(_xludf.XLOOKUP(D294,Ustawienia!$D$4:$D$100,Ustawienia!$E$4:$E$100),"")</f>
        <v/>
      </c>
      <c r="G294" s="4"/>
    </row>
    <row r="295" spans="1:7" x14ac:dyDescent="0.25">
      <c r="A295" s="4"/>
      <c r="B295" s="4"/>
      <c r="C295" s="4"/>
      <c r="D295" s="4"/>
      <c r="E295" s="4"/>
      <c r="F295" s="4" t="str">
        <f ca="1">IFERROR(_xludf.XLOOKUP(D295,Ustawienia!$D$4:$D$100,Ustawienia!$E$4:$E$100),"")</f>
        <v/>
      </c>
      <c r="G295" s="4"/>
    </row>
    <row r="296" spans="1:7" x14ac:dyDescent="0.25">
      <c r="A296" s="4"/>
      <c r="B296" s="4"/>
      <c r="C296" s="4"/>
      <c r="D296" s="4"/>
      <c r="E296" s="4"/>
      <c r="F296" s="4" t="str">
        <f ca="1">IFERROR(_xludf.XLOOKUP(D296,Ustawienia!$D$4:$D$100,Ustawienia!$E$4:$E$100),"")</f>
        <v/>
      </c>
      <c r="G296" s="4"/>
    </row>
    <row r="297" spans="1:7" x14ac:dyDescent="0.25">
      <c r="A297" s="4"/>
      <c r="B297" s="4"/>
      <c r="C297" s="4"/>
      <c r="D297" s="4"/>
      <c r="E297" s="4"/>
      <c r="F297" s="4" t="str">
        <f ca="1">IFERROR(_xludf.XLOOKUP(D297,Ustawienia!$D$4:$D$100,Ustawienia!$E$4:$E$100),"")</f>
        <v/>
      </c>
      <c r="G297" s="4"/>
    </row>
    <row r="298" spans="1:7" x14ac:dyDescent="0.25">
      <c r="A298" s="4"/>
      <c r="B298" s="4"/>
      <c r="C298" s="4"/>
      <c r="D298" s="4"/>
      <c r="E298" s="4"/>
      <c r="F298" s="4" t="str">
        <f ca="1">IFERROR(_xludf.XLOOKUP(D298,Ustawienia!$D$4:$D$100,Ustawienia!$E$4:$E$100),"")</f>
        <v/>
      </c>
      <c r="G298" s="4"/>
    </row>
    <row r="299" spans="1:7" x14ac:dyDescent="0.25">
      <c r="A299" s="4"/>
      <c r="B299" s="4"/>
      <c r="C299" s="4"/>
      <c r="D299" s="4"/>
      <c r="E299" s="4"/>
      <c r="F299" s="4" t="str">
        <f ca="1">IFERROR(_xludf.XLOOKUP(D299,Ustawienia!$D$4:$D$100,Ustawienia!$E$4:$E$100),"")</f>
        <v/>
      </c>
      <c r="G299" s="4"/>
    </row>
    <row r="300" spans="1:7" x14ac:dyDescent="0.25">
      <c r="A300" s="4"/>
      <c r="B300" s="4"/>
      <c r="C300" s="4"/>
      <c r="D300" s="4"/>
      <c r="E300" s="4"/>
      <c r="F300" s="4" t="str">
        <f ca="1">IFERROR(_xludf.XLOOKUP(D300,Ustawienia!$D$4:$D$100,Ustawienia!$E$4:$E$100),"")</f>
        <v/>
      </c>
      <c r="G300" s="4"/>
    </row>
    <row r="301" spans="1:7" x14ac:dyDescent="0.25">
      <c r="A301" s="4"/>
      <c r="B301" s="4"/>
      <c r="C301" s="4"/>
      <c r="D301" s="4"/>
      <c r="E301" s="4"/>
      <c r="F301" s="4" t="str">
        <f ca="1">IFERROR(_xludf.XLOOKUP(D301,Ustawienia!$D$4:$D$100,Ustawienia!$E$4:$E$100),"")</f>
        <v/>
      </c>
      <c r="G301" s="4"/>
    </row>
    <row r="302" spans="1:7" x14ac:dyDescent="0.25">
      <c r="A302" s="4"/>
      <c r="B302" s="4"/>
      <c r="C302" s="4"/>
      <c r="D302" s="4"/>
      <c r="E302" s="4"/>
      <c r="F302" s="4" t="str">
        <f ca="1">IFERROR(_xludf.XLOOKUP(D302,Ustawienia!$D$4:$D$100,Ustawienia!$E$4:$E$100),"")</f>
        <v/>
      </c>
      <c r="G302" s="4"/>
    </row>
    <row r="303" spans="1:7" x14ac:dyDescent="0.25">
      <c r="A303" s="4"/>
      <c r="B303" s="4"/>
      <c r="C303" s="4"/>
      <c r="D303" s="4"/>
      <c r="E303" s="4"/>
      <c r="F303" s="4" t="str">
        <f ca="1">IFERROR(_xludf.XLOOKUP(D303,Ustawienia!$D$4:$D$100,Ustawienia!$E$4:$E$100),"")</f>
        <v/>
      </c>
      <c r="G303" s="4"/>
    </row>
    <row r="304" spans="1:7" x14ac:dyDescent="0.25">
      <c r="A304" s="4"/>
      <c r="B304" s="4"/>
      <c r="C304" s="4"/>
      <c r="D304" s="4"/>
      <c r="E304" s="4"/>
      <c r="F304" s="4" t="str">
        <f ca="1">IFERROR(_xludf.XLOOKUP(D304,Ustawienia!$D$4:$D$100,Ustawienia!$E$4:$E$100),"")</f>
        <v/>
      </c>
      <c r="G304" s="4"/>
    </row>
    <row r="305" spans="1:7" x14ac:dyDescent="0.25">
      <c r="A305" s="4"/>
      <c r="B305" s="4"/>
      <c r="C305" s="4"/>
      <c r="D305" s="4"/>
      <c r="E305" s="4"/>
      <c r="F305" s="4" t="str">
        <f ca="1">IFERROR(_xludf.XLOOKUP(D305,Ustawienia!$D$4:$D$100,Ustawienia!$E$4:$E$100),"")</f>
        <v/>
      </c>
      <c r="G305" s="4"/>
    </row>
    <row r="306" spans="1:7" x14ac:dyDescent="0.25">
      <c r="A306" s="4"/>
      <c r="B306" s="4"/>
      <c r="C306" s="4"/>
      <c r="D306" s="4"/>
      <c r="E306" s="4"/>
      <c r="F306" s="4" t="str">
        <f ca="1">IFERROR(_xludf.XLOOKUP(D306,Ustawienia!$D$4:$D$100,Ustawienia!$E$4:$E$100),"")</f>
        <v/>
      </c>
      <c r="G306" s="4"/>
    </row>
    <row r="307" spans="1:7" x14ac:dyDescent="0.25">
      <c r="A307" s="4"/>
      <c r="B307" s="4"/>
      <c r="C307" s="4"/>
      <c r="D307" s="4"/>
      <c r="E307" s="4"/>
      <c r="F307" s="4" t="str">
        <f ca="1">IFERROR(_xludf.XLOOKUP(D307,Ustawienia!$D$4:$D$100,Ustawienia!$E$4:$E$100),"")</f>
        <v/>
      </c>
      <c r="G307" s="4"/>
    </row>
    <row r="308" spans="1:7" x14ac:dyDescent="0.25">
      <c r="A308" s="4"/>
      <c r="B308" s="4"/>
      <c r="C308" s="4"/>
      <c r="D308" s="4"/>
      <c r="E308" s="4"/>
      <c r="F308" s="4" t="str">
        <f ca="1">IFERROR(_xludf.XLOOKUP(D308,Ustawienia!$D$4:$D$100,Ustawienia!$E$4:$E$100),"")</f>
        <v/>
      </c>
      <c r="G308" s="4"/>
    </row>
    <row r="309" spans="1:7" x14ac:dyDescent="0.25">
      <c r="A309" s="4"/>
      <c r="B309" s="4"/>
      <c r="C309" s="4"/>
      <c r="D309" s="4"/>
      <c r="E309" s="4"/>
      <c r="F309" s="4" t="str">
        <f ca="1">IFERROR(_xludf.XLOOKUP(D309,Ustawienia!$D$4:$D$100,Ustawienia!$E$4:$E$100),"")</f>
        <v/>
      </c>
      <c r="G309" s="4"/>
    </row>
    <row r="310" spans="1:7" x14ac:dyDescent="0.25">
      <c r="A310" s="4"/>
      <c r="B310" s="4"/>
      <c r="C310" s="4"/>
      <c r="D310" s="4"/>
      <c r="E310" s="4"/>
      <c r="F310" s="4" t="str">
        <f ca="1">IFERROR(_xludf.XLOOKUP(D310,Ustawienia!$D$4:$D$100,Ustawienia!$E$4:$E$100),"")</f>
        <v/>
      </c>
      <c r="G310" s="4"/>
    </row>
    <row r="311" spans="1:7" x14ac:dyDescent="0.25">
      <c r="A311" s="4"/>
      <c r="B311" s="4"/>
      <c r="C311" s="4"/>
      <c r="D311" s="4"/>
      <c r="E311" s="4"/>
      <c r="F311" s="4" t="str">
        <f ca="1">IFERROR(_xludf.XLOOKUP(D311,Ustawienia!$D$4:$D$100,Ustawienia!$E$4:$E$100),"")</f>
        <v/>
      </c>
      <c r="G311" s="4"/>
    </row>
    <row r="312" spans="1:7" x14ac:dyDescent="0.25">
      <c r="A312" s="4"/>
      <c r="B312" s="4"/>
      <c r="C312" s="4"/>
      <c r="D312" s="4"/>
      <c r="E312" s="4"/>
      <c r="F312" s="4" t="str">
        <f ca="1">IFERROR(_xludf.XLOOKUP(D312,Ustawienia!$D$4:$D$100,Ustawienia!$E$4:$E$100),"")</f>
        <v/>
      </c>
      <c r="G312" s="4"/>
    </row>
    <row r="313" spans="1:7" x14ac:dyDescent="0.25">
      <c r="A313" s="4"/>
      <c r="B313" s="4"/>
      <c r="C313" s="4"/>
      <c r="D313" s="4"/>
      <c r="E313" s="4"/>
      <c r="F313" s="4" t="str">
        <f ca="1">IFERROR(_xludf.XLOOKUP(D313,Ustawienia!$D$4:$D$100,Ustawienia!$E$4:$E$100),"")</f>
        <v/>
      </c>
      <c r="G313" s="4"/>
    </row>
    <row r="314" spans="1:7" x14ac:dyDescent="0.25">
      <c r="A314" s="4"/>
      <c r="B314" s="4"/>
      <c r="C314" s="4"/>
      <c r="D314" s="4"/>
      <c r="E314" s="4"/>
      <c r="F314" s="4" t="str">
        <f ca="1">IFERROR(_xludf.XLOOKUP(D314,Ustawienia!$D$4:$D$100,Ustawienia!$E$4:$E$100),"")</f>
        <v/>
      </c>
      <c r="G314" s="4"/>
    </row>
    <row r="315" spans="1:7" x14ac:dyDescent="0.25">
      <c r="A315" s="4"/>
      <c r="B315" s="4"/>
      <c r="C315" s="4"/>
      <c r="D315" s="4"/>
      <c r="E315" s="4"/>
      <c r="F315" s="4" t="str">
        <f ca="1">IFERROR(_xludf.XLOOKUP(D315,Ustawienia!$D$4:$D$100,Ustawienia!$E$4:$E$100),"")</f>
        <v/>
      </c>
      <c r="G315" s="4"/>
    </row>
    <row r="316" spans="1:7" x14ac:dyDescent="0.25">
      <c r="A316" s="4"/>
      <c r="B316" s="4"/>
      <c r="C316" s="4"/>
      <c r="D316" s="4"/>
      <c r="E316" s="4"/>
      <c r="F316" s="4" t="str">
        <f ca="1">IFERROR(_xludf.XLOOKUP(D316,Ustawienia!$D$4:$D$100,Ustawienia!$E$4:$E$100),"")</f>
        <v/>
      </c>
      <c r="G316" s="4"/>
    </row>
    <row r="317" spans="1:7" x14ac:dyDescent="0.25">
      <c r="A317" s="4"/>
      <c r="B317" s="4"/>
      <c r="C317" s="4"/>
      <c r="D317" s="4"/>
      <c r="E317" s="4"/>
      <c r="F317" s="4" t="str">
        <f ca="1">IFERROR(_xludf.XLOOKUP(D317,Ustawienia!$D$4:$D$100,Ustawienia!$E$4:$E$100),"")</f>
        <v/>
      </c>
      <c r="G317" s="4"/>
    </row>
    <row r="318" spans="1:7" x14ac:dyDescent="0.25">
      <c r="A318" s="4"/>
      <c r="B318" s="4"/>
      <c r="C318" s="4"/>
      <c r="D318" s="4"/>
      <c r="E318" s="4"/>
      <c r="F318" s="4" t="str">
        <f ca="1">IFERROR(_xludf.XLOOKUP(D318,Ustawienia!$D$4:$D$100,Ustawienia!$E$4:$E$100),"")</f>
        <v/>
      </c>
      <c r="G318" s="4"/>
    </row>
    <row r="319" spans="1:7" x14ac:dyDescent="0.25">
      <c r="A319" s="4"/>
      <c r="B319" s="4"/>
      <c r="C319" s="4"/>
      <c r="D319" s="4"/>
      <c r="E319" s="4"/>
      <c r="F319" s="4" t="str">
        <f ca="1">IFERROR(_xludf.XLOOKUP(D319,Ustawienia!$D$4:$D$100,Ustawienia!$E$4:$E$100),"")</f>
        <v/>
      </c>
      <c r="G319" s="4"/>
    </row>
    <row r="320" spans="1:7" x14ac:dyDescent="0.25">
      <c r="A320" s="4"/>
      <c r="B320" s="4"/>
      <c r="C320" s="4"/>
      <c r="D320" s="4"/>
      <c r="E320" s="4"/>
      <c r="F320" s="4" t="str">
        <f ca="1">IFERROR(_xludf.XLOOKUP(D320,Ustawienia!$D$4:$D$100,Ustawienia!$E$4:$E$100),"")</f>
        <v/>
      </c>
      <c r="G320" s="4"/>
    </row>
    <row r="321" spans="1:7" x14ac:dyDescent="0.25">
      <c r="A321" s="4"/>
      <c r="B321" s="4"/>
      <c r="C321" s="4"/>
      <c r="D321" s="4"/>
      <c r="E321" s="4"/>
      <c r="F321" s="4" t="str">
        <f ca="1">IFERROR(_xludf.XLOOKUP(D321,Ustawienia!$D$4:$D$100,Ustawienia!$E$4:$E$100),"")</f>
        <v/>
      </c>
      <c r="G321" s="4"/>
    </row>
    <row r="322" spans="1:7" x14ac:dyDescent="0.25">
      <c r="A322" s="4"/>
      <c r="B322" s="4"/>
      <c r="C322" s="4"/>
      <c r="D322" s="4"/>
      <c r="E322" s="4"/>
      <c r="F322" s="4" t="str">
        <f ca="1">IFERROR(_xludf.XLOOKUP(D322,Ustawienia!$D$4:$D$100,Ustawienia!$E$4:$E$100),"")</f>
        <v/>
      </c>
      <c r="G322" s="4"/>
    </row>
    <row r="323" spans="1:7" x14ac:dyDescent="0.25">
      <c r="A323" s="4"/>
      <c r="B323" s="4"/>
      <c r="C323" s="4"/>
      <c r="D323" s="4"/>
      <c r="E323" s="4"/>
      <c r="F323" s="4" t="str">
        <f ca="1">IFERROR(_xludf.XLOOKUP(D323,Ustawienia!$D$4:$D$100,Ustawienia!$E$4:$E$100),"")</f>
        <v/>
      </c>
      <c r="G323" s="4"/>
    </row>
    <row r="324" spans="1:7" x14ac:dyDescent="0.25">
      <c r="A324" s="4"/>
      <c r="B324" s="4"/>
      <c r="C324" s="4"/>
      <c r="D324" s="4"/>
      <c r="E324" s="4"/>
      <c r="F324" s="4" t="str">
        <f ca="1">IFERROR(_xludf.XLOOKUP(D324,Ustawienia!$D$4:$D$100,Ustawienia!$E$4:$E$100),"")</f>
        <v/>
      </c>
      <c r="G324" s="4"/>
    </row>
    <row r="325" spans="1:7" x14ac:dyDescent="0.25">
      <c r="A325" s="4"/>
      <c r="B325" s="4"/>
      <c r="C325" s="4"/>
      <c r="D325" s="4"/>
      <c r="E325" s="4"/>
      <c r="F325" s="4" t="str">
        <f ca="1">IFERROR(_xludf.XLOOKUP(D325,Ustawienia!$D$4:$D$100,Ustawienia!$E$4:$E$100),"")</f>
        <v/>
      </c>
      <c r="G325" s="4"/>
    </row>
    <row r="326" spans="1:7" x14ac:dyDescent="0.25">
      <c r="A326" s="4"/>
      <c r="B326" s="4"/>
      <c r="C326" s="4"/>
      <c r="D326" s="4"/>
      <c r="E326" s="4"/>
      <c r="F326" s="4" t="str">
        <f ca="1">IFERROR(_xludf.XLOOKUP(D326,Ustawienia!$D$4:$D$100,Ustawienia!$E$4:$E$100),"")</f>
        <v/>
      </c>
      <c r="G326" s="4"/>
    </row>
    <row r="327" spans="1:7" x14ac:dyDescent="0.25">
      <c r="A327" s="4"/>
      <c r="B327" s="4"/>
      <c r="C327" s="4"/>
      <c r="D327" s="4"/>
      <c r="E327" s="4"/>
      <c r="F327" s="4" t="str">
        <f ca="1">IFERROR(_xludf.XLOOKUP(D327,Ustawienia!$D$4:$D$100,Ustawienia!$E$4:$E$100),"")</f>
        <v/>
      </c>
      <c r="G327" s="4"/>
    </row>
    <row r="328" spans="1:7" x14ac:dyDescent="0.25">
      <c r="A328" s="4"/>
      <c r="B328" s="4"/>
      <c r="C328" s="4"/>
      <c r="D328" s="4"/>
      <c r="E328" s="4"/>
      <c r="F328" s="4" t="str">
        <f ca="1">IFERROR(_xludf.XLOOKUP(D328,Ustawienia!$D$4:$D$100,Ustawienia!$E$4:$E$100),"")</f>
        <v/>
      </c>
      <c r="G328" s="4"/>
    </row>
    <row r="329" spans="1:7" x14ac:dyDescent="0.25">
      <c r="A329" s="4"/>
      <c r="B329" s="4"/>
      <c r="C329" s="4"/>
      <c r="D329" s="4"/>
      <c r="E329" s="4"/>
      <c r="F329" s="4" t="str">
        <f ca="1">IFERROR(_xludf.XLOOKUP(D329,Ustawienia!$D$4:$D$100,Ustawienia!$E$4:$E$100),"")</f>
        <v/>
      </c>
      <c r="G329" s="4"/>
    </row>
    <row r="330" spans="1:7" x14ac:dyDescent="0.25">
      <c r="A330" s="4"/>
      <c r="B330" s="4"/>
      <c r="C330" s="4"/>
      <c r="D330" s="4"/>
      <c r="E330" s="4"/>
      <c r="F330" s="4" t="str">
        <f ca="1">IFERROR(_xludf.XLOOKUP(D330,Ustawienia!$D$4:$D$100,Ustawienia!$E$4:$E$100),"")</f>
        <v/>
      </c>
      <c r="G330" s="4"/>
    </row>
    <row r="331" spans="1:7" x14ac:dyDescent="0.25">
      <c r="A331" s="4"/>
      <c r="B331" s="4"/>
      <c r="C331" s="4"/>
      <c r="D331" s="4"/>
      <c r="E331" s="4"/>
      <c r="F331" s="4" t="str">
        <f ca="1">IFERROR(_xludf.XLOOKUP(D331,Ustawienia!$D$4:$D$100,Ustawienia!$E$4:$E$100),"")</f>
        <v/>
      </c>
      <c r="G331" s="4"/>
    </row>
    <row r="332" spans="1:7" x14ac:dyDescent="0.25">
      <c r="A332" s="4"/>
      <c r="B332" s="4"/>
      <c r="C332" s="4"/>
      <c r="D332" s="4"/>
      <c r="E332" s="4"/>
      <c r="F332" s="4" t="str">
        <f ca="1">IFERROR(_xludf.XLOOKUP(D332,Ustawienia!$D$4:$D$100,Ustawienia!$E$4:$E$100),"")</f>
        <v/>
      </c>
      <c r="G332" s="4"/>
    </row>
    <row r="333" spans="1:7" x14ac:dyDescent="0.25">
      <c r="A333" s="4"/>
      <c r="B333" s="4"/>
      <c r="C333" s="4"/>
      <c r="D333" s="4"/>
      <c r="E333" s="4"/>
      <c r="F333" s="4" t="str">
        <f ca="1">IFERROR(_xludf.XLOOKUP(D333,Ustawienia!$D$4:$D$100,Ustawienia!$E$4:$E$100),"")</f>
        <v/>
      </c>
      <c r="G333" s="4"/>
    </row>
    <row r="334" spans="1:7" x14ac:dyDescent="0.25">
      <c r="A334" s="4"/>
      <c r="B334" s="4"/>
      <c r="C334" s="4"/>
      <c r="D334" s="4"/>
      <c r="E334" s="4"/>
      <c r="F334" s="4" t="str">
        <f ca="1">IFERROR(_xludf.XLOOKUP(D334,Ustawienia!$D$4:$D$100,Ustawienia!$E$4:$E$100),"")</f>
        <v/>
      </c>
      <c r="G334" s="4"/>
    </row>
    <row r="335" spans="1:7" x14ac:dyDescent="0.25">
      <c r="A335" s="4"/>
      <c r="B335" s="4"/>
      <c r="C335" s="4"/>
      <c r="D335" s="4"/>
      <c r="E335" s="4"/>
      <c r="F335" s="4" t="str">
        <f ca="1">IFERROR(_xludf.XLOOKUP(D335,Ustawienia!$D$4:$D$100,Ustawienia!$E$4:$E$100),"")</f>
        <v/>
      </c>
      <c r="G335" s="4"/>
    </row>
    <row r="336" spans="1:7" x14ac:dyDescent="0.25">
      <c r="A336" s="4"/>
      <c r="B336" s="4"/>
      <c r="C336" s="4"/>
      <c r="D336" s="4"/>
      <c r="E336" s="4"/>
      <c r="F336" s="4" t="str">
        <f ca="1">IFERROR(_xludf.XLOOKUP(D336,Ustawienia!$D$4:$D$100,Ustawienia!$E$4:$E$100),"")</f>
        <v/>
      </c>
      <c r="G336" s="4"/>
    </row>
    <row r="337" spans="1:7" x14ac:dyDescent="0.25">
      <c r="A337" s="4"/>
      <c r="B337" s="4"/>
      <c r="C337" s="4"/>
      <c r="D337" s="4"/>
      <c r="E337" s="4"/>
      <c r="F337" s="4" t="str">
        <f ca="1">IFERROR(_xludf.XLOOKUP(D337,Ustawienia!$D$4:$D$100,Ustawienia!$E$4:$E$100),"")</f>
        <v/>
      </c>
      <c r="G337" s="4"/>
    </row>
    <row r="338" spans="1:7" x14ac:dyDescent="0.25">
      <c r="A338" s="4"/>
      <c r="B338" s="4"/>
      <c r="C338" s="4"/>
      <c r="D338" s="4"/>
      <c r="E338" s="4"/>
      <c r="F338" s="4" t="str">
        <f ca="1">IFERROR(_xludf.XLOOKUP(D338,Ustawienia!$D$4:$D$100,Ustawienia!$E$4:$E$100),"")</f>
        <v/>
      </c>
      <c r="G338" s="4"/>
    </row>
    <row r="339" spans="1:7" x14ac:dyDescent="0.25">
      <c r="A339" s="4"/>
      <c r="B339" s="4"/>
      <c r="C339" s="4"/>
      <c r="D339" s="4"/>
      <c r="E339" s="4"/>
      <c r="F339" s="4" t="str">
        <f ca="1">IFERROR(_xludf.XLOOKUP(D339,Ustawienia!$D$4:$D$100,Ustawienia!$E$4:$E$100),"")</f>
        <v/>
      </c>
      <c r="G339" s="4"/>
    </row>
    <row r="340" spans="1:7" x14ac:dyDescent="0.25">
      <c r="A340" s="4"/>
      <c r="B340" s="4"/>
      <c r="C340" s="4"/>
      <c r="D340" s="4"/>
      <c r="E340" s="4"/>
      <c r="F340" s="4" t="str">
        <f ca="1">IFERROR(_xludf.XLOOKUP(D340,Ustawienia!$D$4:$D$100,Ustawienia!$E$4:$E$100),"")</f>
        <v/>
      </c>
      <c r="G340" s="4"/>
    </row>
    <row r="341" spans="1:7" x14ac:dyDescent="0.25">
      <c r="A341" s="4"/>
      <c r="B341" s="4"/>
      <c r="C341" s="4"/>
      <c r="D341" s="4"/>
      <c r="E341" s="4"/>
      <c r="F341" s="4" t="str">
        <f ca="1">IFERROR(_xludf.XLOOKUP(D341,Ustawienia!$D$4:$D$100,Ustawienia!$E$4:$E$100),"")</f>
        <v/>
      </c>
      <c r="G341" s="4"/>
    </row>
    <row r="342" spans="1:7" x14ac:dyDescent="0.25">
      <c r="A342" s="4"/>
      <c r="B342" s="4"/>
      <c r="C342" s="4"/>
      <c r="D342" s="4"/>
      <c r="E342" s="4"/>
      <c r="F342" s="4" t="str">
        <f ca="1">IFERROR(_xludf.XLOOKUP(D342,Ustawienia!$D$4:$D$100,Ustawienia!$E$4:$E$100),"")</f>
        <v/>
      </c>
      <c r="G342" s="4"/>
    </row>
    <row r="343" spans="1:7" x14ac:dyDescent="0.25">
      <c r="A343" s="4"/>
      <c r="B343" s="4"/>
      <c r="C343" s="4"/>
      <c r="D343" s="4"/>
      <c r="E343" s="4"/>
      <c r="F343" s="4" t="str">
        <f ca="1">IFERROR(_xludf.XLOOKUP(D343,Ustawienia!$D$4:$D$100,Ustawienia!$E$4:$E$100),"")</f>
        <v/>
      </c>
      <c r="G343" s="4"/>
    </row>
    <row r="344" spans="1:7" x14ac:dyDescent="0.25">
      <c r="A344" s="4"/>
      <c r="B344" s="4"/>
      <c r="C344" s="4"/>
      <c r="D344" s="4"/>
      <c r="E344" s="4"/>
      <c r="F344" s="4" t="str">
        <f ca="1">IFERROR(_xludf.XLOOKUP(D344,Ustawienia!$D$4:$D$100,Ustawienia!$E$4:$E$100),"")</f>
        <v/>
      </c>
      <c r="G344" s="4"/>
    </row>
    <row r="345" spans="1:7" x14ac:dyDescent="0.25">
      <c r="A345" s="4"/>
      <c r="B345" s="4"/>
      <c r="C345" s="4"/>
      <c r="D345" s="4"/>
      <c r="E345" s="4"/>
      <c r="F345" s="4" t="str">
        <f ca="1">IFERROR(_xludf.XLOOKUP(D345,Ustawienia!$D$4:$D$100,Ustawienia!$E$4:$E$100),"")</f>
        <v/>
      </c>
      <c r="G345" s="4"/>
    </row>
    <row r="346" spans="1:7" x14ac:dyDescent="0.25">
      <c r="A346" s="4"/>
      <c r="B346" s="4"/>
      <c r="C346" s="4"/>
      <c r="D346" s="4"/>
      <c r="E346" s="4"/>
      <c r="F346" s="4" t="str">
        <f ca="1">IFERROR(_xludf.XLOOKUP(D346,Ustawienia!$D$4:$D$100,Ustawienia!$E$4:$E$100),"")</f>
        <v/>
      </c>
      <c r="G346" s="4"/>
    </row>
    <row r="347" spans="1:7" x14ac:dyDescent="0.25">
      <c r="A347" s="4"/>
      <c r="B347" s="4"/>
      <c r="C347" s="4"/>
      <c r="D347" s="4"/>
      <c r="E347" s="4"/>
      <c r="F347" s="4" t="str">
        <f ca="1">IFERROR(_xludf.XLOOKUP(D347,Ustawienia!$D$4:$D$100,Ustawienia!$E$4:$E$100),"")</f>
        <v/>
      </c>
      <c r="G347" s="4"/>
    </row>
    <row r="348" spans="1:7" x14ac:dyDescent="0.25">
      <c r="A348" s="4"/>
      <c r="B348" s="4"/>
      <c r="C348" s="4"/>
      <c r="D348" s="4"/>
      <c r="E348" s="4"/>
      <c r="F348" s="4" t="str">
        <f ca="1">IFERROR(_xludf.XLOOKUP(D348,Ustawienia!$D$4:$D$100,Ustawienia!$E$4:$E$100),"")</f>
        <v/>
      </c>
      <c r="G348" s="4"/>
    </row>
    <row r="349" spans="1:7" x14ac:dyDescent="0.25">
      <c r="A349" s="4"/>
      <c r="B349" s="4"/>
      <c r="C349" s="4"/>
      <c r="D349" s="4"/>
      <c r="E349" s="4"/>
      <c r="F349" s="4" t="str">
        <f ca="1">IFERROR(_xludf.XLOOKUP(D349,Ustawienia!$D$4:$D$100,Ustawienia!$E$4:$E$100),"")</f>
        <v/>
      </c>
      <c r="G349" s="4"/>
    </row>
    <row r="350" spans="1:7" x14ac:dyDescent="0.25">
      <c r="A350" s="4"/>
      <c r="B350" s="4"/>
      <c r="C350" s="4"/>
      <c r="D350" s="4"/>
      <c r="E350" s="4"/>
      <c r="F350" s="4" t="str">
        <f ca="1">IFERROR(_xludf.XLOOKUP(D350,Ustawienia!$D$4:$D$100,Ustawienia!$E$4:$E$100),"")</f>
        <v/>
      </c>
      <c r="G350" s="4"/>
    </row>
    <row r="351" spans="1:7" x14ac:dyDescent="0.25">
      <c r="A351" s="4"/>
      <c r="B351" s="4"/>
      <c r="C351" s="4"/>
      <c r="D351" s="4"/>
      <c r="E351" s="4"/>
      <c r="F351" s="4" t="str">
        <f ca="1">IFERROR(_xludf.XLOOKUP(D351,Ustawienia!$D$4:$D$100,Ustawienia!$E$4:$E$100),"")</f>
        <v/>
      </c>
      <c r="G351" s="4"/>
    </row>
    <row r="352" spans="1:7" x14ac:dyDescent="0.25">
      <c r="A352" s="4"/>
      <c r="B352" s="4"/>
      <c r="C352" s="4"/>
      <c r="D352" s="4"/>
      <c r="E352" s="4"/>
      <c r="F352" s="4" t="str">
        <f ca="1">IFERROR(_xludf.XLOOKUP(D352,Ustawienia!$D$4:$D$100,Ustawienia!$E$4:$E$100),"")</f>
        <v/>
      </c>
      <c r="G352" s="4"/>
    </row>
    <row r="353" spans="1:7" x14ac:dyDescent="0.25">
      <c r="A353" s="4"/>
      <c r="B353" s="4"/>
      <c r="C353" s="4"/>
      <c r="D353" s="4"/>
      <c r="E353" s="4"/>
      <c r="F353" s="4" t="str">
        <f ca="1">IFERROR(_xludf.XLOOKUP(D353,Ustawienia!$D$4:$D$100,Ustawienia!$E$4:$E$100),"")</f>
        <v/>
      </c>
      <c r="G353" s="4"/>
    </row>
    <row r="354" spans="1:7" x14ac:dyDescent="0.25">
      <c r="A354" s="4"/>
      <c r="B354" s="4"/>
      <c r="C354" s="4"/>
      <c r="D354" s="4"/>
      <c r="E354" s="4"/>
      <c r="F354" s="4" t="str">
        <f ca="1">IFERROR(_xludf.XLOOKUP(D354,Ustawienia!$D$4:$D$100,Ustawienia!$E$4:$E$100),"")</f>
        <v/>
      </c>
      <c r="G354" s="4"/>
    </row>
    <row r="355" spans="1:7" x14ac:dyDescent="0.25">
      <c r="A355" s="4"/>
      <c r="B355" s="4"/>
      <c r="C355" s="4"/>
      <c r="D355" s="4"/>
      <c r="E355" s="4"/>
      <c r="F355" s="4" t="str">
        <f ca="1">IFERROR(_xludf.XLOOKUP(D355,Ustawienia!$D$4:$D$100,Ustawienia!$E$4:$E$100),"")</f>
        <v/>
      </c>
      <c r="G355" s="4"/>
    </row>
    <row r="356" spans="1:7" x14ac:dyDescent="0.25">
      <c r="A356" s="4"/>
      <c r="B356" s="4"/>
      <c r="C356" s="4"/>
      <c r="D356" s="4"/>
      <c r="E356" s="4"/>
      <c r="F356" s="4" t="str">
        <f ca="1">IFERROR(_xludf.XLOOKUP(D356,Ustawienia!$D$4:$D$100,Ustawienia!$E$4:$E$100),"")</f>
        <v/>
      </c>
      <c r="G356" s="4"/>
    </row>
    <row r="357" spans="1:7" x14ac:dyDescent="0.25">
      <c r="A357" s="4"/>
      <c r="B357" s="4"/>
      <c r="C357" s="4"/>
      <c r="D357" s="4"/>
      <c r="E357" s="4"/>
      <c r="F357" s="4" t="str">
        <f ca="1">IFERROR(_xludf.XLOOKUP(D357,Ustawienia!$D$4:$D$100,Ustawienia!$E$4:$E$100),"")</f>
        <v/>
      </c>
      <c r="G357" s="4"/>
    </row>
    <row r="358" spans="1:7" x14ac:dyDescent="0.25">
      <c r="A358" s="4"/>
      <c r="B358" s="4"/>
      <c r="C358" s="4"/>
      <c r="D358" s="4"/>
      <c r="E358" s="4"/>
      <c r="F358" s="4" t="str">
        <f ca="1">IFERROR(_xludf.XLOOKUP(D358,Ustawienia!$D$4:$D$100,Ustawienia!$E$4:$E$100),"")</f>
        <v/>
      </c>
      <c r="G358" s="4"/>
    </row>
    <row r="359" spans="1:7" x14ac:dyDescent="0.25">
      <c r="A359" s="4"/>
      <c r="B359" s="4"/>
      <c r="C359" s="4"/>
      <c r="D359" s="4"/>
      <c r="E359" s="4"/>
      <c r="F359" s="4" t="str">
        <f ca="1">IFERROR(_xludf.XLOOKUP(D359,Ustawienia!$D$4:$D$100,Ustawienia!$E$4:$E$100),"")</f>
        <v/>
      </c>
      <c r="G359" s="4"/>
    </row>
    <row r="360" spans="1:7" x14ac:dyDescent="0.25">
      <c r="A360" s="4"/>
      <c r="B360" s="4"/>
      <c r="C360" s="4"/>
      <c r="D360" s="4"/>
      <c r="E360" s="4"/>
      <c r="F360" s="4" t="str">
        <f ca="1">IFERROR(_xludf.XLOOKUP(D360,Ustawienia!$D$4:$D$100,Ustawienia!$E$4:$E$100),"")</f>
        <v/>
      </c>
      <c r="G360" s="4"/>
    </row>
    <row r="361" spans="1:7" x14ac:dyDescent="0.25">
      <c r="A361" s="4"/>
      <c r="B361" s="4"/>
      <c r="C361" s="4"/>
      <c r="D361" s="4"/>
      <c r="E361" s="4"/>
      <c r="F361" s="4" t="str">
        <f ca="1">IFERROR(_xludf.XLOOKUP(D361,Ustawienia!$D$4:$D$100,Ustawienia!$E$4:$E$100),"")</f>
        <v/>
      </c>
      <c r="G361" s="4"/>
    </row>
    <row r="362" spans="1:7" x14ac:dyDescent="0.25">
      <c r="A362" s="4"/>
      <c r="B362" s="4"/>
      <c r="C362" s="4"/>
      <c r="D362" s="4"/>
      <c r="E362" s="4"/>
      <c r="F362" s="4" t="str">
        <f ca="1">IFERROR(_xludf.XLOOKUP(D362,Ustawienia!$D$4:$D$100,Ustawienia!$E$4:$E$100),"")</f>
        <v/>
      </c>
      <c r="G362" s="4"/>
    </row>
    <row r="363" spans="1:7" x14ac:dyDescent="0.25">
      <c r="A363" s="4"/>
      <c r="B363" s="4"/>
      <c r="C363" s="4"/>
      <c r="D363" s="4"/>
      <c r="E363" s="4"/>
      <c r="F363" s="4" t="str">
        <f ca="1">IFERROR(_xludf.XLOOKUP(D363,Ustawienia!$D$4:$D$100,Ustawienia!$E$4:$E$100),"")</f>
        <v/>
      </c>
      <c r="G363" s="4"/>
    </row>
    <row r="364" spans="1:7" x14ac:dyDescent="0.25">
      <c r="A364" s="4"/>
      <c r="B364" s="4"/>
      <c r="C364" s="4"/>
      <c r="D364" s="4"/>
      <c r="E364" s="4"/>
      <c r="F364" s="4" t="str">
        <f ca="1">IFERROR(_xludf.XLOOKUP(D364,Ustawienia!$D$4:$D$100,Ustawienia!$E$4:$E$100),"")</f>
        <v/>
      </c>
      <c r="G364" s="4"/>
    </row>
    <row r="365" spans="1:7" x14ac:dyDescent="0.25">
      <c r="A365" s="4"/>
      <c r="B365" s="4"/>
      <c r="C365" s="4"/>
      <c r="D365" s="4"/>
      <c r="E365" s="4"/>
      <c r="F365" s="4" t="str">
        <f ca="1">IFERROR(_xludf.XLOOKUP(D365,Ustawienia!$D$4:$D$100,Ustawienia!$E$4:$E$100),"")</f>
        <v/>
      </c>
      <c r="G365" s="4"/>
    </row>
    <row r="366" spans="1:7" x14ac:dyDescent="0.25">
      <c r="A366" s="4"/>
      <c r="B366" s="4"/>
      <c r="C366" s="4"/>
      <c r="D366" s="4"/>
      <c r="E366" s="4"/>
      <c r="F366" s="4" t="str">
        <f ca="1">IFERROR(_xludf.XLOOKUP(D366,Ustawienia!$D$4:$D$100,Ustawienia!$E$4:$E$100),"")</f>
        <v/>
      </c>
      <c r="G366" s="4"/>
    </row>
    <row r="367" spans="1:7" x14ac:dyDescent="0.25">
      <c r="A367" s="4"/>
      <c r="B367" s="4"/>
      <c r="C367" s="4"/>
      <c r="D367" s="4"/>
      <c r="E367" s="4"/>
      <c r="F367" s="4" t="str">
        <f ca="1">IFERROR(_xludf.XLOOKUP(D367,Ustawienia!$D$4:$D$100,Ustawienia!$E$4:$E$100),"")</f>
        <v/>
      </c>
      <c r="G367" s="4"/>
    </row>
    <row r="368" spans="1:7" x14ac:dyDescent="0.25">
      <c r="A368" s="4"/>
      <c r="B368" s="4"/>
      <c r="C368" s="4"/>
      <c r="D368" s="4"/>
      <c r="E368" s="4"/>
      <c r="F368" s="4" t="str">
        <f ca="1">IFERROR(_xludf.XLOOKUP(D368,Ustawienia!$D$4:$D$100,Ustawienia!$E$4:$E$100),"")</f>
        <v/>
      </c>
      <c r="G368" s="4"/>
    </row>
    <row r="369" spans="1:7" x14ac:dyDescent="0.25">
      <c r="A369" s="4"/>
      <c r="B369" s="4"/>
      <c r="C369" s="4"/>
      <c r="D369" s="4"/>
      <c r="E369" s="4"/>
      <c r="F369" s="4" t="str">
        <f ca="1">IFERROR(_xludf.XLOOKUP(D369,Ustawienia!$D$4:$D$100,Ustawienia!$E$4:$E$100),"")</f>
        <v/>
      </c>
      <c r="G369" s="4"/>
    </row>
    <row r="370" spans="1:7" x14ac:dyDescent="0.25">
      <c r="A370" s="4"/>
      <c r="B370" s="4"/>
      <c r="C370" s="4"/>
      <c r="D370" s="4"/>
      <c r="E370" s="4"/>
      <c r="F370" s="4" t="str">
        <f ca="1">IFERROR(_xludf.XLOOKUP(D370,Ustawienia!$D$4:$D$100,Ustawienia!$E$4:$E$100),"")</f>
        <v/>
      </c>
      <c r="G370" s="4"/>
    </row>
    <row r="371" spans="1:7" x14ac:dyDescent="0.25">
      <c r="A371" s="4"/>
      <c r="B371" s="4"/>
      <c r="C371" s="4"/>
      <c r="D371" s="4"/>
      <c r="E371" s="4"/>
      <c r="F371" s="4" t="str">
        <f ca="1">IFERROR(_xludf.XLOOKUP(D371,Ustawienia!$D$4:$D$100,Ustawienia!$E$4:$E$100),"")</f>
        <v/>
      </c>
      <c r="G371" s="4"/>
    </row>
    <row r="372" spans="1:7" x14ac:dyDescent="0.25">
      <c r="A372" s="4"/>
      <c r="B372" s="4"/>
      <c r="C372" s="4"/>
      <c r="D372" s="4"/>
      <c r="E372" s="4"/>
      <c r="F372" s="4" t="str">
        <f ca="1">IFERROR(_xludf.XLOOKUP(D372,Ustawienia!$D$4:$D$100,Ustawienia!$E$4:$E$100),"")</f>
        <v/>
      </c>
      <c r="G372" s="4"/>
    </row>
    <row r="373" spans="1:7" x14ac:dyDescent="0.25">
      <c r="A373" s="4"/>
      <c r="B373" s="4"/>
      <c r="C373" s="4"/>
      <c r="D373" s="4"/>
      <c r="E373" s="4"/>
      <c r="F373" s="4" t="str">
        <f ca="1">IFERROR(_xludf.XLOOKUP(D373,Ustawienia!$D$4:$D$100,Ustawienia!$E$4:$E$100),"")</f>
        <v/>
      </c>
      <c r="G373" s="4"/>
    </row>
    <row r="374" spans="1:7" x14ac:dyDescent="0.25">
      <c r="A374" s="4"/>
      <c r="B374" s="4"/>
      <c r="C374" s="4"/>
      <c r="D374" s="4"/>
      <c r="E374" s="4"/>
      <c r="F374" s="4" t="str">
        <f ca="1">IFERROR(_xludf.XLOOKUP(D374,Ustawienia!$D$4:$D$100,Ustawienia!$E$4:$E$100),"")</f>
        <v/>
      </c>
      <c r="G374" s="4"/>
    </row>
    <row r="375" spans="1:7" x14ac:dyDescent="0.25">
      <c r="A375" s="4"/>
      <c r="B375" s="4"/>
      <c r="C375" s="4"/>
      <c r="D375" s="4"/>
      <c r="E375" s="4"/>
      <c r="F375" s="4" t="str">
        <f ca="1">IFERROR(_xludf.XLOOKUP(D375,Ustawienia!$D$4:$D$100,Ustawienia!$E$4:$E$100),"")</f>
        <v/>
      </c>
      <c r="G375" s="4"/>
    </row>
    <row r="376" spans="1:7" x14ac:dyDescent="0.25">
      <c r="A376" s="4"/>
      <c r="B376" s="4"/>
      <c r="C376" s="4"/>
      <c r="D376" s="4"/>
      <c r="E376" s="4"/>
      <c r="F376" s="4" t="str">
        <f ca="1">IFERROR(_xludf.XLOOKUP(D376,Ustawienia!$D$4:$D$100,Ustawienia!$E$4:$E$100),"")</f>
        <v/>
      </c>
      <c r="G376" s="4"/>
    </row>
    <row r="377" spans="1:7" x14ac:dyDescent="0.25">
      <c r="A377" s="4"/>
      <c r="B377" s="4"/>
      <c r="C377" s="4"/>
      <c r="D377" s="4"/>
      <c r="E377" s="4"/>
      <c r="F377" s="4" t="str">
        <f ca="1">IFERROR(_xludf.XLOOKUP(D377,Ustawienia!$D$4:$D$100,Ustawienia!$E$4:$E$100),"")</f>
        <v/>
      </c>
      <c r="G377" s="4"/>
    </row>
    <row r="378" spans="1:7" x14ac:dyDescent="0.25">
      <c r="A378" s="4"/>
      <c r="B378" s="4"/>
      <c r="C378" s="4"/>
      <c r="D378" s="4"/>
      <c r="E378" s="4"/>
      <c r="F378" s="4" t="str">
        <f ca="1">IFERROR(_xludf.XLOOKUP(D378,Ustawienia!$D$4:$D$100,Ustawienia!$E$4:$E$100),"")</f>
        <v/>
      </c>
      <c r="G378" s="4"/>
    </row>
    <row r="379" spans="1:7" x14ac:dyDescent="0.25">
      <c r="A379" s="4"/>
      <c r="B379" s="4"/>
      <c r="C379" s="4"/>
      <c r="D379" s="4"/>
      <c r="E379" s="4"/>
      <c r="F379" s="4" t="str">
        <f ca="1">IFERROR(_xludf.XLOOKUP(D379,Ustawienia!$D$4:$D$100,Ustawienia!$E$4:$E$100),"")</f>
        <v/>
      </c>
      <c r="G379" s="4"/>
    </row>
    <row r="380" spans="1:7" x14ac:dyDescent="0.25">
      <c r="A380" s="4"/>
      <c r="B380" s="4"/>
      <c r="C380" s="4"/>
      <c r="D380" s="4"/>
      <c r="E380" s="4"/>
      <c r="F380" s="4" t="str">
        <f ca="1">IFERROR(_xludf.XLOOKUP(D380,Ustawienia!$D$4:$D$100,Ustawienia!$E$4:$E$100),"")</f>
        <v/>
      </c>
      <c r="G380" s="4"/>
    </row>
    <row r="381" spans="1:7" x14ac:dyDescent="0.25">
      <c r="A381" s="4"/>
      <c r="B381" s="4"/>
      <c r="C381" s="4"/>
      <c r="D381" s="4"/>
      <c r="E381" s="4"/>
      <c r="F381" s="4" t="str">
        <f ca="1">IFERROR(_xludf.XLOOKUP(D381,Ustawienia!$D$4:$D$100,Ustawienia!$E$4:$E$100),"")</f>
        <v/>
      </c>
      <c r="G381" s="4"/>
    </row>
    <row r="382" spans="1:7" x14ac:dyDescent="0.25">
      <c r="A382" s="4"/>
      <c r="B382" s="4"/>
      <c r="C382" s="4"/>
      <c r="D382" s="4"/>
      <c r="E382" s="4"/>
      <c r="F382" s="4" t="str">
        <f ca="1">IFERROR(_xludf.XLOOKUP(D382,Ustawienia!$D$4:$D$100,Ustawienia!$E$4:$E$100),"")</f>
        <v/>
      </c>
      <c r="G382" s="4"/>
    </row>
    <row r="383" spans="1:7" x14ac:dyDescent="0.25">
      <c r="A383" s="4"/>
      <c r="B383" s="4"/>
      <c r="C383" s="4"/>
      <c r="D383" s="4"/>
      <c r="E383" s="4"/>
      <c r="F383" s="4" t="str">
        <f ca="1">IFERROR(_xludf.XLOOKUP(D383,Ustawienia!$D$4:$D$100,Ustawienia!$E$4:$E$100),"")</f>
        <v/>
      </c>
      <c r="G383" s="4"/>
    </row>
    <row r="384" spans="1:7" x14ac:dyDescent="0.25">
      <c r="A384" s="4"/>
      <c r="B384" s="4"/>
      <c r="C384" s="4"/>
      <c r="D384" s="4"/>
      <c r="E384" s="4"/>
      <c r="F384" s="4" t="str">
        <f ca="1">IFERROR(_xludf.XLOOKUP(D384,Ustawienia!$D$4:$D$100,Ustawienia!$E$4:$E$100),"")</f>
        <v/>
      </c>
      <c r="G384" s="4"/>
    </row>
    <row r="385" spans="1:7" x14ac:dyDescent="0.25">
      <c r="A385" s="4"/>
      <c r="B385" s="4"/>
      <c r="C385" s="4"/>
      <c r="D385" s="4"/>
      <c r="E385" s="4"/>
      <c r="F385" s="4" t="str">
        <f ca="1">IFERROR(_xludf.XLOOKUP(D385,Ustawienia!$D$4:$D$100,Ustawienia!$E$4:$E$100),"")</f>
        <v/>
      </c>
      <c r="G385" s="4"/>
    </row>
    <row r="386" spans="1:7" x14ac:dyDescent="0.25">
      <c r="A386" s="4"/>
      <c r="B386" s="4"/>
      <c r="C386" s="4"/>
      <c r="D386" s="4"/>
      <c r="E386" s="4"/>
      <c r="F386" s="4" t="str">
        <f ca="1">IFERROR(_xludf.XLOOKUP(D386,Ustawienia!$D$4:$D$100,Ustawienia!$E$4:$E$100),"")</f>
        <v/>
      </c>
      <c r="G386" s="4"/>
    </row>
    <row r="387" spans="1:7" x14ac:dyDescent="0.25">
      <c r="A387" s="4"/>
      <c r="B387" s="4"/>
      <c r="C387" s="4"/>
      <c r="D387" s="4"/>
      <c r="E387" s="4"/>
      <c r="F387" s="4" t="str">
        <f ca="1">IFERROR(_xludf.XLOOKUP(D387,Ustawienia!$D$4:$D$100,Ustawienia!$E$4:$E$100),"")</f>
        <v/>
      </c>
      <c r="G387" s="4"/>
    </row>
    <row r="388" spans="1:7" x14ac:dyDescent="0.25">
      <c r="A388" s="4"/>
      <c r="B388" s="4"/>
      <c r="C388" s="4"/>
      <c r="D388" s="4"/>
      <c r="E388" s="4"/>
      <c r="F388" s="4" t="str">
        <f ca="1">IFERROR(_xludf.XLOOKUP(D388,Ustawienia!$D$4:$D$100,Ustawienia!$E$4:$E$100),"")</f>
        <v/>
      </c>
      <c r="G388" s="4"/>
    </row>
    <row r="389" spans="1:7" x14ac:dyDescent="0.25">
      <c r="A389" s="4"/>
      <c r="B389" s="4"/>
      <c r="C389" s="4"/>
      <c r="D389" s="4"/>
      <c r="E389" s="4"/>
      <c r="F389" s="4" t="str">
        <f ca="1">IFERROR(_xludf.XLOOKUP(D389,Ustawienia!$D$4:$D$100,Ustawienia!$E$4:$E$100),"")</f>
        <v/>
      </c>
      <c r="G389" s="4"/>
    </row>
    <row r="390" spans="1:7" x14ac:dyDescent="0.25">
      <c r="A390" s="4"/>
      <c r="B390" s="4"/>
      <c r="C390" s="4"/>
      <c r="D390" s="4"/>
      <c r="E390" s="4"/>
      <c r="F390" s="4" t="str">
        <f ca="1">IFERROR(_xludf.XLOOKUP(D390,Ustawienia!$D$4:$D$100,Ustawienia!$E$4:$E$100),"")</f>
        <v/>
      </c>
      <c r="G390" s="4"/>
    </row>
    <row r="391" spans="1:7" x14ac:dyDescent="0.25">
      <c r="A391" s="4"/>
      <c r="B391" s="4"/>
      <c r="C391" s="4"/>
      <c r="D391" s="4"/>
      <c r="E391" s="4"/>
      <c r="F391" s="4" t="str">
        <f ca="1">IFERROR(_xludf.XLOOKUP(D391,Ustawienia!$D$4:$D$100,Ustawienia!$E$4:$E$100),"")</f>
        <v/>
      </c>
      <c r="G391" s="4"/>
    </row>
    <row r="392" spans="1:7" x14ac:dyDescent="0.25">
      <c r="A392" s="4"/>
      <c r="B392" s="4"/>
      <c r="C392" s="4"/>
      <c r="D392" s="4"/>
      <c r="E392" s="4"/>
      <c r="F392" s="4" t="str">
        <f ca="1">IFERROR(_xludf.XLOOKUP(D392,Ustawienia!$D$4:$D$100,Ustawienia!$E$4:$E$100),"")</f>
        <v/>
      </c>
      <c r="G392" s="4"/>
    </row>
    <row r="393" spans="1:7" x14ac:dyDescent="0.25">
      <c r="A393" s="4"/>
      <c r="B393" s="4"/>
      <c r="C393" s="4"/>
      <c r="D393" s="4"/>
      <c r="E393" s="4"/>
      <c r="F393" s="4" t="str">
        <f ca="1">IFERROR(_xludf.XLOOKUP(D393,Ustawienia!$D$4:$D$100,Ustawienia!$E$4:$E$100),"")</f>
        <v/>
      </c>
      <c r="G393" s="4"/>
    </row>
    <row r="394" spans="1:7" x14ac:dyDescent="0.25">
      <c r="A394" s="4"/>
      <c r="B394" s="4"/>
      <c r="C394" s="4"/>
      <c r="D394" s="4"/>
      <c r="E394" s="4"/>
      <c r="F394" s="4" t="str">
        <f ca="1">IFERROR(_xludf.XLOOKUP(D394,Ustawienia!$D$4:$D$100,Ustawienia!$E$4:$E$100),"")</f>
        <v/>
      </c>
      <c r="G394" s="4"/>
    </row>
    <row r="395" spans="1:7" x14ac:dyDescent="0.25">
      <c r="A395" s="4"/>
      <c r="B395" s="4"/>
      <c r="C395" s="4"/>
      <c r="D395" s="4"/>
      <c r="E395" s="4"/>
      <c r="F395" s="4" t="str">
        <f ca="1">IFERROR(_xludf.XLOOKUP(D395,Ustawienia!$D$4:$D$100,Ustawienia!$E$4:$E$100),"")</f>
        <v/>
      </c>
      <c r="G395" s="4"/>
    </row>
    <row r="396" spans="1:7" x14ac:dyDescent="0.25">
      <c r="A396" s="4"/>
      <c r="B396" s="4"/>
      <c r="C396" s="4"/>
      <c r="D396" s="4"/>
      <c r="E396" s="4"/>
      <c r="F396" s="4" t="str">
        <f ca="1">IFERROR(_xludf.XLOOKUP(D396,Ustawienia!$D$4:$D$100,Ustawienia!$E$4:$E$100),"")</f>
        <v/>
      </c>
      <c r="G396" s="4"/>
    </row>
    <row r="397" spans="1:7" x14ac:dyDescent="0.25">
      <c r="A397" s="4"/>
      <c r="B397" s="4"/>
      <c r="C397" s="4"/>
      <c r="D397" s="4"/>
      <c r="E397" s="4"/>
      <c r="F397" s="4" t="str">
        <f ca="1">IFERROR(_xludf.XLOOKUP(D397,Ustawienia!$D$4:$D$100,Ustawienia!$E$4:$E$100),"")</f>
        <v/>
      </c>
      <c r="G397" s="4"/>
    </row>
    <row r="398" spans="1:7" x14ac:dyDescent="0.25">
      <c r="A398" s="4"/>
      <c r="B398" s="4"/>
      <c r="C398" s="4"/>
      <c r="D398" s="4"/>
      <c r="E398" s="4"/>
      <c r="F398" s="4" t="str">
        <f ca="1">IFERROR(_xludf.XLOOKUP(D398,Ustawienia!$D$4:$D$100,Ustawienia!$E$4:$E$100),"")</f>
        <v/>
      </c>
      <c r="G398" s="4"/>
    </row>
    <row r="399" spans="1:7" x14ac:dyDescent="0.25">
      <c r="A399" s="4"/>
      <c r="B399" s="4"/>
      <c r="C399" s="4"/>
      <c r="D399" s="4"/>
      <c r="E399" s="4"/>
      <c r="F399" s="4" t="str">
        <f ca="1">IFERROR(_xludf.XLOOKUP(D399,Ustawienia!$D$4:$D$100,Ustawienia!$E$4:$E$100),"")</f>
        <v/>
      </c>
      <c r="G399" s="4"/>
    </row>
    <row r="400" spans="1:7" x14ac:dyDescent="0.25">
      <c r="A400" s="4"/>
      <c r="B400" s="4"/>
      <c r="C400" s="4"/>
      <c r="D400" s="4"/>
      <c r="E400" s="4"/>
      <c r="F400" s="4" t="str">
        <f ca="1">IFERROR(_xludf.XLOOKUP(D400,Ustawienia!$D$4:$D$100,Ustawienia!$E$4:$E$100),"")</f>
        <v/>
      </c>
      <c r="G400" s="4"/>
    </row>
    <row r="401" spans="1:7" x14ac:dyDescent="0.25">
      <c r="A401" s="4"/>
      <c r="B401" s="4"/>
      <c r="C401" s="4"/>
      <c r="D401" s="4"/>
      <c r="E401" s="4"/>
      <c r="F401" s="4" t="str">
        <f ca="1">IFERROR(_xludf.XLOOKUP(D401,Ustawienia!$D$4:$D$100,Ustawienia!$E$4:$E$100),"")</f>
        <v/>
      </c>
      <c r="G401" s="4"/>
    </row>
    <row r="402" spans="1:7" x14ac:dyDescent="0.25">
      <c r="A402" s="4"/>
      <c r="B402" s="4"/>
      <c r="C402" s="4"/>
      <c r="D402" s="4"/>
      <c r="E402" s="4"/>
      <c r="F402" s="4" t="str">
        <f ca="1">IFERROR(_xludf.XLOOKUP(D402,Ustawienia!$D$4:$D$100,Ustawienia!$E$4:$E$100),"")</f>
        <v/>
      </c>
      <c r="G402" s="4"/>
    </row>
    <row r="403" spans="1:7" x14ac:dyDescent="0.25">
      <c r="A403" s="4"/>
      <c r="B403" s="4"/>
      <c r="C403" s="4"/>
      <c r="D403" s="4"/>
      <c r="E403" s="4"/>
      <c r="F403" s="4" t="str">
        <f ca="1">IFERROR(_xludf.XLOOKUP(D403,Ustawienia!$D$4:$D$100,Ustawienia!$E$4:$E$100),"")</f>
        <v/>
      </c>
      <c r="G403" s="4"/>
    </row>
    <row r="404" spans="1:7" x14ac:dyDescent="0.25">
      <c r="A404" s="4"/>
      <c r="B404" s="4"/>
      <c r="C404" s="4"/>
      <c r="D404" s="4"/>
      <c r="E404" s="4"/>
      <c r="F404" s="4" t="str">
        <f ca="1">IFERROR(_xludf.XLOOKUP(D404,Ustawienia!$D$4:$D$100,Ustawienia!$E$4:$E$100),"")</f>
        <v/>
      </c>
      <c r="G404" s="4"/>
    </row>
    <row r="405" spans="1:7" x14ac:dyDescent="0.25">
      <c r="A405" s="4"/>
      <c r="B405" s="4"/>
      <c r="C405" s="4"/>
      <c r="D405" s="4"/>
      <c r="E405" s="4"/>
      <c r="F405" s="4" t="str">
        <f ca="1">IFERROR(_xludf.XLOOKUP(D405,Ustawienia!$D$4:$D$100,Ustawienia!$E$4:$E$100),"")</f>
        <v/>
      </c>
      <c r="G405" s="4"/>
    </row>
    <row r="406" spans="1:7" x14ac:dyDescent="0.25">
      <c r="A406" s="4"/>
      <c r="B406" s="4"/>
      <c r="C406" s="4"/>
      <c r="D406" s="4"/>
      <c r="E406" s="4"/>
      <c r="F406" s="4" t="str">
        <f ca="1">IFERROR(_xludf.XLOOKUP(D406,Ustawienia!$D$4:$D$100,Ustawienia!$E$4:$E$100),"")</f>
        <v/>
      </c>
      <c r="G406" s="4"/>
    </row>
    <row r="407" spans="1:7" x14ac:dyDescent="0.25">
      <c r="A407" s="4"/>
      <c r="B407" s="4"/>
      <c r="C407" s="4"/>
      <c r="D407" s="4"/>
      <c r="E407" s="4"/>
      <c r="F407" s="4" t="str">
        <f ca="1">IFERROR(_xludf.XLOOKUP(D407,Ustawienia!$D$4:$D$100,Ustawienia!$E$4:$E$100),"")</f>
        <v/>
      </c>
      <c r="G407" s="4"/>
    </row>
    <row r="408" spans="1:7" x14ac:dyDescent="0.25">
      <c r="A408" s="4"/>
      <c r="B408" s="4"/>
      <c r="C408" s="4"/>
      <c r="D408" s="4"/>
      <c r="E408" s="4"/>
      <c r="F408" s="4" t="str">
        <f ca="1">IFERROR(_xludf.XLOOKUP(D408,Ustawienia!$D$4:$D$100,Ustawienia!$E$4:$E$100),"")</f>
        <v/>
      </c>
      <c r="G408" s="4"/>
    </row>
    <row r="409" spans="1:7" x14ac:dyDescent="0.25">
      <c r="A409" s="4"/>
      <c r="B409" s="4"/>
      <c r="C409" s="4"/>
      <c r="D409" s="4"/>
      <c r="E409" s="4"/>
      <c r="F409" s="4" t="str">
        <f ca="1">IFERROR(_xludf.XLOOKUP(D409,Ustawienia!$D$4:$D$100,Ustawienia!$E$4:$E$100),"")</f>
        <v/>
      </c>
      <c r="G409" s="4"/>
    </row>
    <row r="410" spans="1:7" x14ac:dyDescent="0.25">
      <c r="A410" s="4"/>
      <c r="B410" s="4"/>
      <c r="C410" s="4"/>
      <c r="D410" s="4"/>
      <c r="E410" s="4"/>
      <c r="F410" s="4" t="str">
        <f ca="1">IFERROR(_xludf.XLOOKUP(D410,Ustawienia!$D$4:$D$100,Ustawienia!$E$4:$E$100),"")</f>
        <v/>
      </c>
      <c r="G410" s="4"/>
    </row>
    <row r="411" spans="1:7" x14ac:dyDescent="0.25">
      <c r="A411" s="4"/>
      <c r="B411" s="4"/>
      <c r="C411" s="4"/>
      <c r="D411" s="4"/>
      <c r="E411" s="4"/>
      <c r="F411" s="4" t="str">
        <f ca="1">IFERROR(_xludf.XLOOKUP(D411,Ustawienia!$D$4:$D$100,Ustawienia!$E$4:$E$100),"")</f>
        <v/>
      </c>
      <c r="G411" s="4"/>
    </row>
    <row r="412" spans="1:7" x14ac:dyDescent="0.25">
      <c r="A412" s="4"/>
      <c r="B412" s="4"/>
      <c r="C412" s="4"/>
      <c r="D412" s="4"/>
      <c r="E412" s="4"/>
      <c r="F412" s="4" t="str">
        <f ca="1">IFERROR(_xludf.XLOOKUP(D412,Ustawienia!$D$4:$D$100,Ustawienia!$E$4:$E$100),"")</f>
        <v/>
      </c>
      <c r="G412" s="4"/>
    </row>
    <row r="413" spans="1:7" x14ac:dyDescent="0.25">
      <c r="A413" s="4"/>
      <c r="B413" s="4"/>
      <c r="C413" s="4"/>
      <c r="D413" s="4"/>
      <c r="E413" s="4"/>
      <c r="F413" s="4" t="str">
        <f ca="1">IFERROR(_xludf.XLOOKUP(D413,Ustawienia!$D$4:$D$100,Ustawienia!$E$4:$E$100),"")</f>
        <v/>
      </c>
      <c r="G413" s="4"/>
    </row>
    <row r="414" spans="1:7" x14ac:dyDescent="0.25">
      <c r="A414" s="4"/>
      <c r="B414" s="4"/>
      <c r="C414" s="4"/>
      <c r="D414" s="4"/>
      <c r="E414" s="4"/>
      <c r="F414" s="4" t="str">
        <f ca="1">IFERROR(_xludf.XLOOKUP(D414,Ustawienia!$D$4:$D$100,Ustawienia!$E$4:$E$100),"")</f>
        <v/>
      </c>
      <c r="G414" s="4"/>
    </row>
    <row r="415" spans="1:7" x14ac:dyDescent="0.25">
      <c r="A415" s="4"/>
      <c r="B415" s="4"/>
      <c r="C415" s="4"/>
      <c r="D415" s="4"/>
      <c r="E415" s="4"/>
      <c r="F415" s="4" t="str">
        <f ca="1">IFERROR(_xludf.XLOOKUP(D415,Ustawienia!$D$4:$D$100,Ustawienia!$E$4:$E$100),"")</f>
        <v/>
      </c>
      <c r="G415" s="4"/>
    </row>
    <row r="416" spans="1:7" x14ac:dyDescent="0.25">
      <c r="A416" s="4"/>
      <c r="B416" s="4"/>
      <c r="C416" s="4"/>
      <c r="D416" s="4"/>
      <c r="E416" s="4"/>
      <c r="F416" s="4" t="str">
        <f ca="1">IFERROR(_xludf.XLOOKUP(D416,Ustawienia!$D$4:$D$100,Ustawienia!$E$4:$E$100),"")</f>
        <v/>
      </c>
      <c r="G416" s="4"/>
    </row>
    <row r="417" spans="1:7" x14ac:dyDescent="0.25">
      <c r="A417" s="4"/>
      <c r="B417" s="4"/>
      <c r="C417" s="4"/>
      <c r="D417" s="4"/>
      <c r="E417" s="4"/>
      <c r="F417" s="4" t="str">
        <f ca="1">IFERROR(_xludf.XLOOKUP(D417,Ustawienia!$D$4:$D$100,Ustawienia!$E$4:$E$100),"")</f>
        <v/>
      </c>
      <c r="G417" s="4"/>
    </row>
    <row r="418" spans="1:7" x14ac:dyDescent="0.25">
      <c r="A418" s="4"/>
      <c r="B418" s="4"/>
      <c r="C418" s="4"/>
      <c r="D418" s="4"/>
      <c r="E418" s="4"/>
      <c r="F418" s="4" t="str">
        <f ca="1">IFERROR(_xludf.XLOOKUP(D418,Ustawienia!$D$4:$D$100,Ustawienia!$E$4:$E$100),"")</f>
        <v/>
      </c>
      <c r="G418" s="4"/>
    </row>
    <row r="419" spans="1:7" x14ac:dyDescent="0.25">
      <c r="A419" s="4"/>
      <c r="B419" s="4"/>
      <c r="C419" s="4"/>
      <c r="D419" s="4"/>
      <c r="E419" s="4"/>
      <c r="F419" s="4" t="str">
        <f ca="1">IFERROR(_xludf.XLOOKUP(D419,Ustawienia!$D$4:$D$100,Ustawienia!$E$4:$E$100),"")</f>
        <v/>
      </c>
      <c r="G419" s="4"/>
    </row>
    <row r="420" spans="1:7" x14ac:dyDescent="0.25">
      <c r="A420" s="4"/>
      <c r="B420" s="4"/>
      <c r="C420" s="4"/>
      <c r="D420" s="4"/>
      <c r="E420" s="4"/>
      <c r="F420" s="4" t="str">
        <f ca="1">IFERROR(_xludf.XLOOKUP(D420,Ustawienia!$D$4:$D$100,Ustawienia!$E$4:$E$100),"")</f>
        <v/>
      </c>
      <c r="G420" s="4"/>
    </row>
    <row r="421" spans="1:7" x14ac:dyDescent="0.25">
      <c r="A421" s="4"/>
      <c r="B421" s="4"/>
      <c r="C421" s="4"/>
      <c r="D421" s="4"/>
      <c r="E421" s="4"/>
      <c r="F421" s="4" t="str">
        <f ca="1">IFERROR(_xludf.XLOOKUP(D421,Ustawienia!$D$4:$D$100,Ustawienia!$E$4:$E$100),"")</f>
        <v/>
      </c>
      <c r="G421" s="4"/>
    </row>
    <row r="422" spans="1:7" x14ac:dyDescent="0.25">
      <c r="A422" s="4"/>
      <c r="B422" s="4"/>
      <c r="C422" s="4"/>
      <c r="D422" s="4"/>
      <c r="E422" s="4"/>
      <c r="F422" s="4" t="str">
        <f ca="1">IFERROR(_xludf.XLOOKUP(D422,Ustawienia!$D$4:$D$100,Ustawienia!$E$4:$E$100),"")</f>
        <v/>
      </c>
      <c r="G422" s="4"/>
    </row>
    <row r="423" spans="1:7" x14ac:dyDescent="0.25">
      <c r="A423" s="4"/>
      <c r="B423" s="4"/>
      <c r="C423" s="4"/>
      <c r="D423" s="4"/>
      <c r="E423" s="4"/>
      <c r="F423" s="4" t="str">
        <f ca="1">IFERROR(_xludf.XLOOKUP(D423,Ustawienia!$D$4:$D$100,Ustawienia!$E$4:$E$100),"")</f>
        <v/>
      </c>
      <c r="G423" s="4"/>
    </row>
    <row r="424" spans="1:7" x14ac:dyDescent="0.25">
      <c r="A424" s="4"/>
      <c r="B424" s="4"/>
      <c r="C424" s="4"/>
      <c r="D424" s="4"/>
      <c r="E424" s="4"/>
      <c r="F424" s="4" t="str">
        <f ca="1">IFERROR(_xludf.XLOOKUP(D424,Ustawienia!$D$4:$D$100,Ustawienia!$E$4:$E$100),"")</f>
        <v/>
      </c>
      <c r="G424" s="4"/>
    </row>
    <row r="425" spans="1:7" x14ac:dyDescent="0.25">
      <c r="A425" s="4"/>
      <c r="B425" s="4"/>
      <c r="C425" s="4"/>
      <c r="D425" s="4"/>
      <c r="E425" s="4"/>
      <c r="F425" s="4" t="str">
        <f ca="1">IFERROR(_xludf.XLOOKUP(D425,Ustawienia!$D$4:$D$100,Ustawienia!$E$4:$E$100),"")</f>
        <v/>
      </c>
      <c r="G425" s="4"/>
    </row>
    <row r="426" spans="1:7" x14ac:dyDescent="0.25">
      <c r="A426" s="4"/>
      <c r="B426" s="4"/>
      <c r="C426" s="4"/>
      <c r="D426" s="4"/>
      <c r="E426" s="4"/>
      <c r="F426" s="4" t="str">
        <f ca="1">IFERROR(_xludf.XLOOKUP(D426,Ustawienia!$D$4:$D$100,Ustawienia!$E$4:$E$100),"")</f>
        <v/>
      </c>
      <c r="G426" s="4"/>
    </row>
    <row r="427" spans="1:7" x14ac:dyDescent="0.25">
      <c r="A427" s="4"/>
      <c r="B427" s="4"/>
      <c r="C427" s="4"/>
      <c r="D427" s="4"/>
      <c r="E427" s="4"/>
      <c r="F427" s="4" t="str">
        <f ca="1">IFERROR(_xludf.XLOOKUP(D427,Ustawienia!$D$4:$D$100,Ustawienia!$E$4:$E$100),"")</f>
        <v/>
      </c>
      <c r="G427" s="4"/>
    </row>
    <row r="428" spans="1:7" x14ac:dyDescent="0.25">
      <c r="A428" s="4"/>
      <c r="B428" s="4"/>
      <c r="C428" s="4"/>
      <c r="D428" s="4"/>
      <c r="E428" s="4"/>
      <c r="F428" s="4" t="str">
        <f ca="1">IFERROR(_xludf.XLOOKUP(D428,Ustawienia!$D$4:$D$100,Ustawienia!$E$4:$E$100),"")</f>
        <v/>
      </c>
      <c r="G428" s="4"/>
    </row>
    <row r="429" spans="1:7" x14ac:dyDescent="0.25">
      <c r="A429" s="4"/>
      <c r="B429" s="4"/>
      <c r="C429" s="4"/>
      <c r="D429" s="4"/>
      <c r="E429" s="4"/>
      <c r="F429" s="4" t="str">
        <f ca="1">IFERROR(_xludf.XLOOKUP(D429,Ustawienia!$D$4:$D$100,Ustawienia!$E$4:$E$100),"")</f>
        <v/>
      </c>
      <c r="G429" s="4"/>
    </row>
    <row r="430" spans="1:7" x14ac:dyDescent="0.25">
      <c r="A430" s="4"/>
      <c r="B430" s="4"/>
      <c r="C430" s="4"/>
      <c r="D430" s="4"/>
      <c r="E430" s="4"/>
      <c r="F430" s="4" t="str">
        <f ca="1">IFERROR(_xludf.XLOOKUP(D430,Ustawienia!$D$4:$D$100,Ustawienia!$E$4:$E$100),"")</f>
        <v/>
      </c>
      <c r="G430" s="4"/>
    </row>
    <row r="431" spans="1:7" x14ac:dyDescent="0.25">
      <c r="A431" s="4"/>
      <c r="B431" s="4"/>
      <c r="C431" s="4"/>
      <c r="D431" s="4"/>
      <c r="E431" s="4"/>
      <c r="F431" s="4" t="str">
        <f ca="1">IFERROR(_xludf.XLOOKUP(D431,Ustawienia!$D$4:$D$100,Ustawienia!$E$4:$E$100),"")</f>
        <v/>
      </c>
      <c r="G431" s="4"/>
    </row>
    <row r="432" spans="1:7" x14ac:dyDescent="0.25">
      <c r="A432" s="4"/>
      <c r="B432" s="4"/>
      <c r="C432" s="4"/>
      <c r="D432" s="4"/>
      <c r="E432" s="4"/>
      <c r="F432" s="4" t="str">
        <f ca="1">IFERROR(_xludf.XLOOKUP(D432,Ustawienia!$D$4:$D$100,Ustawienia!$E$4:$E$100),"")</f>
        <v/>
      </c>
      <c r="G432" s="4"/>
    </row>
    <row r="433" spans="1:7" x14ac:dyDescent="0.25">
      <c r="A433" s="4"/>
      <c r="B433" s="4"/>
      <c r="C433" s="4"/>
      <c r="D433" s="4"/>
      <c r="E433" s="4"/>
      <c r="F433" s="4" t="str">
        <f ca="1">IFERROR(_xludf.XLOOKUP(D433,Ustawienia!$D$4:$D$100,Ustawienia!$E$4:$E$100),"")</f>
        <v/>
      </c>
      <c r="G433" s="4"/>
    </row>
    <row r="434" spans="1:7" x14ac:dyDescent="0.25">
      <c r="A434" s="4"/>
      <c r="B434" s="4"/>
      <c r="C434" s="4"/>
      <c r="D434" s="4"/>
      <c r="E434" s="4"/>
      <c r="F434" s="4" t="str">
        <f ca="1">IFERROR(_xludf.XLOOKUP(D434,Ustawienia!$D$4:$D$100,Ustawienia!$E$4:$E$100),"")</f>
        <v/>
      </c>
      <c r="G434" s="4"/>
    </row>
    <row r="435" spans="1:7" x14ac:dyDescent="0.25">
      <c r="A435" s="4"/>
      <c r="B435" s="4"/>
      <c r="C435" s="4"/>
      <c r="D435" s="4"/>
      <c r="E435" s="4"/>
      <c r="F435" s="4" t="str">
        <f ca="1">IFERROR(_xludf.XLOOKUP(D435,Ustawienia!$D$4:$D$100,Ustawienia!$E$4:$E$100),"")</f>
        <v/>
      </c>
      <c r="G435" s="4"/>
    </row>
    <row r="436" spans="1:7" x14ac:dyDescent="0.25">
      <c r="A436" s="4"/>
      <c r="B436" s="4"/>
      <c r="C436" s="4"/>
      <c r="D436" s="4"/>
      <c r="E436" s="4"/>
      <c r="F436" s="4" t="str">
        <f ca="1">IFERROR(_xludf.XLOOKUP(D436,Ustawienia!$D$4:$D$100,Ustawienia!$E$4:$E$100),"")</f>
        <v/>
      </c>
      <c r="G436" s="4"/>
    </row>
    <row r="437" spans="1:7" x14ac:dyDescent="0.25">
      <c r="A437" s="4"/>
      <c r="B437" s="4"/>
      <c r="C437" s="4"/>
      <c r="D437" s="4"/>
      <c r="E437" s="4"/>
      <c r="F437" s="4" t="str">
        <f ca="1">IFERROR(_xludf.XLOOKUP(D437,Ustawienia!$D$4:$D$100,Ustawienia!$E$4:$E$100),"")</f>
        <v/>
      </c>
      <c r="G437" s="4"/>
    </row>
    <row r="438" spans="1:7" x14ac:dyDescent="0.25">
      <c r="A438" s="4"/>
      <c r="B438" s="4"/>
      <c r="C438" s="4"/>
      <c r="D438" s="4"/>
      <c r="E438" s="4"/>
      <c r="F438" s="4" t="str">
        <f ca="1">IFERROR(_xludf.XLOOKUP(D438,Ustawienia!$D$4:$D$100,Ustawienia!$E$4:$E$100),"")</f>
        <v/>
      </c>
      <c r="G438" s="4"/>
    </row>
    <row r="439" spans="1:7" x14ac:dyDescent="0.25">
      <c r="A439" s="4"/>
      <c r="B439" s="4"/>
      <c r="C439" s="4"/>
      <c r="D439" s="4"/>
      <c r="E439" s="4"/>
      <c r="F439" s="4" t="str">
        <f ca="1">IFERROR(_xludf.XLOOKUP(D439,Ustawienia!$D$4:$D$100,Ustawienia!$E$4:$E$100),"")</f>
        <v/>
      </c>
      <c r="G439" s="4"/>
    </row>
    <row r="440" spans="1:7" x14ac:dyDescent="0.25">
      <c r="A440" s="4"/>
      <c r="B440" s="4"/>
      <c r="C440" s="4"/>
      <c r="D440" s="4"/>
      <c r="E440" s="4"/>
      <c r="F440" s="4" t="str">
        <f ca="1">IFERROR(_xludf.XLOOKUP(D440,Ustawienia!$D$4:$D$100,Ustawienia!$E$4:$E$100),"")</f>
        <v/>
      </c>
      <c r="G440" s="4"/>
    </row>
    <row r="441" spans="1:7" x14ac:dyDescent="0.25">
      <c r="A441" s="4"/>
      <c r="B441" s="4"/>
      <c r="C441" s="4"/>
      <c r="D441" s="4"/>
      <c r="E441" s="4"/>
      <c r="F441" s="4" t="str">
        <f ca="1">IFERROR(_xludf.XLOOKUP(D441,Ustawienia!$D$4:$D$100,Ustawienia!$E$4:$E$100),"")</f>
        <v/>
      </c>
      <c r="G441" s="4"/>
    </row>
    <row r="442" spans="1:7" x14ac:dyDescent="0.25">
      <c r="A442" s="4"/>
      <c r="B442" s="4"/>
      <c r="C442" s="4"/>
      <c r="D442" s="4"/>
      <c r="E442" s="4"/>
      <c r="F442" s="4" t="str">
        <f ca="1">IFERROR(_xludf.XLOOKUP(D442,Ustawienia!$D$4:$D$100,Ustawienia!$E$4:$E$100),"")</f>
        <v/>
      </c>
      <c r="G442" s="4"/>
    </row>
    <row r="443" spans="1:7" x14ac:dyDescent="0.25">
      <c r="A443" s="4"/>
      <c r="B443" s="4"/>
      <c r="C443" s="4"/>
      <c r="D443" s="4"/>
      <c r="E443" s="4"/>
      <c r="F443" s="4" t="str">
        <f ca="1">IFERROR(_xludf.XLOOKUP(D443,Ustawienia!$D$4:$D$100,Ustawienia!$E$4:$E$100),"")</f>
        <v/>
      </c>
      <c r="G443" s="4"/>
    </row>
    <row r="444" spans="1:7" x14ac:dyDescent="0.25">
      <c r="A444" s="4"/>
      <c r="B444" s="4"/>
      <c r="C444" s="4"/>
      <c r="D444" s="4"/>
      <c r="E444" s="4"/>
      <c r="F444" s="4" t="str">
        <f ca="1">IFERROR(_xludf.XLOOKUP(D444,Ustawienia!$D$4:$D$100,Ustawienia!$E$4:$E$100),"")</f>
        <v/>
      </c>
      <c r="G444" s="4"/>
    </row>
    <row r="445" spans="1:7" x14ac:dyDescent="0.25">
      <c r="A445" s="4"/>
      <c r="B445" s="4"/>
      <c r="C445" s="4"/>
      <c r="D445" s="4"/>
      <c r="E445" s="4"/>
      <c r="F445" s="4" t="str">
        <f ca="1">IFERROR(_xludf.XLOOKUP(D445,Ustawienia!$D$4:$D$100,Ustawienia!$E$4:$E$100),"")</f>
        <v/>
      </c>
      <c r="G445" s="4"/>
    </row>
    <row r="446" spans="1:7" x14ac:dyDescent="0.25">
      <c r="A446" s="4"/>
      <c r="B446" s="4"/>
      <c r="C446" s="4"/>
      <c r="D446" s="4"/>
      <c r="E446" s="4"/>
      <c r="F446" s="4" t="str">
        <f ca="1">IFERROR(_xludf.XLOOKUP(D446,Ustawienia!$D$4:$D$100,Ustawienia!$E$4:$E$100),"")</f>
        <v/>
      </c>
      <c r="G446" s="4"/>
    </row>
    <row r="447" spans="1:7" x14ac:dyDescent="0.25">
      <c r="A447" s="4"/>
      <c r="B447" s="4"/>
      <c r="C447" s="4"/>
      <c r="D447" s="4"/>
      <c r="E447" s="4"/>
      <c r="F447" s="4" t="str">
        <f ca="1">IFERROR(_xludf.XLOOKUP(D447,Ustawienia!$D$4:$D$100,Ustawienia!$E$4:$E$100),"")</f>
        <v/>
      </c>
      <c r="G447" s="4"/>
    </row>
    <row r="448" spans="1:7" x14ac:dyDescent="0.25">
      <c r="A448" s="4"/>
      <c r="B448" s="4"/>
      <c r="C448" s="4"/>
      <c r="D448" s="4"/>
      <c r="E448" s="4"/>
      <c r="F448" s="4" t="str">
        <f ca="1">IFERROR(_xludf.XLOOKUP(D448,Ustawienia!$D$4:$D$100,Ustawienia!$E$4:$E$100),"")</f>
        <v/>
      </c>
      <c r="G448" s="4"/>
    </row>
    <row r="449" spans="1:7" x14ac:dyDescent="0.25">
      <c r="A449" s="4"/>
      <c r="B449" s="4"/>
      <c r="C449" s="4"/>
      <c r="D449" s="4"/>
      <c r="E449" s="4"/>
      <c r="F449" s="4" t="str">
        <f ca="1">IFERROR(_xludf.XLOOKUP(D449,Ustawienia!$D$4:$D$100,Ustawienia!$E$4:$E$100),"")</f>
        <v/>
      </c>
      <c r="G449" s="4"/>
    </row>
    <row r="450" spans="1:7" x14ac:dyDescent="0.25">
      <c r="A450" s="4"/>
      <c r="B450" s="4"/>
      <c r="C450" s="4"/>
      <c r="D450" s="4"/>
      <c r="E450" s="4"/>
      <c r="F450" s="4" t="str">
        <f ca="1">IFERROR(_xludf.XLOOKUP(D450,Ustawienia!$D$4:$D$100,Ustawienia!$E$4:$E$100),"")</f>
        <v/>
      </c>
      <c r="G450" s="4"/>
    </row>
    <row r="451" spans="1:7" x14ac:dyDescent="0.25">
      <c r="A451" s="4"/>
      <c r="B451" s="4"/>
      <c r="C451" s="4"/>
      <c r="D451" s="4"/>
      <c r="E451" s="4"/>
      <c r="F451" s="4" t="str">
        <f ca="1">IFERROR(_xludf.XLOOKUP(D451,Ustawienia!$D$4:$D$100,Ustawienia!$E$4:$E$100),"")</f>
        <v/>
      </c>
      <c r="G451" s="4"/>
    </row>
    <row r="452" spans="1:7" x14ac:dyDescent="0.25">
      <c r="A452" s="4"/>
      <c r="B452" s="4"/>
      <c r="C452" s="4"/>
      <c r="D452" s="4"/>
      <c r="E452" s="4"/>
      <c r="F452" s="4" t="str">
        <f ca="1">IFERROR(_xludf.XLOOKUP(D452,Ustawienia!$D$4:$D$100,Ustawienia!$E$4:$E$100),"")</f>
        <v/>
      </c>
      <c r="G452" s="4"/>
    </row>
    <row r="453" spans="1:7" x14ac:dyDescent="0.25">
      <c r="A453" s="4"/>
      <c r="B453" s="4"/>
      <c r="C453" s="4"/>
      <c r="D453" s="4"/>
      <c r="E453" s="4"/>
      <c r="F453" s="4" t="str">
        <f ca="1">IFERROR(_xludf.XLOOKUP(D453,Ustawienia!$D$4:$D$100,Ustawienia!$E$4:$E$100),"")</f>
        <v/>
      </c>
      <c r="G453" s="4"/>
    </row>
    <row r="454" spans="1:7" x14ac:dyDescent="0.25">
      <c r="A454" s="4"/>
      <c r="B454" s="4"/>
      <c r="C454" s="4"/>
      <c r="D454" s="4"/>
      <c r="E454" s="4"/>
      <c r="F454" s="4" t="str">
        <f ca="1">IFERROR(_xludf.XLOOKUP(D454,Ustawienia!$D$4:$D$100,Ustawienia!$E$4:$E$100),"")</f>
        <v/>
      </c>
      <c r="G454" s="4"/>
    </row>
    <row r="455" spans="1:7" x14ac:dyDescent="0.25">
      <c r="A455" s="4"/>
      <c r="B455" s="4"/>
      <c r="C455" s="4"/>
      <c r="D455" s="4"/>
      <c r="E455" s="4"/>
      <c r="F455" s="4" t="str">
        <f ca="1">IFERROR(_xludf.XLOOKUP(D455,Ustawienia!$D$4:$D$100,Ustawienia!$E$4:$E$100),"")</f>
        <v/>
      </c>
      <c r="G455" s="4"/>
    </row>
    <row r="456" spans="1:7" x14ac:dyDescent="0.25">
      <c r="A456" s="4"/>
      <c r="B456" s="4"/>
      <c r="C456" s="4"/>
      <c r="D456" s="4"/>
      <c r="E456" s="4"/>
      <c r="F456" s="4" t="str">
        <f ca="1">IFERROR(_xludf.XLOOKUP(D456,Ustawienia!$D$4:$D$100,Ustawienia!$E$4:$E$100),"")</f>
        <v/>
      </c>
      <c r="G456" s="4"/>
    </row>
    <row r="457" spans="1:7" x14ac:dyDescent="0.25">
      <c r="A457" s="4"/>
      <c r="B457" s="4"/>
      <c r="C457" s="4"/>
      <c r="D457" s="4"/>
      <c r="E457" s="4"/>
      <c r="F457" s="4" t="str">
        <f ca="1">IFERROR(_xludf.XLOOKUP(D457,Ustawienia!$D$4:$D$100,Ustawienia!$E$4:$E$100),"")</f>
        <v/>
      </c>
      <c r="G457" s="4"/>
    </row>
    <row r="458" spans="1:7" x14ac:dyDescent="0.25">
      <c r="A458" s="4"/>
      <c r="B458" s="4"/>
      <c r="C458" s="4"/>
      <c r="D458" s="4"/>
      <c r="E458" s="4"/>
      <c r="F458" s="4" t="str">
        <f ca="1">IFERROR(_xludf.XLOOKUP(D458,Ustawienia!$D$4:$D$100,Ustawienia!$E$4:$E$100),"")</f>
        <v/>
      </c>
      <c r="G458" s="4"/>
    </row>
    <row r="459" spans="1:7" x14ac:dyDescent="0.25">
      <c r="A459" s="4"/>
      <c r="B459" s="4"/>
      <c r="C459" s="4"/>
      <c r="D459" s="4"/>
      <c r="E459" s="4"/>
      <c r="F459" s="4" t="str">
        <f ca="1">IFERROR(_xludf.XLOOKUP(D459,Ustawienia!$D$4:$D$100,Ustawienia!$E$4:$E$100),"")</f>
        <v/>
      </c>
      <c r="G459" s="4"/>
    </row>
    <row r="460" spans="1:7" x14ac:dyDescent="0.25">
      <c r="A460" s="4"/>
      <c r="B460" s="4"/>
      <c r="C460" s="4"/>
      <c r="D460" s="4"/>
      <c r="E460" s="4"/>
      <c r="F460" s="4" t="str">
        <f ca="1">IFERROR(_xludf.XLOOKUP(D460,Ustawienia!$D$4:$D$100,Ustawienia!$E$4:$E$100),"")</f>
        <v/>
      </c>
      <c r="G460" s="4"/>
    </row>
    <row r="461" spans="1:7" x14ac:dyDescent="0.25">
      <c r="A461" s="4"/>
      <c r="B461" s="4"/>
      <c r="C461" s="4"/>
      <c r="D461" s="4"/>
      <c r="E461" s="4"/>
      <c r="F461" s="4" t="str">
        <f ca="1">IFERROR(_xludf.XLOOKUP(D461,Ustawienia!$D$4:$D$100,Ustawienia!$E$4:$E$100),"")</f>
        <v/>
      </c>
      <c r="G461" s="4"/>
    </row>
    <row r="462" spans="1:7" x14ac:dyDescent="0.25">
      <c r="A462" s="4"/>
      <c r="B462" s="4"/>
      <c r="C462" s="4"/>
      <c r="D462" s="4"/>
      <c r="E462" s="4"/>
      <c r="F462" s="4" t="str">
        <f ca="1">IFERROR(_xludf.XLOOKUP(D462,Ustawienia!$D$4:$D$100,Ustawienia!$E$4:$E$100),"")</f>
        <v/>
      </c>
      <c r="G462" s="4"/>
    </row>
    <row r="463" spans="1:7" x14ac:dyDescent="0.25">
      <c r="A463" s="4"/>
      <c r="B463" s="4"/>
      <c r="C463" s="4"/>
      <c r="D463" s="4"/>
      <c r="E463" s="4"/>
      <c r="F463" s="4" t="str">
        <f ca="1">IFERROR(_xludf.XLOOKUP(D463,Ustawienia!$D$4:$D$100,Ustawienia!$E$4:$E$100),"")</f>
        <v/>
      </c>
      <c r="G463" s="4"/>
    </row>
    <row r="464" spans="1:7" x14ac:dyDescent="0.25">
      <c r="A464" s="4"/>
      <c r="B464" s="4"/>
      <c r="C464" s="4"/>
      <c r="D464" s="4"/>
      <c r="E464" s="4"/>
      <c r="F464" s="4" t="str">
        <f ca="1">IFERROR(_xludf.XLOOKUP(D464,Ustawienia!$D$4:$D$100,Ustawienia!$E$4:$E$100),"")</f>
        <v/>
      </c>
      <c r="G464" s="4"/>
    </row>
    <row r="465" spans="1:7" x14ac:dyDescent="0.25">
      <c r="A465" s="4"/>
      <c r="B465" s="4"/>
      <c r="C465" s="4"/>
      <c r="D465" s="4"/>
      <c r="E465" s="4"/>
      <c r="F465" s="4" t="str">
        <f ca="1">IFERROR(_xludf.XLOOKUP(D465,Ustawienia!$D$4:$D$100,Ustawienia!$E$4:$E$100),"")</f>
        <v/>
      </c>
      <c r="G465" s="4"/>
    </row>
    <row r="466" spans="1:7" x14ac:dyDescent="0.25">
      <c r="A466" s="4"/>
      <c r="B466" s="4"/>
      <c r="C466" s="4"/>
      <c r="D466" s="4"/>
      <c r="E466" s="4"/>
      <c r="F466" s="4" t="str">
        <f ca="1">IFERROR(_xludf.XLOOKUP(D466,Ustawienia!$D$4:$D$100,Ustawienia!$E$4:$E$100),"")</f>
        <v/>
      </c>
      <c r="G466" s="4"/>
    </row>
    <row r="467" spans="1:7" x14ac:dyDescent="0.25">
      <c r="A467" s="4"/>
      <c r="B467" s="4"/>
      <c r="C467" s="4"/>
      <c r="D467" s="4"/>
      <c r="E467" s="4"/>
      <c r="F467" s="4" t="str">
        <f ca="1">IFERROR(_xludf.XLOOKUP(D467,Ustawienia!$D$4:$D$100,Ustawienia!$E$4:$E$100),"")</f>
        <v/>
      </c>
      <c r="G467" s="4"/>
    </row>
    <row r="468" spans="1:7" x14ac:dyDescent="0.25">
      <c r="A468" s="4"/>
      <c r="B468" s="4"/>
      <c r="C468" s="4"/>
      <c r="D468" s="4"/>
      <c r="E468" s="4"/>
      <c r="F468" s="4" t="str">
        <f ca="1">IFERROR(_xludf.XLOOKUP(D468,Ustawienia!$D$4:$D$100,Ustawienia!$E$4:$E$100),"")</f>
        <v/>
      </c>
      <c r="G468" s="4"/>
    </row>
    <row r="469" spans="1:7" x14ac:dyDescent="0.25">
      <c r="A469" s="4"/>
      <c r="B469" s="4"/>
      <c r="C469" s="4"/>
      <c r="D469" s="4"/>
      <c r="E469" s="4"/>
      <c r="F469" s="4" t="str">
        <f ca="1">IFERROR(_xludf.XLOOKUP(D469,Ustawienia!$D$4:$D$100,Ustawienia!$E$4:$E$100),"")</f>
        <v/>
      </c>
      <c r="G469" s="4"/>
    </row>
    <row r="470" spans="1:7" x14ac:dyDescent="0.25">
      <c r="A470" s="4"/>
      <c r="B470" s="4"/>
      <c r="C470" s="4"/>
      <c r="D470" s="4"/>
      <c r="E470" s="4"/>
      <c r="F470" s="4" t="str">
        <f ca="1">IFERROR(_xludf.XLOOKUP(D470,Ustawienia!$D$4:$D$100,Ustawienia!$E$4:$E$100),"")</f>
        <v/>
      </c>
      <c r="G470" s="4"/>
    </row>
    <row r="471" spans="1:7" x14ac:dyDescent="0.25">
      <c r="A471" s="4"/>
      <c r="B471" s="4"/>
      <c r="C471" s="4"/>
      <c r="D471" s="4"/>
      <c r="E471" s="4"/>
      <c r="F471" s="4" t="str">
        <f ca="1">IFERROR(_xludf.XLOOKUP(D471,Ustawienia!$D$4:$D$100,Ustawienia!$E$4:$E$100),"")</f>
        <v/>
      </c>
      <c r="G471" s="4"/>
    </row>
    <row r="472" spans="1:7" x14ac:dyDescent="0.25">
      <c r="A472" s="4"/>
      <c r="B472" s="4"/>
      <c r="C472" s="4"/>
      <c r="D472" s="4"/>
      <c r="E472" s="4"/>
      <c r="F472" s="4" t="str">
        <f ca="1">IFERROR(_xludf.XLOOKUP(D472,Ustawienia!$D$4:$D$100,Ustawienia!$E$4:$E$100),"")</f>
        <v/>
      </c>
      <c r="G472" s="4"/>
    </row>
    <row r="473" spans="1:7" x14ac:dyDescent="0.25">
      <c r="A473" s="4"/>
      <c r="B473" s="4"/>
      <c r="C473" s="4"/>
      <c r="D473" s="4"/>
      <c r="E473" s="4"/>
      <c r="F473" s="4" t="str">
        <f ca="1">IFERROR(_xludf.XLOOKUP(D473,Ustawienia!$D$4:$D$100,Ustawienia!$E$4:$E$100),"")</f>
        <v/>
      </c>
      <c r="G473" s="4"/>
    </row>
    <row r="474" spans="1:7" x14ac:dyDescent="0.25">
      <c r="A474" s="4"/>
      <c r="B474" s="4"/>
      <c r="C474" s="4"/>
      <c r="D474" s="4"/>
      <c r="E474" s="4"/>
      <c r="F474" s="4" t="str">
        <f ca="1">IFERROR(_xludf.XLOOKUP(D474,Ustawienia!$D$4:$D$100,Ustawienia!$E$4:$E$100),"")</f>
        <v/>
      </c>
      <c r="G474" s="4"/>
    </row>
    <row r="475" spans="1:7" x14ac:dyDescent="0.25">
      <c r="A475" s="4"/>
      <c r="B475" s="4"/>
      <c r="C475" s="4"/>
      <c r="D475" s="4"/>
      <c r="E475" s="4"/>
      <c r="F475" s="4" t="str">
        <f ca="1">IFERROR(_xludf.XLOOKUP(D475,Ustawienia!$D$4:$D$100,Ustawienia!$E$4:$E$100),"")</f>
        <v/>
      </c>
      <c r="G475" s="4"/>
    </row>
    <row r="476" spans="1:7" x14ac:dyDescent="0.25">
      <c r="A476" s="4"/>
      <c r="B476" s="4"/>
      <c r="C476" s="4"/>
      <c r="D476" s="4"/>
      <c r="E476" s="4"/>
      <c r="F476" s="4" t="str">
        <f ca="1">IFERROR(_xludf.XLOOKUP(D476,Ustawienia!$D$4:$D$100,Ustawienia!$E$4:$E$100),"")</f>
        <v/>
      </c>
      <c r="G476" s="4"/>
    </row>
    <row r="477" spans="1:7" x14ac:dyDescent="0.25">
      <c r="A477" s="4"/>
      <c r="B477" s="4"/>
      <c r="C477" s="4"/>
      <c r="D477" s="4"/>
      <c r="E477" s="4"/>
      <c r="F477" s="4" t="str">
        <f ca="1">IFERROR(_xludf.XLOOKUP(D477,Ustawienia!$D$4:$D$100,Ustawienia!$E$4:$E$100),"")</f>
        <v/>
      </c>
      <c r="G477" s="4"/>
    </row>
    <row r="478" spans="1:7" x14ac:dyDescent="0.25">
      <c r="A478" s="4"/>
      <c r="B478" s="4"/>
      <c r="C478" s="4"/>
      <c r="D478" s="4"/>
      <c r="E478" s="4"/>
      <c r="F478" s="4" t="str">
        <f ca="1">IFERROR(_xludf.XLOOKUP(D478,Ustawienia!$D$4:$D$100,Ustawienia!$E$4:$E$100),"")</f>
        <v/>
      </c>
      <c r="G478" s="4"/>
    </row>
    <row r="479" spans="1:7" x14ac:dyDescent="0.25">
      <c r="A479" s="4"/>
      <c r="B479" s="4"/>
      <c r="C479" s="4"/>
      <c r="D479" s="4"/>
      <c r="E479" s="4"/>
      <c r="F479" s="4" t="str">
        <f ca="1">IFERROR(_xludf.XLOOKUP(D479,Ustawienia!$D$4:$D$100,Ustawienia!$E$4:$E$100),"")</f>
        <v/>
      </c>
      <c r="G479" s="4"/>
    </row>
    <row r="480" spans="1:7" x14ac:dyDescent="0.25">
      <c r="A480" s="4"/>
      <c r="B480" s="4"/>
      <c r="C480" s="4"/>
      <c r="D480" s="4"/>
      <c r="E480" s="4"/>
      <c r="F480" s="4" t="str">
        <f ca="1">IFERROR(_xludf.XLOOKUP(D480,Ustawienia!$D$4:$D$100,Ustawienia!$E$4:$E$100),"")</f>
        <v/>
      </c>
      <c r="G480" s="4"/>
    </row>
    <row r="481" spans="1:7" x14ac:dyDescent="0.25">
      <c r="A481" s="4"/>
      <c r="B481" s="4"/>
      <c r="C481" s="4"/>
      <c r="D481" s="4"/>
      <c r="E481" s="4"/>
      <c r="F481" s="4" t="str">
        <f ca="1">IFERROR(_xludf.XLOOKUP(D481,Ustawienia!$D$4:$D$100,Ustawienia!$E$4:$E$100),"")</f>
        <v/>
      </c>
      <c r="G481" s="4"/>
    </row>
    <row r="482" spans="1:7" x14ac:dyDescent="0.25">
      <c r="A482" s="4"/>
      <c r="B482" s="4"/>
      <c r="C482" s="4"/>
      <c r="D482" s="4"/>
      <c r="E482" s="4"/>
      <c r="F482" s="4" t="str">
        <f ca="1">IFERROR(_xludf.XLOOKUP(D482,Ustawienia!$D$4:$D$100,Ustawienia!$E$4:$E$100),"")</f>
        <v/>
      </c>
      <c r="G482" s="4"/>
    </row>
    <row r="483" spans="1:7" x14ac:dyDescent="0.25">
      <c r="A483" s="4"/>
      <c r="B483" s="4"/>
      <c r="C483" s="4"/>
      <c r="D483" s="4"/>
      <c r="E483" s="4"/>
      <c r="F483" s="4" t="str">
        <f ca="1">IFERROR(_xludf.XLOOKUP(D483,Ustawienia!$D$4:$D$100,Ustawienia!$E$4:$E$100),"")</f>
        <v/>
      </c>
      <c r="G483" s="4"/>
    </row>
    <row r="484" spans="1:7" x14ac:dyDescent="0.25">
      <c r="A484" s="4"/>
      <c r="B484" s="4"/>
      <c r="C484" s="4"/>
      <c r="D484" s="4"/>
      <c r="E484" s="4"/>
      <c r="F484" s="4" t="str">
        <f ca="1">IFERROR(_xludf.XLOOKUP(D484,Ustawienia!$D$4:$D$100,Ustawienia!$E$4:$E$100),"")</f>
        <v/>
      </c>
      <c r="G484" s="4"/>
    </row>
    <row r="485" spans="1:7" x14ac:dyDescent="0.25">
      <c r="A485" s="4"/>
      <c r="B485" s="4"/>
      <c r="C485" s="4"/>
      <c r="D485" s="4"/>
      <c r="E485" s="4"/>
      <c r="F485" s="4" t="str">
        <f ca="1">IFERROR(_xludf.XLOOKUP(D485,Ustawienia!$D$4:$D$100,Ustawienia!$E$4:$E$100),"")</f>
        <v/>
      </c>
      <c r="G485" s="4"/>
    </row>
    <row r="486" spans="1:7" x14ac:dyDescent="0.25">
      <c r="A486" s="4"/>
      <c r="B486" s="4"/>
      <c r="C486" s="4"/>
      <c r="D486" s="4"/>
      <c r="E486" s="4"/>
      <c r="F486" s="4" t="str">
        <f ca="1">IFERROR(_xludf.XLOOKUP(D486,Ustawienia!$D$4:$D$100,Ustawienia!$E$4:$E$100),"")</f>
        <v/>
      </c>
      <c r="G486" s="4"/>
    </row>
    <row r="487" spans="1:7" x14ac:dyDescent="0.25">
      <c r="A487" s="4"/>
      <c r="B487" s="4"/>
      <c r="C487" s="4"/>
      <c r="D487" s="4"/>
      <c r="E487" s="4"/>
      <c r="F487" s="4" t="str">
        <f ca="1">IFERROR(_xludf.XLOOKUP(D487,Ustawienia!$D$4:$D$100,Ustawienia!$E$4:$E$100),"")</f>
        <v/>
      </c>
      <c r="G487" s="4"/>
    </row>
    <row r="488" spans="1:7" x14ac:dyDescent="0.25">
      <c r="A488" s="4"/>
      <c r="B488" s="4"/>
      <c r="C488" s="4"/>
      <c r="D488" s="4"/>
      <c r="E488" s="4"/>
      <c r="F488" s="4" t="str">
        <f ca="1">IFERROR(_xludf.XLOOKUP(D488,Ustawienia!$D$4:$D$100,Ustawienia!$E$4:$E$100),"")</f>
        <v/>
      </c>
      <c r="G488" s="4"/>
    </row>
    <row r="489" spans="1:7" x14ac:dyDescent="0.25">
      <c r="A489" s="4"/>
      <c r="B489" s="4"/>
      <c r="C489" s="4"/>
      <c r="D489" s="4"/>
      <c r="E489" s="4"/>
      <c r="F489" s="4" t="str">
        <f ca="1">IFERROR(_xludf.XLOOKUP(D489,Ustawienia!$D$4:$D$100,Ustawienia!$E$4:$E$100),"")</f>
        <v/>
      </c>
      <c r="G489" s="4"/>
    </row>
    <row r="490" spans="1:7" x14ac:dyDescent="0.25">
      <c r="A490" s="4"/>
      <c r="B490" s="4"/>
      <c r="C490" s="4"/>
      <c r="D490" s="4"/>
      <c r="E490" s="4"/>
      <c r="F490" s="4" t="str">
        <f ca="1">IFERROR(_xludf.XLOOKUP(D490,Ustawienia!$D$4:$D$100,Ustawienia!$E$4:$E$100),"")</f>
        <v/>
      </c>
      <c r="G490" s="4"/>
    </row>
    <row r="491" spans="1:7" x14ac:dyDescent="0.25">
      <c r="A491" s="4"/>
      <c r="B491" s="4"/>
      <c r="C491" s="4"/>
      <c r="D491" s="4"/>
      <c r="E491" s="4"/>
      <c r="F491" s="4" t="str">
        <f ca="1">IFERROR(_xludf.XLOOKUP(D491,Ustawienia!$D$4:$D$100,Ustawienia!$E$4:$E$100),"")</f>
        <v/>
      </c>
      <c r="G491" s="4"/>
    </row>
    <row r="492" spans="1:7" x14ac:dyDescent="0.25">
      <c r="A492" s="4"/>
      <c r="B492" s="4"/>
      <c r="C492" s="4"/>
      <c r="D492" s="4"/>
      <c r="E492" s="4"/>
      <c r="F492" s="4" t="str">
        <f ca="1">IFERROR(_xludf.XLOOKUP(D492,Ustawienia!$D$4:$D$100,Ustawienia!$E$4:$E$100),"")</f>
        <v/>
      </c>
      <c r="G492" s="4"/>
    </row>
    <row r="493" spans="1:7" x14ac:dyDescent="0.25">
      <c r="A493" s="4"/>
      <c r="B493" s="4"/>
      <c r="C493" s="4"/>
      <c r="D493" s="4"/>
      <c r="E493" s="4"/>
      <c r="F493" s="4" t="str">
        <f ca="1">IFERROR(_xludf.XLOOKUP(D493,Ustawienia!$D$4:$D$100,Ustawienia!$E$4:$E$100),"")</f>
        <v/>
      </c>
      <c r="G493" s="4"/>
    </row>
    <row r="494" spans="1:7" x14ac:dyDescent="0.25">
      <c r="A494" s="4"/>
      <c r="B494" s="4"/>
      <c r="C494" s="4"/>
      <c r="D494" s="4"/>
      <c r="E494" s="4"/>
      <c r="F494" s="4" t="str">
        <f ca="1">IFERROR(_xludf.XLOOKUP(D494,Ustawienia!$D$4:$D$100,Ustawienia!$E$4:$E$100),"")</f>
        <v/>
      </c>
      <c r="G494" s="4"/>
    </row>
    <row r="495" spans="1:7" x14ac:dyDescent="0.25">
      <c r="A495" s="4"/>
      <c r="B495" s="4"/>
      <c r="C495" s="4"/>
      <c r="D495" s="4"/>
      <c r="E495" s="4"/>
      <c r="F495" s="4" t="str">
        <f ca="1">IFERROR(_xludf.XLOOKUP(D495,Ustawienia!$D$4:$D$100,Ustawienia!$E$4:$E$100),"")</f>
        <v/>
      </c>
      <c r="G495" s="4"/>
    </row>
    <row r="496" spans="1:7" x14ac:dyDescent="0.25">
      <c r="A496" s="4"/>
      <c r="B496" s="4"/>
      <c r="C496" s="4"/>
      <c r="D496" s="4"/>
      <c r="E496" s="4"/>
      <c r="F496" s="4" t="str">
        <f ca="1">IFERROR(_xludf.XLOOKUP(D496,Ustawienia!$D$4:$D$100,Ustawienia!$E$4:$E$100),"")</f>
        <v/>
      </c>
      <c r="G496" s="4"/>
    </row>
    <row r="497" spans="1:7" x14ac:dyDescent="0.25">
      <c r="A497" s="4"/>
      <c r="B497" s="4"/>
      <c r="C497" s="4"/>
      <c r="D497" s="4"/>
      <c r="E497" s="4"/>
      <c r="F497" s="4" t="str">
        <f ca="1">IFERROR(_xludf.XLOOKUP(D497,Ustawienia!$D$4:$D$100,Ustawienia!$E$4:$E$100),"")</f>
        <v/>
      </c>
      <c r="G497" s="4"/>
    </row>
    <row r="498" spans="1:7" x14ac:dyDescent="0.25">
      <c r="A498" s="4"/>
      <c r="B498" s="4"/>
      <c r="C498" s="4"/>
      <c r="D498" s="4"/>
      <c r="E498" s="4"/>
      <c r="F498" s="4" t="str">
        <f ca="1">IFERROR(_xludf.XLOOKUP(D498,Ustawienia!$D$4:$D$100,Ustawienia!$E$4:$E$100),"")</f>
        <v/>
      </c>
      <c r="G498" s="4"/>
    </row>
    <row r="499" spans="1:7" x14ac:dyDescent="0.25">
      <c r="A499" s="4"/>
      <c r="B499" s="4"/>
      <c r="C499" s="4"/>
      <c r="D499" s="4"/>
      <c r="E499" s="4"/>
      <c r="F499" s="4" t="str">
        <f ca="1">IFERROR(_xludf.XLOOKUP(D499,Ustawienia!$D$4:$D$100,Ustawienia!$E$4:$E$100),"")</f>
        <v/>
      </c>
      <c r="G499" s="4"/>
    </row>
    <row r="500" spans="1:7" x14ac:dyDescent="0.25">
      <c r="A500" s="4"/>
      <c r="B500" s="4"/>
      <c r="C500" s="4"/>
      <c r="D500" s="4"/>
      <c r="E500" s="4"/>
      <c r="F500" s="4" t="str">
        <f ca="1">IFERROR(_xludf.XLOOKUP(D500,Ustawienia!$D$4:$D$100,Ustawienia!$E$4:$E$100),"")</f>
        <v/>
      </c>
      <c r="G500" s="4"/>
    </row>
    <row r="501" spans="1:7" x14ac:dyDescent="0.25">
      <c r="A501" s="4"/>
      <c r="B501" s="4"/>
      <c r="C501" s="4"/>
      <c r="D501" s="4"/>
      <c r="E501" s="4"/>
      <c r="F501" s="4" t="str">
        <f ca="1">IFERROR(_xludf.XLOOKUP(D501,Ustawienia!$D$4:$D$100,Ustawienia!$E$4:$E$100),"")</f>
        <v/>
      </c>
      <c r="G501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4" customWidth="1"/>
    <col min="2" max="2" width="34" customWidth="1"/>
    <col min="3" max="4" width="12" customWidth="1"/>
    <col min="5" max="8" width="14" customWidth="1"/>
    <col min="9" max="9" width="16" customWidth="1"/>
    <col min="10" max="10" width="14" customWidth="1"/>
    <col min="11" max="11" width="32" customWidth="1"/>
  </cols>
  <sheetData>
    <row r="1" spans="1:6" ht="30" customHeight="1" x14ac:dyDescent="0.25">
      <c r="A1" s="8" t="s">
        <v>1</v>
      </c>
      <c r="B1" s="8" t="s">
        <v>58</v>
      </c>
      <c r="C1" s="8" t="s">
        <v>59</v>
      </c>
      <c r="D1" s="8" t="s">
        <v>60</v>
      </c>
      <c r="E1" s="8" t="s">
        <v>6</v>
      </c>
      <c r="F1" s="8" t="s">
        <v>7</v>
      </c>
    </row>
    <row r="2" spans="1:6" x14ac:dyDescent="0.25">
      <c r="A2" s="9" t="s">
        <v>91</v>
      </c>
      <c r="B2" s="9" t="s">
        <v>98</v>
      </c>
      <c r="C2" s="9" t="s">
        <v>15</v>
      </c>
      <c r="D2" s="9" t="s">
        <v>61</v>
      </c>
      <c r="E2" s="9" t="s">
        <v>16</v>
      </c>
      <c r="F2" s="9" t="s">
        <v>62</v>
      </c>
    </row>
    <row r="3" spans="1:6" x14ac:dyDescent="0.25">
      <c r="A3" s="10"/>
      <c r="B3" s="10"/>
      <c r="C3" s="10"/>
      <c r="D3" s="10"/>
      <c r="E3" s="10" t="s">
        <v>20</v>
      </c>
      <c r="F3" s="10"/>
    </row>
    <row r="4" spans="1:6" x14ac:dyDescent="0.25">
      <c r="A4" s="9"/>
      <c r="B4" s="9"/>
      <c r="C4" s="9"/>
      <c r="D4" s="9"/>
      <c r="E4" s="9"/>
      <c r="F4" s="9"/>
    </row>
    <row r="5" spans="1:6" x14ac:dyDescent="0.25">
      <c r="A5" s="10"/>
      <c r="B5" s="10"/>
      <c r="C5" s="10"/>
      <c r="D5" s="10"/>
      <c r="E5" s="10"/>
      <c r="F5" s="10"/>
    </row>
    <row r="6" spans="1:6" x14ac:dyDescent="0.25">
      <c r="A6" s="9"/>
      <c r="B6" s="9"/>
      <c r="C6" s="9"/>
      <c r="D6" s="9"/>
      <c r="E6" s="9"/>
      <c r="F6" s="9"/>
    </row>
    <row r="7" spans="1:6" x14ac:dyDescent="0.25">
      <c r="A7" s="10"/>
      <c r="B7" s="10"/>
      <c r="C7" s="10"/>
      <c r="D7" s="10"/>
      <c r="E7" s="10"/>
      <c r="F7" s="10"/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10"/>
      <c r="B9" s="10"/>
      <c r="C9" s="10"/>
      <c r="D9" s="10"/>
      <c r="E9" s="10"/>
      <c r="F9" s="10"/>
    </row>
    <row r="10" spans="1:6" x14ac:dyDescent="0.25">
      <c r="A10" s="9"/>
      <c r="B10" s="9"/>
      <c r="C10" s="9"/>
      <c r="D10" s="9"/>
      <c r="E10" s="9"/>
      <c r="F10" s="9"/>
    </row>
    <row r="11" spans="1:6" x14ac:dyDescent="0.25">
      <c r="A11" s="10"/>
      <c r="B11" s="10"/>
      <c r="C11" s="10"/>
      <c r="D11" s="10"/>
      <c r="E11" s="10"/>
      <c r="F11" s="10"/>
    </row>
    <row r="12" spans="1:6" x14ac:dyDescent="0.25">
      <c r="A12" s="9"/>
      <c r="B12" s="9"/>
      <c r="C12" s="9"/>
      <c r="D12" s="9"/>
      <c r="E12" s="9"/>
      <c r="F12" s="9"/>
    </row>
    <row r="13" spans="1:6" x14ac:dyDescent="0.25">
      <c r="A13" s="10"/>
      <c r="B13" s="10"/>
      <c r="C13" s="10"/>
      <c r="D13" s="10"/>
      <c r="E13" s="10"/>
      <c r="F13" s="10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10"/>
      <c r="B15" s="10"/>
      <c r="C15" s="10"/>
      <c r="D15" s="10"/>
      <c r="E15" s="10"/>
      <c r="F15" s="10"/>
    </row>
    <row r="16" spans="1:6" x14ac:dyDescent="0.25">
      <c r="A16" s="9"/>
      <c r="B16" s="9"/>
      <c r="C16" s="9"/>
      <c r="D16" s="9"/>
      <c r="E16" s="9"/>
      <c r="F16" s="9"/>
    </row>
    <row r="17" spans="1:6" x14ac:dyDescent="0.25">
      <c r="A17" s="10"/>
      <c r="B17" s="10"/>
      <c r="C17" s="10"/>
      <c r="D17" s="10"/>
      <c r="E17" s="10"/>
      <c r="F17" s="10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9"/>
      <c r="B30" s="9"/>
      <c r="C30" s="9"/>
      <c r="D30" s="9"/>
      <c r="E30" s="9"/>
      <c r="F30" s="9"/>
    </row>
    <row r="31" spans="1:6" x14ac:dyDescent="0.25">
      <c r="A31" s="10"/>
      <c r="B31" s="10"/>
      <c r="C31" s="10"/>
      <c r="D31" s="10"/>
      <c r="E31" s="10"/>
      <c r="F31" s="10"/>
    </row>
    <row r="32" spans="1:6" x14ac:dyDescent="0.25">
      <c r="A32" s="9"/>
      <c r="B32" s="9"/>
      <c r="C32" s="9"/>
      <c r="D32" s="9"/>
      <c r="E32" s="9"/>
      <c r="F32" s="9"/>
    </row>
    <row r="33" spans="1:6" x14ac:dyDescent="0.25">
      <c r="A33" s="10"/>
      <c r="B33" s="10"/>
      <c r="C33" s="10"/>
      <c r="D33" s="10"/>
      <c r="E33" s="10"/>
      <c r="F33" s="10"/>
    </row>
    <row r="34" spans="1:6" x14ac:dyDescent="0.25">
      <c r="A34" s="9"/>
      <c r="B34" s="9"/>
      <c r="C34" s="9"/>
      <c r="D34" s="9"/>
      <c r="E34" s="9"/>
      <c r="F34" s="9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9"/>
      <c r="B36" s="9"/>
      <c r="C36" s="9"/>
      <c r="D36" s="9"/>
      <c r="E36" s="9"/>
      <c r="F36" s="9"/>
    </row>
    <row r="37" spans="1:6" x14ac:dyDescent="0.25">
      <c r="A37" s="10"/>
      <c r="B37" s="10"/>
      <c r="C37" s="10"/>
      <c r="D37" s="10"/>
      <c r="E37" s="10"/>
      <c r="F37" s="10"/>
    </row>
    <row r="38" spans="1:6" x14ac:dyDescent="0.25">
      <c r="A38" s="9"/>
      <c r="B38" s="9"/>
      <c r="C38" s="9"/>
      <c r="D38" s="9"/>
      <c r="E38" s="9"/>
      <c r="F38" s="9"/>
    </row>
    <row r="39" spans="1:6" x14ac:dyDescent="0.25">
      <c r="A39" s="10"/>
      <c r="B39" s="10"/>
      <c r="C39" s="10"/>
      <c r="D39" s="10"/>
      <c r="E39" s="10"/>
      <c r="F39" s="10"/>
    </row>
    <row r="40" spans="1:6" x14ac:dyDescent="0.25">
      <c r="A40" s="9"/>
      <c r="B40" s="9"/>
      <c r="C40" s="9"/>
      <c r="D40" s="9"/>
      <c r="E40" s="9"/>
      <c r="F40" s="9"/>
    </row>
    <row r="41" spans="1:6" x14ac:dyDescent="0.25">
      <c r="A41" s="10"/>
      <c r="B41" s="10"/>
      <c r="C41" s="10"/>
      <c r="D41" s="10"/>
      <c r="E41" s="10"/>
      <c r="F41" s="10"/>
    </row>
    <row r="42" spans="1:6" x14ac:dyDescent="0.25">
      <c r="A42" s="9"/>
      <c r="B42" s="9"/>
      <c r="C42" s="9"/>
      <c r="D42" s="9"/>
      <c r="E42" s="9"/>
      <c r="F42" s="9"/>
    </row>
    <row r="43" spans="1:6" x14ac:dyDescent="0.25">
      <c r="A43" s="10"/>
      <c r="B43" s="10"/>
      <c r="C43" s="10"/>
      <c r="D43" s="10"/>
      <c r="E43" s="10"/>
      <c r="F43" s="10"/>
    </row>
    <row r="44" spans="1:6" x14ac:dyDescent="0.25">
      <c r="A44" s="9"/>
      <c r="B44" s="9"/>
      <c r="C44" s="9"/>
      <c r="D44" s="9"/>
      <c r="E44" s="9"/>
      <c r="F44" s="9"/>
    </row>
    <row r="45" spans="1:6" x14ac:dyDescent="0.25">
      <c r="A45" s="10"/>
      <c r="B45" s="10"/>
      <c r="C45" s="10"/>
      <c r="D45" s="10"/>
      <c r="E45" s="10"/>
      <c r="F45" s="10"/>
    </row>
    <row r="46" spans="1:6" x14ac:dyDescent="0.25">
      <c r="A46" s="9"/>
      <c r="B46" s="9"/>
      <c r="C46" s="9"/>
      <c r="D46" s="9"/>
      <c r="E46" s="9"/>
      <c r="F46" s="9"/>
    </row>
    <row r="47" spans="1:6" x14ac:dyDescent="0.25">
      <c r="A47" s="10"/>
      <c r="B47" s="10"/>
      <c r="C47" s="10"/>
      <c r="D47" s="10"/>
      <c r="E47" s="10"/>
      <c r="F47" s="10"/>
    </row>
    <row r="48" spans="1:6" x14ac:dyDescent="0.25">
      <c r="A48" s="9"/>
      <c r="B48" s="9"/>
      <c r="C48" s="9"/>
      <c r="D48" s="9"/>
      <c r="E48" s="9"/>
      <c r="F48" s="9"/>
    </row>
    <row r="49" spans="1:6" x14ac:dyDescent="0.25">
      <c r="A49" s="10"/>
      <c r="B49" s="10"/>
      <c r="C49" s="10"/>
      <c r="D49" s="10"/>
      <c r="E49" s="10"/>
      <c r="F49" s="10"/>
    </row>
    <row r="50" spans="1:6" x14ac:dyDescent="0.25">
      <c r="A50" s="9"/>
      <c r="B50" s="9"/>
      <c r="C50" s="9"/>
      <c r="D50" s="9"/>
      <c r="E50" s="9"/>
      <c r="F50" s="9"/>
    </row>
    <row r="51" spans="1:6" x14ac:dyDescent="0.25">
      <c r="A51" s="10"/>
      <c r="B51" s="10"/>
      <c r="C51" s="10"/>
      <c r="D51" s="10"/>
      <c r="E51" s="10"/>
      <c r="F51" s="10"/>
    </row>
    <row r="52" spans="1:6" x14ac:dyDescent="0.25">
      <c r="A52" s="9"/>
      <c r="B52" s="9"/>
      <c r="C52" s="9"/>
      <c r="D52" s="9"/>
      <c r="E52" s="9"/>
      <c r="F52" s="9"/>
    </row>
    <row r="53" spans="1:6" x14ac:dyDescent="0.25">
      <c r="A53" s="10"/>
      <c r="B53" s="10"/>
      <c r="C53" s="10"/>
      <c r="D53" s="10"/>
      <c r="E53" s="10"/>
      <c r="F53" s="10"/>
    </row>
    <row r="54" spans="1:6" x14ac:dyDescent="0.25">
      <c r="A54" s="9"/>
      <c r="B54" s="9"/>
      <c r="C54" s="9"/>
      <c r="D54" s="9"/>
      <c r="E54" s="9"/>
      <c r="F54" s="9"/>
    </row>
    <row r="55" spans="1:6" x14ac:dyDescent="0.25">
      <c r="A55" s="10"/>
      <c r="B55" s="10"/>
      <c r="C55" s="10"/>
      <c r="D55" s="10"/>
      <c r="E55" s="10"/>
      <c r="F55" s="10"/>
    </row>
    <row r="56" spans="1:6" x14ac:dyDescent="0.25">
      <c r="A56" s="9"/>
      <c r="B56" s="9"/>
      <c r="C56" s="9"/>
      <c r="D56" s="9"/>
      <c r="E56" s="9"/>
      <c r="F56" s="9"/>
    </row>
    <row r="57" spans="1:6" x14ac:dyDescent="0.25">
      <c r="A57" s="10"/>
      <c r="B57" s="10"/>
      <c r="C57" s="10"/>
      <c r="D57" s="10"/>
      <c r="E57" s="10"/>
      <c r="F57" s="10"/>
    </row>
    <row r="58" spans="1:6" x14ac:dyDescent="0.25">
      <c r="A58" s="9"/>
      <c r="B58" s="9"/>
      <c r="C58" s="9"/>
      <c r="D58" s="9"/>
      <c r="E58" s="9"/>
      <c r="F58" s="9"/>
    </row>
    <row r="59" spans="1:6" x14ac:dyDescent="0.25">
      <c r="A59" s="10"/>
      <c r="B59" s="10"/>
      <c r="C59" s="10"/>
      <c r="D59" s="10"/>
      <c r="E59" s="10"/>
      <c r="F59" s="10"/>
    </row>
    <row r="60" spans="1:6" x14ac:dyDescent="0.25">
      <c r="A60" s="9"/>
      <c r="B60" s="9"/>
      <c r="C60" s="9"/>
      <c r="D60" s="9"/>
      <c r="E60" s="9"/>
      <c r="F60" s="9"/>
    </row>
    <row r="61" spans="1:6" x14ac:dyDescent="0.25">
      <c r="A61" s="10"/>
      <c r="B61" s="10"/>
      <c r="C61" s="10"/>
      <c r="D61" s="10"/>
      <c r="E61" s="10"/>
      <c r="F61" s="10"/>
    </row>
    <row r="62" spans="1:6" x14ac:dyDescent="0.25">
      <c r="A62" s="9"/>
      <c r="B62" s="9"/>
      <c r="C62" s="9"/>
      <c r="D62" s="9"/>
      <c r="E62" s="9"/>
      <c r="F62" s="9"/>
    </row>
    <row r="63" spans="1:6" x14ac:dyDescent="0.25">
      <c r="A63" s="10"/>
      <c r="B63" s="10"/>
      <c r="C63" s="10"/>
      <c r="D63" s="10"/>
      <c r="E63" s="10"/>
      <c r="F63" s="10"/>
    </row>
    <row r="64" spans="1:6" x14ac:dyDescent="0.25">
      <c r="A64" s="9"/>
      <c r="B64" s="9"/>
      <c r="C64" s="9"/>
      <c r="D64" s="9"/>
      <c r="E64" s="9"/>
      <c r="F64" s="9"/>
    </row>
    <row r="65" spans="1:6" x14ac:dyDescent="0.25">
      <c r="A65" s="10"/>
      <c r="B65" s="10"/>
      <c r="C65" s="10"/>
      <c r="D65" s="10"/>
      <c r="E65" s="10"/>
      <c r="F65" s="10"/>
    </row>
    <row r="66" spans="1:6" x14ac:dyDescent="0.25">
      <c r="A66" s="9"/>
      <c r="B66" s="9"/>
      <c r="C66" s="9"/>
      <c r="D66" s="9"/>
      <c r="E66" s="9"/>
      <c r="F66" s="9"/>
    </row>
    <row r="67" spans="1:6" x14ac:dyDescent="0.25">
      <c r="A67" s="10"/>
      <c r="B67" s="10"/>
      <c r="C67" s="10"/>
      <c r="D67" s="10"/>
      <c r="E67" s="10"/>
      <c r="F67" s="10"/>
    </row>
    <row r="68" spans="1:6" x14ac:dyDescent="0.25">
      <c r="A68" s="9"/>
      <c r="B68" s="9"/>
      <c r="C68" s="9"/>
      <c r="D68" s="9"/>
      <c r="E68" s="9"/>
      <c r="F68" s="9"/>
    </row>
    <row r="69" spans="1:6" x14ac:dyDescent="0.25">
      <c r="A69" s="10"/>
      <c r="B69" s="10"/>
      <c r="C69" s="10"/>
      <c r="D69" s="10"/>
      <c r="E69" s="10"/>
      <c r="F69" s="10"/>
    </row>
    <row r="70" spans="1:6" x14ac:dyDescent="0.25">
      <c r="A70" s="9"/>
      <c r="B70" s="9"/>
      <c r="C70" s="9"/>
      <c r="D70" s="9"/>
      <c r="E70" s="9"/>
      <c r="F70" s="9"/>
    </row>
    <row r="71" spans="1:6" x14ac:dyDescent="0.25">
      <c r="A71" s="10"/>
      <c r="B71" s="10"/>
      <c r="C71" s="10"/>
      <c r="D71" s="10"/>
      <c r="E71" s="10"/>
      <c r="F71" s="10"/>
    </row>
    <row r="72" spans="1:6" x14ac:dyDescent="0.25">
      <c r="A72" s="9"/>
      <c r="B72" s="9"/>
      <c r="C72" s="9"/>
      <c r="D72" s="9"/>
      <c r="E72" s="9"/>
      <c r="F72" s="9"/>
    </row>
    <row r="73" spans="1:6" x14ac:dyDescent="0.25">
      <c r="A73" s="10"/>
      <c r="B73" s="10"/>
      <c r="C73" s="10"/>
      <c r="D73" s="10"/>
      <c r="E73" s="10"/>
      <c r="F73" s="10"/>
    </row>
    <row r="74" spans="1:6" x14ac:dyDescent="0.25">
      <c r="A74" s="9"/>
      <c r="B74" s="9"/>
      <c r="C74" s="9"/>
      <c r="D74" s="9"/>
      <c r="E74" s="9"/>
      <c r="F74" s="9"/>
    </row>
    <row r="75" spans="1:6" x14ac:dyDescent="0.25">
      <c r="A75" s="10"/>
      <c r="B75" s="10"/>
      <c r="C75" s="10"/>
      <c r="D75" s="10"/>
      <c r="E75" s="10"/>
      <c r="F75" s="10"/>
    </row>
    <row r="76" spans="1:6" x14ac:dyDescent="0.25">
      <c r="A76" s="9"/>
      <c r="B76" s="9"/>
      <c r="C76" s="9"/>
      <c r="D76" s="9"/>
      <c r="E76" s="9"/>
      <c r="F76" s="9"/>
    </row>
    <row r="77" spans="1:6" x14ac:dyDescent="0.25">
      <c r="A77" s="10"/>
      <c r="B77" s="10"/>
      <c r="C77" s="10"/>
      <c r="D77" s="10"/>
      <c r="E77" s="10"/>
      <c r="F77" s="10"/>
    </row>
    <row r="78" spans="1:6" x14ac:dyDescent="0.25">
      <c r="A78" s="9"/>
      <c r="B78" s="9"/>
      <c r="C78" s="9"/>
      <c r="D78" s="9"/>
      <c r="E78" s="9"/>
      <c r="F78" s="9"/>
    </row>
    <row r="79" spans="1:6" x14ac:dyDescent="0.25">
      <c r="A79" s="10"/>
      <c r="B79" s="10"/>
      <c r="C79" s="10"/>
      <c r="D79" s="10"/>
      <c r="E79" s="10"/>
      <c r="F79" s="10"/>
    </row>
    <row r="80" spans="1:6" x14ac:dyDescent="0.25">
      <c r="A80" s="9"/>
      <c r="B80" s="9"/>
      <c r="C80" s="9"/>
      <c r="D80" s="9"/>
      <c r="E80" s="9"/>
      <c r="F80" s="9"/>
    </row>
    <row r="81" spans="1:6" x14ac:dyDescent="0.25">
      <c r="A81" s="10"/>
      <c r="B81" s="10"/>
      <c r="C81" s="10"/>
      <c r="D81" s="10"/>
      <c r="E81" s="10"/>
      <c r="F81" s="10"/>
    </row>
    <row r="82" spans="1:6" x14ac:dyDescent="0.25">
      <c r="A82" s="9"/>
      <c r="B82" s="9"/>
      <c r="C82" s="9"/>
      <c r="D82" s="9"/>
      <c r="E82" s="9"/>
      <c r="F82" s="9"/>
    </row>
    <row r="83" spans="1:6" x14ac:dyDescent="0.25">
      <c r="A83" s="10"/>
      <c r="B83" s="10"/>
      <c r="C83" s="10"/>
      <c r="D83" s="10"/>
      <c r="E83" s="10"/>
      <c r="F83" s="10"/>
    </row>
    <row r="84" spans="1:6" x14ac:dyDescent="0.25">
      <c r="A84" s="9"/>
      <c r="B84" s="9"/>
      <c r="C84" s="9"/>
      <c r="D84" s="9"/>
      <c r="E84" s="9"/>
      <c r="F84" s="9"/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9"/>
      <c r="B86" s="9"/>
      <c r="C86" s="9"/>
      <c r="D86" s="9"/>
      <c r="E86" s="9"/>
      <c r="F86" s="9"/>
    </row>
    <row r="87" spans="1:6" x14ac:dyDescent="0.25">
      <c r="A87" s="10"/>
      <c r="B87" s="10"/>
      <c r="C87" s="10"/>
      <c r="D87" s="10"/>
      <c r="E87" s="10"/>
      <c r="F87" s="10"/>
    </row>
    <row r="88" spans="1:6" x14ac:dyDescent="0.25">
      <c r="A88" s="9"/>
      <c r="B88" s="9"/>
      <c r="C88" s="9"/>
      <c r="D88" s="9"/>
      <c r="E88" s="9"/>
      <c r="F88" s="9"/>
    </row>
    <row r="89" spans="1:6" x14ac:dyDescent="0.25">
      <c r="A89" s="10"/>
      <c r="B89" s="10"/>
      <c r="C89" s="10"/>
      <c r="D89" s="10"/>
      <c r="E89" s="10"/>
      <c r="F89" s="10"/>
    </row>
    <row r="90" spans="1:6" x14ac:dyDescent="0.25">
      <c r="A90" s="9"/>
      <c r="B90" s="9"/>
      <c r="C90" s="9"/>
      <c r="D90" s="9"/>
      <c r="E90" s="9"/>
      <c r="F90" s="9"/>
    </row>
    <row r="91" spans="1:6" x14ac:dyDescent="0.25">
      <c r="A91" s="10"/>
      <c r="B91" s="10"/>
      <c r="C91" s="10"/>
      <c r="D91" s="10"/>
      <c r="E91" s="10"/>
      <c r="F91" s="10"/>
    </row>
    <row r="92" spans="1:6" x14ac:dyDescent="0.25">
      <c r="A92" s="9"/>
      <c r="B92" s="9"/>
      <c r="C92" s="9"/>
      <c r="D92" s="9"/>
      <c r="E92" s="9"/>
      <c r="F92" s="9"/>
    </row>
    <row r="93" spans="1:6" x14ac:dyDescent="0.25">
      <c r="A93" s="10"/>
      <c r="B93" s="10"/>
      <c r="C93" s="10"/>
      <c r="D93" s="10"/>
      <c r="E93" s="10"/>
      <c r="F93" s="10"/>
    </row>
    <row r="94" spans="1:6" x14ac:dyDescent="0.25">
      <c r="A94" s="9"/>
      <c r="B94" s="9"/>
      <c r="C94" s="9"/>
      <c r="D94" s="9"/>
      <c r="E94" s="9"/>
      <c r="F94" s="9"/>
    </row>
    <row r="95" spans="1:6" x14ac:dyDescent="0.25">
      <c r="A95" s="10"/>
      <c r="B95" s="10"/>
      <c r="C95" s="10"/>
      <c r="D95" s="10"/>
      <c r="E95" s="10"/>
      <c r="F95" s="10"/>
    </row>
    <row r="96" spans="1:6" x14ac:dyDescent="0.25">
      <c r="A96" s="9"/>
      <c r="B96" s="9"/>
      <c r="C96" s="9"/>
      <c r="D96" s="9"/>
      <c r="E96" s="9"/>
      <c r="F96" s="9"/>
    </row>
    <row r="97" spans="1:6" x14ac:dyDescent="0.25">
      <c r="A97" s="10"/>
      <c r="B97" s="10"/>
      <c r="C97" s="10"/>
      <c r="D97" s="10"/>
      <c r="E97" s="10"/>
      <c r="F97" s="10"/>
    </row>
    <row r="98" spans="1:6" x14ac:dyDescent="0.25">
      <c r="A98" s="9"/>
      <c r="B98" s="9"/>
      <c r="C98" s="9"/>
      <c r="D98" s="9"/>
      <c r="E98" s="9"/>
      <c r="F98" s="9"/>
    </row>
    <row r="99" spans="1:6" x14ac:dyDescent="0.25">
      <c r="A99" s="10"/>
      <c r="B99" s="10"/>
      <c r="C99" s="10"/>
      <c r="D99" s="10"/>
      <c r="E99" s="10"/>
      <c r="F99" s="10"/>
    </row>
    <row r="100" spans="1:6" x14ac:dyDescent="0.25">
      <c r="A100" s="9"/>
      <c r="B100" s="9"/>
      <c r="C100" s="9"/>
      <c r="D100" s="9"/>
      <c r="E100" s="9"/>
      <c r="F100" s="9"/>
    </row>
    <row r="101" spans="1:6" x14ac:dyDescent="0.25">
      <c r="A101" s="10"/>
      <c r="B101" s="10"/>
      <c r="C101" s="10"/>
      <c r="D101" s="10"/>
      <c r="E101" s="10"/>
      <c r="F101" s="10"/>
    </row>
    <row r="102" spans="1:6" x14ac:dyDescent="0.25">
      <c r="A102" s="9"/>
      <c r="B102" s="9"/>
      <c r="C102" s="9"/>
      <c r="D102" s="9"/>
      <c r="E102" s="9"/>
      <c r="F102" s="9"/>
    </row>
    <row r="103" spans="1:6" x14ac:dyDescent="0.25">
      <c r="A103" s="10"/>
      <c r="B103" s="10"/>
      <c r="C103" s="10"/>
      <c r="D103" s="10"/>
      <c r="E103" s="10"/>
      <c r="F103" s="10"/>
    </row>
    <row r="104" spans="1:6" x14ac:dyDescent="0.25">
      <c r="A104" s="9"/>
      <c r="B104" s="9"/>
      <c r="C104" s="9"/>
      <c r="D104" s="9"/>
      <c r="E104" s="9"/>
      <c r="F104" s="9"/>
    </row>
    <row r="105" spans="1:6" x14ac:dyDescent="0.25">
      <c r="A105" s="10"/>
      <c r="B105" s="10"/>
      <c r="C105" s="10"/>
      <c r="D105" s="10"/>
      <c r="E105" s="10"/>
      <c r="F105" s="10"/>
    </row>
    <row r="106" spans="1:6" x14ac:dyDescent="0.25">
      <c r="A106" s="9"/>
      <c r="B106" s="9"/>
      <c r="C106" s="9"/>
      <c r="D106" s="9"/>
      <c r="E106" s="9"/>
      <c r="F106" s="9"/>
    </row>
    <row r="107" spans="1:6" x14ac:dyDescent="0.25">
      <c r="A107" s="10"/>
      <c r="B107" s="10"/>
      <c r="C107" s="10"/>
      <c r="D107" s="10"/>
      <c r="E107" s="10"/>
      <c r="F107" s="10"/>
    </row>
    <row r="108" spans="1:6" x14ac:dyDescent="0.25">
      <c r="A108" s="9"/>
      <c r="B108" s="9"/>
      <c r="C108" s="9"/>
      <c r="D108" s="9"/>
      <c r="E108" s="9"/>
      <c r="F108" s="9"/>
    </row>
    <row r="109" spans="1:6" x14ac:dyDescent="0.25">
      <c r="A109" s="10"/>
      <c r="B109" s="10"/>
      <c r="C109" s="10"/>
      <c r="D109" s="10"/>
      <c r="E109" s="10"/>
      <c r="F109" s="10"/>
    </row>
    <row r="110" spans="1:6" x14ac:dyDescent="0.25">
      <c r="A110" s="9"/>
      <c r="B110" s="9"/>
      <c r="C110" s="9"/>
      <c r="D110" s="9"/>
      <c r="E110" s="9"/>
      <c r="F110" s="9"/>
    </row>
    <row r="111" spans="1:6" x14ac:dyDescent="0.25">
      <c r="A111" s="10"/>
      <c r="B111" s="10"/>
      <c r="C111" s="10"/>
      <c r="D111" s="10"/>
      <c r="E111" s="10"/>
      <c r="F111" s="10"/>
    </row>
    <row r="112" spans="1:6" x14ac:dyDescent="0.25">
      <c r="A112" s="9"/>
      <c r="B112" s="9"/>
      <c r="C112" s="9"/>
      <c r="D112" s="9"/>
      <c r="E112" s="9"/>
      <c r="F112" s="9"/>
    </row>
    <row r="113" spans="1:6" x14ac:dyDescent="0.25">
      <c r="A113" s="10"/>
      <c r="B113" s="10"/>
      <c r="C113" s="10"/>
      <c r="D113" s="10"/>
      <c r="E113" s="10"/>
      <c r="F113" s="10"/>
    </row>
    <row r="114" spans="1:6" x14ac:dyDescent="0.25">
      <c r="A114" s="9"/>
      <c r="B114" s="9"/>
      <c r="C114" s="9"/>
      <c r="D114" s="9"/>
      <c r="E114" s="9"/>
      <c r="F114" s="9"/>
    </row>
    <row r="115" spans="1:6" x14ac:dyDescent="0.25">
      <c r="A115" s="10"/>
      <c r="B115" s="10"/>
      <c r="C115" s="10"/>
      <c r="D115" s="10"/>
      <c r="E115" s="10"/>
      <c r="F115" s="10"/>
    </row>
    <row r="116" spans="1:6" x14ac:dyDescent="0.25">
      <c r="A116" s="9"/>
      <c r="B116" s="9"/>
      <c r="C116" s="9"/>
      <c r="D116" s="9"/>
      <c r="E116" s="9"/>
      <c r="F116" s="9"/>
    </row>
    <row r="117" spans="1:6" x14ac:dyDescent="0.25">
      <c r="A117" s="10"/>
      <c r="B117" s="10"/>
      <c r="C117" s="10"/>
      <c r="D117" s="10"/>
      <c r="E117" s="10"/>
      <c r="F117" s="10"/>
    </row>
    <row r="118" spans="1:6" x14ac:dyDescent="0.25">
      <c r="A118" s="9"/>
      <c r="B118" s="9"/>
      <c r="C118" s="9"/>
      <c r="D118" s="9"/>
      <c r="E118" s="9"/>
      <c r="F118" s="9"/>
    </row>
    <row r="119" spans="1:6" x14ac:dyDescent="0.25">
      <c r="A119" s="10"/>
      <c r="B119" s="10"/>
      <c r="C119" s="10"/>
      <c r="D119" s="10"/>
      <c r="E119" s="10"/>
      <c r="F119" s="10"/>
    </row>
    <row r="120" spans="1:6" x14ac:dyDescent="0.25">
      <c r="A120" s="9"/>
      <c r="B120" s="9"/>
      <c r="C120" s="9"/>
      <c r="D120" s="9"/>
      <c r="E120" s="9"/>
      <c r="F120" s="9"/>
    </row>
    <row r="121" spans="1:6" x14ac:dyDescent="0.25">
      <c r="A121" s="10"/>
      <c r="B121" s="10"/>
      <c r="C121" s="10"/>
      <c r="D121" s="10"/>
      <c r="E121" s="10"/>
      <c r="F121" s="10"/>
    </row>
    <row r="122" spans="1:6" x14ac:dyDescent="0.25">
      <c r="A122" s="9"/>
      <c r="B122" s="9"/>
      <c r="C122" s="9"/>
      <c r="D122" s="9"/>
      <c r="E122" s="9"/>
      <c r="F122" s="9"/>
    </row>
    <row r="123" spans="1:6" x14ac:dyDescent="0.25">
      <c r="A123" s="10"/>
      <c r="B123" s="10"/>
      <c r="C123" s="10"/>
      <c r="D123" s="10"/>
      <c r="E123" s="10"/>
      <c r="F123" s="10"/>
    </row>
    <row r="124" spans="1:6" x14ac:dyDescent="0.25">
      <c r="A124" s="9"/>
      <c r="B124" s="9"/>
      <c r="C124" s="9"/>
      <c r="D124" s="9"/>
      <c r="E124" s="9"/>
      <c r="F124" s="9"/>
    </row>
    <row r="125" spans="1:6" x14ac:dyDescent="0.25">
      <c r="A125" s="10"/>
      <c r="B125" s="10"/>
      <c r="C125" s="10"/>
      <c r="D125" s="10"/>
      <c r="E125" s="10"/>
      <c r="F125" s="10"/>
    </row>
    <row r="126" spans="1:6" x14ac:dyDescent="0.25">
      <c r="A126" s="9"/>
      <c r="B126" s="9"/>
      <c r="C126" s="9"/>
      <c r="D126" s="9"/>
      <c r="E126" s="9"/>
      <c r="F126" s="9"/>
    </row>
    <row r="127" spans="1:6" x14ac:dyDescent="0.25">
      <c r="A127" s="10"/>
      <c r="B127" s="10"/>
      <c r="C127" s="10"/>
      <c r="D127" s="10"/>
      <c r="E127" s="10"/>
      <c r="F127" s="10"/>
    </row>
    <row r="128" spans="1:6" x14ac:dyDescent="0.25">
      <c r="A128" s="9"/>
      <c r="B128" s="9"/>
      <c r="C128" s="9"/>
      <c r="D128" s="9"/>
      <c r="E128" s="9"/>
      <c r="F128" s="9"/>
    </row>
    <row r="129" spans="1:6" x14ac:dyDescent="0.25">
      <c r="A129" s="10"/>
      <c r="B129" s="10"/>
      <c r="C129" s="10"/>
      <c r="D129" s="10"/>
      <c r="E129" s="10"/>
      <c r="F129" s="10"/>
    </row>
    <row r="130" spans="1:6" x14ac:dyDescent="0.25">
      <c r="A130" s="9"/>
      <c r="B130" s="9"/>
      <c r="C130" s="9"/>
      <c r="D130" s="9"/>
      <c r="E130" s="9"/>
      <c r="F130" s="9"/>
    </row>
    <row r="131" spans="1:6" x14ac:dyDescent="0.25">
      <c r="A131" s="10"/>
      <c r="B131" s="10"/>
      <c r="C131" s="10"/>
      <c r="D131" s="10"/>
      <c r="E131" s="10"/>
      <c r="F131" s="10"/>
    </row>
    <row r="132" spans="1:6" x14ac:dyDescent="0.25">
      <c r="A132" s="9"/>
      <c r="B132" s="9"/>
      <c r="C132" s="9"/>
      <c r="D132" s="9"/>
      <c r="E132" s="9"/>
      <c r="F132" s="9"/>
    </row>
    <row r="133" spans="1:6" x14ac:dyDescent="0.25">
      <c r="A133" s="10"/>
      <c r="B133" s="10"/>
      <c r="C133" s="10"/>
      <c r="D133" s="10"/>
      <c r="E133" s="10"/>
      <c r="F133" s="10"/>
    </row>
    <row r="134" spans="1:6" x14ac:dyDescent="0.25">
      <c r="A134" s="9"/>
      <c r="B134" s="9"/>
      <c r="C134" s="9"/>
      <c r="D134" s="9"/>
      <c r="E134" s="9"/>
      <c r="F134" s="9"/>
    </row>
    <row r="135" spans="1:6" x14ac:dyDescent="0.25">
      <c r="A135" s="10"/>
      <c r="B135" s="10"/>
      <c r="C135" s="10"/>
      <c r="D135" s="10"/>
      <c r="E135" s="10"/>
      <c r="F135" s="10"/>
    </row>
    <row r="136" spans="1:6" x14ac:dyDescent="0.25">
      <c r="A136" s="9"/>
      <c r="B136" s="9"/>
      <c r="C136" s="9"/>
      <c r="D136" s="9"/>
      <c r="E136" s="9"/>
      <c r="F136" s="9"/>
    </row>
    <row r="137" spans="1:6" x14ac:dyDescent="0.25">
      <c r="A137" s="10"/>
      <c r="B137" s="10"/>
      <c r="C137" s="10"/>
      <c r="D137" s="10"/>
      <c r="E137" s="10"/>
      <c r="F137" s="10"/>
    </row>
    <row r="138" spans="1:6" x14ac:dyDescent="0.25">
      <c r="A138" s="9"/>
      <c r="B138" s="9"/>
      <c r="C138" s="9"/>
      <c r="D138" s="9"/>
      <c r="E138" s="9"/>
      <c r="F138" s="9"/>
    </row>
    <row r="139" spans="1:6" x14ac:dyDescent="0.25">
      <c r="A139" s="10"/>
      <c r="B139" s="10"/>
      <c r="C139" s="10"/>
      <c r="D139" s="10"/>
      <c r="E139" s="10"/>
      <c r="F139" s="10"/>
    </row>
    <row r="140" spans="1:6" x14ac:dyDescent="0.25">
      <c r="A140" s="9"/>
      <c r="B140" s="9"/>
      <c r="C140" s="9"/>
      <c r="D140" s="9"/>
      <c r="E140" s="9"/>
      <c r="F140" s="9"/>
    </row>
    <row r="141" spans="1:6" x14ac:dyDescent="0.25">
      <c r="A141" s="10"/>
      <c r="B141" s="10"/>
      <c r="C141" s="10"/>
      <c r="D141" s="10"/>
      <c r="E141" s="10"/>
      <c r="F141" s="10"/>
    </row>
    <row r="142" spans="1:6" x14ac:dyDescent="0.25">
      <c r="A142" s="9"/>
      <c r="B142" s="9"/>
      <c r="C142" s="9"/>
      <c r="D142" s="9"/>
      <c r="E142" s="9"/>
      <c r="F142" s="9"/>
    </row>
    <row r="143" spans="1:6" x14ac:dyDescent="0.25">
      <c r="A143" s="10"/>
      <c r="B143" s="10"/>
      <c r="C143" s="10"/>
      <c r="D143" s="10"/>
      <c r="E143" s="10"/>
      <c r="F143" s="10"/>
    </row>
    <row r="144" spans="1:6" x14ac:dyDescent="0.25">
      <c r="A144" s="9"/>
      <c r="B144" s="9"/>
      <c r="C144" s="9"/>
      <c r="D144" s="9"/>
      <c r="E144" s="9"/>
      <c r="F144" s="9"/>
    </row>
    <row r="145" spans="1:6" x14ac:dyDescent="0.25">
      <c r="A145" s="10"/>
      <c r="B145" s="10"/>
      <c r="C145" s="10"/>
      <c r="D145" s="10"/>
      <c r="E145" s="10"/>
      <c r="F145" s="10"/>
    </row>
    <row r="146" spans="1:6" x14ac:dyDescent="0.25">
      <c r="A146" s="9"/>
      <c r="B146" s="9"/>
      <c r="C146" s="9"/>
      <c r="D146" s="9"/>
      <c r="E146" s="9"/>
      <c r="F146" s="9"/>
    </row>
    <row r="147" spans="1:6" x14ac:dyDescent="0.25">
      <c r="A147" s="10"/>
      <c r="B147" s="10"/>
      <c r="C147" s="10"/>
      <c r="D147" s="10"/>
      <c r="E147" s="10"/>
      <c r="F147" s="10"/>
    </row>
    <row r="148" spans="1:6" x14ac:dyDescent="0.25">
      <c r="A148" s="9"/>
      <c r="B148" s="9"/>
      <c r="C148" s="9"/>
      <c r="D148" s="9"/>
      <c r="E148" s="9"/>
      <c r="F148" s="9"/>
    </row>
    <row r="149" spans="1:6" x14ac:dyDescent="0.25">
      <c r="A149" s="10"/>
      <c r="B149" s="10"/>
      <c r="C149" s="10"/>
      <c r="D149" s="10"/>
      <c r="E149" s="10"/>
      <c r="F149" s="10"/>
    </row>
    <row r="150" spans="1:6" x14ac:dyDescent="0.25">
      <c r="A150" s="9"/>
      <c r="B150" s="9"/>
      <c r="C150" s="9"/>
      <c r="D150" s="9"/>
      <c r="E150" s="9"/>
      <c r="F150" s="9"/>
    </row>
    <row r="151" spans="1:6" x14ac:dyDescent="0.25">
      <c r="A151" s="10"/>
      <c r="B151" s="10"/>
      <c r="C151" s="10"/>
      <c r="D151" s="10"/>
      <c r="E151" s="10"/>
      <c r="F151" s="10"/>
    </row>
    <row r="152" spans="1:6" x14ac:dyDescent="0.25">
      <c r="A152" s="9"/>
      <c r="B152" s="9"/>
      <c r="C152" s="9"/>
      <c r="D152" s="9"/>
      <c r="E152" s="9"/>
      <c r="F152" s="9"/>
    </row>
    <row r="153" spans="1:6" x14ac:dyDescent="0.25">
      <c r="A153" s="10"/>
      <c r="B153" s="10"/>
      <c r="C153" s="10"/>
      <c r="D153" s="10"/>
      <c r="E153" s="10"/>
      <c r="F153" s="10"/>
    </row>
    <row r="154" spans="1:6" x14ac:dyDescent="0.25">
      <c r="A154" s="9"/>
      <c r="B154" s="9"/>
      <c r="C154" s="9"/>
      <c r="D154" s="9"/>
      <c r="E154" s="9"/>
      <c r="F154" s="9"/>
    </row>
    <row r="155" spans="1:6" x14ac:dyDescent="0.25">
      <c r="A155" s="10"/>
      <c r="B155" s="10"/>
      <c r="C155" s="10"/>
      <c r="D155" s="10"/>
      <c r="E155" s="10"/>
      <c r="F155" s="10"/>
    </row>
    <row r="156" spans="1:6" x14ac:dyDescent="0.25">
      <c r="A156" s="9"/>
      <c r="B156" s="9"/>
      <c r="C156" s="9"/>
      <c r="D156" s="9"/>
      <c r="E156" s="9"/>
      <c r="F156" s="9"/>
    </row>
    <row r="157" spans="1:6" x14ac:dyDescent="0.25">
      <c r="A157" s="10"/>
      <c r="B157" s="10"/>
      <c r="C157" s="10"/>
      <c r="D157" s="10"/>
      <c r="E157" s="10"/>
      <c r="F157" s="10"/>
    </row>
    <row r="158" spans="1:6" x14ac:dyDescent="0.25">
      <c r="A158" s="9"/>
      <c r="B158" s="9"/>
      <c r="C158" s="9"/>
      <c r="D158" s="9"/>
      <c r="E158" s="9"/>
      <c r="F158" s="9"/>
    </row>
    <row r="159" spans="1:6" x14ac:dyDescent="0.25">
      <c r="A159" s="10"/>
      <c r="B159" s="10"/>
      <c r="C159" s="10"/>
      <c r="D159" s="10"/>
      <c r="E159" s="10"/>
      <c r="F159" s="10"/>
    </row>
    <row r="160" spans="1:6" x14ac:dyDescent="0.25">
      <c r="A160" s="9"/>
      <c r="B160" s="9"/>
      <c r="C160" s="9"/>
      <c r="D160" s="9"/>
      <c r="E160" s="9"/>
      <c r="F160" s="9"/>
    </row>
    <row r="161" spans="1:6" x14ac:dyDescent="0.25">
      <c r="A161" s="10"/>
      <c r="B161" s="10"/>
      <c r="C161" s="10"/>
      <c r="D161" s="10"/>
      <c r="E161" s="10"/>
      <c r="F161" s="10"/>
    </row>
    <row r="162" spans="1:6" x14ac:dyDescent="0.25">
      <c r="A162" s="9"/>
      <c r="B162" s="9"/>
      <c r="C162" s="9"/>
      <c r="D162" s="9"/>
      <c r="E162" s="9"/>
      <c r="F162" s="9"/>
    </row>
    <row r="163" spans="1:6" x14ac:dyDescent="0.25">
      <c r="A163" s="10"/>
      <c r="B163" s="10"/>
      <c r="C163" s="10"/>
      <c r="D163" s="10"/>
      <c r="E163" s="10"/>
      <c r="F163" s="10"/>
    </row>
    <row r="164" spans="1:6" x14ac:dyDescent="0.25">
      <c r="A164" s="9"/>
      <c r="B164" s="9"/>
      <c r="C164" s="9"/>
      <c r="D164" s="9"/>
      <c r="E164" s="9"/>
      <c r="F164" s="9"/>
    </row>
    <row r="165" spans="1:6" x14ac:dyDescent="0.25">
      <c r="A165" s="10"/>
      <c r="B165" s="10"/>
      <c r="C165" s="10"/>
      <c r="D165" s="10"/>
      <c r="E165" s="10"/>
      <c r="F165" s="10"/>
    </row>
    <row r="166" spans="1:6" x14ac:dyDescent="0.25">
      <c r="A166" s="9"/>
      <c r="B166" s="9"/>
      <c r="C166" s="9"/>
      <c r="D166" s="9"/>
      <c r="E166" s="9"/>
      <c r="F166" s="9"/>
    </row>
    <row r="167" spans="1:6" x14ac:dyDescent="0.25">
      <c r="A167" s="10"/>
      <c r="B167" s="10"/>
      <c r="C167" s="10"/>
      <c r="D167" s="10"/>
      <c r="E167" s="10"/>
      <c r="F167" s="10"/>
    </row>
    <row r="168" spans="1:6" x14ac:dyDescent="0.25">
      <c r="A168" s="9"/>
      <c r="B168" s="9"/>
      <c r="C168" s="9"/>
      <c r="D168" s="9"/>
      <c r="E168" s="9"/>
      <c r="F168" s="9"/>
    </row>
    <row r="169" spans="1:6" x14ac:dyDescent="0.25">
      <c r="A169" s="10"/>
      <c r="B169" s="10"/>
      <c r="C169" s="10"/>
      <c r="D169" s="10"/>
      <c r="E169" s="10"/>
      <c r="F169" s="10"/>
    </row>
    <row r="170" spans="1:6" x14ac:dyDescent="0.25">
      <c r="A170" s="9"/>
      <c r="B170" s="9"/>
      <c r="C170" s="9"/>
      <c r="D170" s="9"/>
      <c r="E170" s="9"/>
      <c r="F170" s="9"/>
    </row>
    <row r="171" spans="1:6" x14ac:dyDescent="0.25">
      <c r="A171" s="10"/>
      <c r="B171" s="10"/>
      <c r="C171" s="10"/>
      <c r="D171" s="10"/>
      <c r="E171" s="10"/>
      <c r="F171" s="10"/>
    </row>
    <row r="172" spans="1:6" x14ac:dyDescent="0.25">
      <c r="A172" s="9"/>
      <c r="B172" s="9"/>
      <c r="C172" s="9"/>
      <c r="D172" s="9"/>
      <c r="E172" s="9"/>
      <c r="F172" s="9"/>
    </row>
    <row r="173" spans="1:6" x14ac:dyDescent="0.25">
      <c r="A173" s="10"/>
      <c r="B173" s="10"/>
      <c r="C173" s="10"/>
      <c r="D173" s="10"/>
      <c r="E173" s="10"/>
      <c r="F173" s="10"/>
    </row>
    <row r="174" spans="1:6" x14ac:dyDescent="0.25">
      <c r="A174" s="9"/>
      <c r="B174" s="9"/>
      <c r="C174" s="9"/>
      <c r="D174" s="9"/>
      <c r="E174" s="9"/>
      <c r="F174" s="9"/>
    </row>
    <row r="175" spans="1:6" x14ac:dyDescent="0.25">
      <c r="A175" s="10"/>
      <c r="B175" s="10"/>
      <c r="C175" s="10"/>
      <c r="D175" s="10"/>
      <c r="E175" s="10"/>
      <c r="F175" s="10"/>
    </row>
    <row r="176" spans="1:6" x14ac:dyDescent="0.25">
      <c r="A176" s="9"/>
      <c r="B176" s="9"/>
      <c r="C176" s="9"/>
      <c r="D176" s="9"/>
      <c r="E176" s="9"/>
      <c r="F176" s="9"/>
    </row>
    <row r="177" spans="1:6" x14ac:dyDescent="0.25">
      <c r="A177" s="10"/>
      <c r="B177" s="10"/>
      <c r="C177" s="10"/>
      <c r="D177" s="10"/>
      <c r="E177" s="10"/>
      <c r="F177" s="10"/>
    </row>
    <row r="178" spans="1:6" x14ac:dyDescent="0.25">
      <c r="A178" s="9"/>
      <c r="B178" s="9"/>
      <c r="C178" s="9"/>
      <c r="D178" s="9"/>
      <c r="E178" s="9"/>
      <c r="F178" s="9"/>
    </row>
    <row r="179" spans="1:6" x14ac:dyDescent="0.25">
      <c r="A179" s="10"/>
      <c r="B179" s="10"/>
      <c r="C179" s="10"/>
      <c r="D179" s="10"/>
      <c r="E179" s="10"/>
      <c r="F179" s="10"/>
    </row>
    <row r="180" spans="1:6" x14ac:dyDescent="0.25">
      <c r="A180" s="9"/>
      <c r="B180" s="9"/>
      <c r="C180" s="9"/>
      <c r="D180" s="9"/>
      <c r="E180" s="9"/>
      <c r="F180" s="9"/>
    </row>
    <row r="181" spans="1:6" x14ac:dyDescent="0.25">
      <c r="A181" s="10"/>
      <c r="B181" s="10"/>
      <c r="C181" s="10"/>
      <c r="D181" s="10"/>
      <c r="E181" s="10"/>
      <c r="F181" s="10"/>
    </row>
    <row r="182" spans="1:6" x14ac:dyDescent="0.25">
      <c r="A182" s="9"/>
      <c r="B182" s="9"/>
      <c r="C182" s="9"/>
      <c r="D182" s="9"/>
      <c r="E182" s="9"/>
      <c r="F182" s="9"/>
    </row>
    <row r="183" spans="1:6" x14ac:dyDescent="0.25">
      <c r="A183" s="10"/>
      <c r="B183" s="10"/>
      <c r="C183" s="10"/>
      <c r="D183" s="10"/>
      <c r="E183" s="10"/>
      <c r="F183" s="10"/>
    </row>
    <row r="184" spans="1:6" x14ac:dyDescent="0.25">
      <c r="A184" s="9"/>
      <c r="B184" s="9"/>
      <c r="C184" s="9"/>
      <c r="D184" s="9"/>
      <c r="E184" s="9"/>
      <c r="F184" s="9"/>
    </row>
    <row r="185" spans="1:6" x14ac:dyDescent="0.25">
      <c r="A185" s="10"/>
      <c r="B185" s="10"/>
      <c r="C185" s="10"/>
      <c r="D185" s="10"/>
      <c r="E185" s="10"/>
      <c r="F185" s="10"/>
    </row>
    <row r="186" spans="1:6" x14ac:dyDescent="0.25">
      <c r="A186" s="9"/>
      <c r="B186" s="9"/>
      <c r="C186" s="9"/>
      <c r="D186" s="9"/>
      <c r="E186" s="9"/>
      <c r="F186" s="9"/>
    </row>
    <row r="187" spans="1:6" x14ac:dyDescent="0.25">
      <c r="A187" s="10"/>
      <c r="B187" s="10"/>
      <c r="C187" s="10"/>
      <c r="D187" s="10"/>
      <c r="E187" s="10"/>
      <c r="F187" s="10"/>
    </row>
    <row r="188" spans="1:6" x14ac:dyDescent="0.25">
      <c r="A188" s="9"/>
      <c r="B188" s="9"/>
      <c r="C188" s="9"/>
      <c r="D188" s="9"/>
      <c r="E188" s="9"/>
      <c r="F188" s="9"/>
    </row>
    <row r="189" spans="1:6" x14ac:dyDescent="0.25">
      <c r="A189" s="10"/>
      <c r="B189" s="10"/>
      <c r="C189" s="10"/>
      <c r="D189" s="10"/>
      <c r="E189" s="10"/>
      <c r="F189" s="10"/>
    </row>
    <row r="190" spans="1:6" x14ac:dyDescent="0.25">
      <c r="A190" s="9"/>
      <c r="B190" s="9"/>
      <c r="C190" s="9"/>
      <c r="D190" s="9"/>
      <c r="E190" s="9"/>
      <c r="F190" s="9"/>
    </row>
    <row r="191" spans="1:6" x14ac:dyDescent="0.25">
      <c r="A191" s="10"/>
      <c r="B191" s="10"/>
      <c r="C191" s="10"/>
      <c r="D191" s="10"/>
      <c r="E191" s="10"/>
      <c r="F191" s="10"/>
    </row>
    <row r="192" spans="1:6" x14ac:dyDescent="0.25">
      <c r="A192" s="9"/>
      <c r="B192" s="9"/>
      <c r="C192" s="9"/>
      <c r="D192" s="9"/>
      <c r="E192" s="9"/>
      <c r="F192" s="9"/>
    </row>
    <row r="193" spans="1:6" x14ac:dyDescent="0.25">
      <c r="A193" s="10"/>
      <c r="B193" s="10"/>
      <c r="C193" s="10"/>
      <c r="D193" s="10"/>
      <c r="E193" s="10"/>
      <c r="F193" s="10"/>
    </row>
    <row r="194" spans="1:6" x14ac:dyDescent="0.25">
      <c r="A194" s="9"/>
      <c r="B194" s="9"/>
      <c r="C194" s="9"/>
      <c r="D194" s="9"/>
      <c r="E194" s="9"/>
      <c r="F194" s="9"/>
    </row>
    <row r="195" spans="1:6" x14ac:dyDescent="0.25">
      <c r="A195" s="10"/>
      <c r="B195" s="10"/>
      <c r="C195" s="10"/>
      <c r="D195" s="10"/>
      <c r="E195" s="10"/>
      <c r="F195" s="10"/>
    </row>
    <row r="196" spans="1:6" x14ac:dyDescent="0.25">
      <c r="A196" s="9"/>
      <c r="B196" s="9"/>
      <c r="C196" s="9"/>
      <c r="D196" s="9"/>
      <c r="E196" s="9"/>
      <c r="F196" s="9"/>
    </row>
    <row r="197" spans="1:6" x14ac:dyDescent="0.25">
      <c r="A197" s="10"/>
      <c r="B197" s="10"/>
      <c r="C197" s="10"/>
      <c r="D197" s="10"/>
      <c r="E197" s="10"/>
      <c r="F197" s="10"/>
    </row>
    <row r="198" spans="1:6" x14ac:dyDescent="0.25">
      <c r="A198" s="9"/>
      <c r="B198" s="9"/>
      <c r="C198" s="9"/>
      <c r="D198" s="9"/>
      <c r="E198" s="9"/>
      <c r="F198" s="9"/>
    </row>
    <row r="199" spans="1:6" x14ac:dyDescent="0.25">
      <c r="A199" s="10"/>
      <c r="B199" s="10"/>
      <c r="C199" s="10"/>
      <c r="D199" s="10"/>
      <c r="E199" s="10"/>
      <c r="F199" s="10"/>
    </row>
    <row r="200" spans="1:6" x14ac:dyDescent="0.25">
      <c r="A200" s="9"/>
      <c r="B200" s="9"/>
      <c r="C200" s="9"/>
      <c r="D200" s="9"/>
      <c r="E200" s="9"/>
      <c r="F200" s="9"/>
    </row>
    <row r="201" spans="1:6" x14ac:dyDescent="0.25">
      <c r="A201" s="10"/>
      <c r="B201" s="10"/>
      <c r="C201" s="10"/>
      <c r="D201" s="10"/>
      <c r="E201" s="10"/>
      <c r="F201" s="10"/>
    </row>
    <row r="202" spans="1:6" x14ac:dyDescent="0.25">
      <c r="A202" s="9"/>
      <c r="B202" s="9"/>
      <c r="C202" s="9"/>
      <c r="D202" s="9"/>
      <c r="E202" s="9"/>
      <c r="F202" s="9"/>
    </row>
    <row r="203" spans="1:6" x14ac:dyDescent="0.25">
      <c r="A203" s="10"/>
      <c r="B203" s="10"/>
      <c r="C203" s="10"/>
      <c r="D203" s="10"/>
      <c r="E203" s="10"/>
      <c r="F203" s="10"/>
    </row>
    <row r="204" spans="1:6" x14ac:dyDescent="0.25">
      <c r="A204" s="9"/>
      <c r="B204" s="9"/>
      <c r="C204" s="9"/>
      <c r="D204" s="9"/>
      <c r="E204" s="9"/>
      <c r="F204" s="9"/>
    </row>
    <row r="205" spans="1:6" x14ac:dyDescent="0.25">
      <c r="A205" s="10"/>
      <c r="B205" s="10"/>
      <c r="C205" s="10"/>
      <c r="D205" s="10"/>
      <c r="E205" s="10"/>
      <c r="F205" s="10"/>
    </row>
    <row r="206" spans="1:6" x14ac:dyDescent="0.25">
      <c r="A206" s="9"/>
      <c r="B206" s="9"/>
      <c r="C206" s="9"/>
      <c r="D206" s="9"/>
      <c r="E206" s="9"/>
      <c r="F206" s="9"/>
    </row>
    <row r="207" spans="1:6" x14ac:dyDescent="0.25">
      <c r="A207" s="10"/>
      <c r="B207" s="10"/>
      <c r="C207" s="10"/>
      <c r="D207" s="10"/>
      <c r="E207" s="10"/>
      <c r="F207" s="10"/>
    </row>
    <row r="208" spans="1:6" x14ac:dyDescent="0.25">
      <c r="A208" s="9"/>
      <c r="B208" s="9"/>
      <c r="C208" s="9"/>
      <c r="D208" s="9"/>
      <c r="E208" s="9"/>
      <c r="F208" s="9"/>
    </row>
    <row r="209" spans="1:6" x14ac:dyDescent="0.25">
      <c r="A209" s="10"/>
      <c r="B209" s="10"/>
      <c r="C209" s="10"/>
      <c r="D209" s="10"/>
      <c r="E209" s="10"/>
      <c r="F209" s="10"/>
    </row>
    <row r="210" spans="1:6" x14ac:dyDescent="0.25">
      <c r="A210" s="9"/>
      <c r="B210" s="9"/>
      <c r="C210" s="9"/>
      <c r="D210" s="9"/>
      <c r="E210" s="9"/>
      <c r="F210" s="9"/>
    </row>
    <row r="211" spans="1:6" x14ac:dyDescent="0.25">
      <c r="A211" s="10"/>
      <c r="B211" s="10"/>
      <c r="C211" s="10"/>
      <c r="D211" s="10"/>
      <c r="E211" s="10"/>
      <c r="F211" s="10"/>
    </row>
    <row r="212" spans="1:6" x14ac:dyDescent="0.25">
      <c r="A212" s="9"/>
      <c r="B212" s="9"/>
      <c r="C212" s="9"/>
      <c r="D212" s="9"/>
      <c r="E212" s="9"/>
      <c r="F212" s="9"/>
    </row>
    <row r="213" spans="1:6" x14ac:dyDescent="0.25">
      <c r="A213" s="10"/>
      <c r="B213" s="10"/>
      <c r="C213" s="10"/>
      <c r="D213" s="10"/>
      <c r="E213" s="10"/>
      <c r="F213" s="10"/>
    </row>
    <row r="214" spans="1:6" x14ac:dyDescent="0.25">
      <c r="A214" s="9"/>
      <c r="B214" s="9"/>
      <c r="C214" s="9"/>
      <c r="D214" s="9"/>
      <c r="E214" s="9"/>
      <c r="F214" s="9"/>
    </row>
    <row r="215" spans="1:6" x14ac:dyDescent="0.25">
      <c r="A215" s="10"/>
      <c r="B215" s="10"/>
      <c r="C215" s="10"/>
      <c r="D215" s="10"/>
      <c r="E215" s="10"/>
      <c r="F215" s="10"/>
    </row>
    <row r="216" spans="1:6" x14ac:dyDescent="0.25">
      <c r="A216" s="9"/>
      <c r="B216" s="9"/>
      <c r="C216" s="9"/>
      <c r="D216" s="9"/>
      <c r="E216" s="9"/>
      <c r="F216" s="9"/>
    </row>
    <row r="217" spans="1:6" x14ac:dyDescent="0.25">
      <c r="A217" s="10"/>
      <c r="B217" s="10"/>
      <c r="C217" s="10"/>
      <c r="D217" s="10"/>
      <c r="E217" s="10"/>
      <c r="F217" s="10"/>
    </row>
    <row r="218" spans="1:6" x14ac:dyDescent="0.25">
      <c r="A218" s="9"/>
      <c r="B218" s="9"/>
      <c r="C218" s="9"/>
      <c r="D218" s="9"/>
      <c r="E218" s="9"/>
      <c r="F218" s="9"/>
    </row>
    <row r="219" spans="1:6" x14ac:dyDescent="0.25">
      <c r="A219" s="10"/>
      <c r="B219" s="10"/>
      <c r="C219" s="10"/>
      <c r="D219" s="10"/>
      <c r="E219" s="10"/>
      <c r="F219" s="10"/>
    </row>
    <row r="220" spans="1:6" x14ac:dyDescent="0.25">
      <c r="A220" s="9"/>
      <c r="B220" s="9"/>
      <c r="C220" s="9"/>
      <c r="D220" s="9"/>
      <c r="E220" s="9"/>
      <c r="F220" s="9"/>
    </row>
    <row r="221" spans="1:6" x14ac:dyDescent="0.25">
      <c r="A221" s="10"/>
      <c r="B221" s="10"/>
      <c r="C221" s="10"/>
      <c r="D221" s="10"/>
      <c r="E221" s="10"/>
      <c r="F221" s="10"/>
    </row>
    <row r="222" spans="1:6" x14ac:dyDescent="0.25">
      <c r="A222" s="9"/>
      <c r="B222" s="9"/>
      <c r="C222" s="9"/>
      <c r="D222" s="9"/>
      <c r="E222" s="9"/>
      <c r="F222" s="9"/>
    </row>
    <row r="223" spans="1:6" x14ac:dyDescent="0.25">
      <c r="A223" s="10"/>
      <c r="B223" s="10"/>
      <c r="C223" s="10"/>
      <c r="D223" s="10"/>
      <c r="E223" s="10"/>
      <c r="F223" s="10"/>
    </row>
    <row r="224" spans="1:6" x14ac:dyDescent="0.25">
      <c r="A224" s="9"/>
      <c r="B224" s="9"/>
      <c r="C224" s="9"/>
      <c r="D224" s="9"/>
      <c r="E224" s="9"/>
      <c r="F224" s="9"/>
    </row>
    <row r="225" spans="1:6" x14ac:dyDescent="0.25">
      <c r="A225" s="10"/>
      <c r="B225" s="10"/>
      <c r="C225" s="10"/>
      <c r="D225" s="10"/>
      <c r="E225" s="10"/>
      <c r="F225" s="10"/>
    </row>
    <row r="226" spans="1:6" x14ac:dyDescent="0.25">
      <c r="A226" s="9"/>
      <c r="B226" s="9"/>
      <c r="C226" s="9"/>
      <c r="D226" s="9"/>
      <c r="E226" s="9"/>
      <c r="F226" s="9"/>
    </row>
    <row r="227" spans="1:6" x14ac:dyDescent="0.25">
      <c r="A227" s="10"/>
      <c r="B227" s="10"/>
      <c r="C227" s="10"/>
      <c r="D227" s="10"/>
      <c r="E227" s="10"/>
      <c r="F227" s="10"/>
    </row>
    <row r="228" spans="1:6" x14ac:dyDescent="0.25">
      <c r="A228" s="9"/>
      <c r="B228" s="9"/>
      <c r="C228" s="9"/>
      <c r="D228" s="9"/>
      <c r="E228" s="9"/>
      <c r="F228" s="9"/>
    </row>
    <row r="229" spans="1:6" x14ac:dyDescent="0.25">
      <c r="A229" s="10"/>
      <c r="B229" s="10"/>
      <c r="C229" s="10"/>
      <c r="D229" s="10"/>
      <c r="E229" s="10"/>
      <c r="F229" s="10"/>
    </row>
    <row r="230" spans="1:6" x14ac:dyDescent="0.25">
      <c r="A230" s="9"/>
      <c r="B230" s="9"/>
      <c r="C230" s="9"/>
      <c r="D230" s="9"/>
      <c r="E230" s="9"/>
      <c r="F230" s="9"/>
    </row>
    <row r="231" spans="1:6" x14ac:dyDescent="0.25">
      <c r="A231" s="10"/>
      <c r="B231" s="10"/>
      <c r="C231" s="10"/>
      <c r="D231" s="10"/>
      <c r="E231" s="10"/>
      <c r="F231" s="10"/>
    </row>
    <row r="232" spans="1:6" x14ac:dyDescent="0.25">
      <c r="A232" s="9"/>
      <c r="B232" s="9"/>
      <c r="C232" s="9"/>
      <c r="D232" s="9"/>
      <c r="E232" s="9"/>
      <c r="F232" s="9"/>
    </row>
    <row r="233" spans="1:6" x14ac:dyDescent="0.25">
      <c r="A233" s="10"/>
      <c r="B233" s="10"/>
      <c r="C233" s="10"/>
      <c r="D233" s="10"/>
      <c r="E233" s="10"/>
      <c r="F233" s="10"/>
    </row>
    <row r="234" spans="1:6" x14ac:dyDescent="0.25">
      <c r="A234" s="9"/>
      <c r="B234" s="9"/>
      <c r="C234" s="9"/>
      <c r="D234" s="9"/>
      <c r="E234" s="9"/>
      <c r="F234" s="9"/>
    </row>
    <row r="235" spans="1:6" x14ac:dyDescent="0.25">
      <c r="A235" s="10"/>
      <c r="B235" s="10"/>
      <c r="C235" s="10"/>
      <c r="D235" s="10"/>
      <c r="E235" s="10"/>
      <c r="F235" s="10"/>
    </row>
    <row r="236" spans="1:6" x14ac:dyDescent="0.25">
      <c r="A236" s="9"/>
      <c r="B236" s="9"/>
      <c r="C236" s="9"/>
      <c r="D236" s="9"/>
      <c r="E236" s="9"/>
      <c r="F236" s="9"/>
    </row>
    <row r="237" spans="1:6" x14ac:dyDescent="0.25">
      <c r="A237" s="10"/>
      <c r="B237" s="10"/>
      <c r="C237" s="10"/>
      <c r="D237" s="10"/>
      <c r="E237" s="10"/>
      <c r="F237" s="10"/>
    </row>
    <row r="238" spans="1:6" x14ac:dyDescent="0.25">
      <c r="A238" s="9"/>
      <c r="B238" s="9"/>
      <c r="C238" s="9"/>
      <c r="D238" s="9"/>
      <c r="E238" s="9"/>
      <c r="F238" s="9"/>
    </row>
    <row r="239" spans="1:6" x14ac:dyDescent="0.25">
      <c r="A239" s="10"/>
      <c r="B239" s="10"/>
      <c r="C239" s="10"/>
      <c r="D239" s="10"/>
      <c r="E239" s="10"/>
      <c r="F239" s="10"/>
    </row>
    <row r="240" spans="1:6" x14ac:dyDescent="0.25">
      <c r="A240" s="9"/>
      <c r="B240" s="9"/>
      <c r="C240" s="9"/>
      <c r="D240" s="9"/>
      <c r="E240" s="9"/>
      <c r="F240" s="9"/>
    </row>
    <row r="241" spans="1:6" x14ac:dyDescent="0.25">
      <c r="A241" s="10"/>
      <c r="B241" s="10"/>
      <c r="C241" s="10"/>
      <c r="D241" s="10"/>
      <c r="E241" s="10"/>
      <c r="F241" s="10"/>
    </row>
    <row r="242" spans="1:6" x14ac:dyDescent="0.25">
      <c r="A242" s="9"/>
      <c r="B242" s="9"/>
      <c r="C242" s="9"/>
      <c r="D242" s="9"/>
      <c r="E242" s="9"/>
      <c r="F242" s="9"/>
    </row>
    <row r="243" spans="1:6" x14ac:dyDescent="0.25">
      <c r="A243" s="10"/>
      <c r="B243" s="10"/>
      <c r="C243" s="10"/>
      <c r="D243" s="10"/>
      <c r="E243" s="10"/>
      <c r="F243" s="10"/>
    </row>
    <row r="244" spans="1:6" x14ac:dyDescent="0.25">
      <c r="A244" s="9"/>
      <c r="B244" s="9"/>
      <c r="C244" s="9"/>
      <c r="D244" s="9"/>
      <c r="E244" s="9"/>
      <c r="F244" s="9"/>
    </row>
    <row r="245" spans="1:6" x14ac:dyDescent="0.25">
      <c r="A245" s="10"/>
      <c r="B245" s="10"/>
      <c r="C245" s="10"/>
      <c r="D245" s="10"/>
      <c r="E245" s="10"/>
      <c r="F245" s="10"/>
    </row>
    <row r="246" spans="1:6" x14ac:dyDescent="0.25">
      <c r="A246" s="9"/>
      <c r="B246" s="9"/>
      <c r="C246" s="9"/>
      <c r="D246" s="9"/>
      <c r="E246" s="9"/>
      <c r="F246" s="9"/>
    </row>
    <row r="247" spans="1:6" x14ac:dyDescent="0.25">
      <c r="A247" s="10"/>
      <c r="B247" s="10"/>
      <c r="C247" s="10"/>
      <c r="D247" s="10"/>
      <c r="E247" s="10"/>
      <c r="F247" s="10"/>
    </row>
    <row r="248" spans="1:6" x14ac:dyDescent="0.25">
      <c r="A248" s="9"/>
      <c r="B248" s="9"/>
      <c r="C248" s="9"/>
      <c r="D248" s="9"/>
      <c r="E248" s="9"/>
      <c r="F248" s="9"/>
    </row>
    <row r="249" spans="1:6" x14ac:dyDescent="0.25">
      <c r="A249" s="10"/>
      <c r="B249" s="10"/>
      <c r="C249" s="10"/>
      <c r="D249" s="10"/>
      <c r="E249" s="10"/>
      <c r="F249" s="10"/>
    </row>
    <row r="250" spans="1:6" x14ac:dyDescent="0.25">
      <c r="A250" s="9"/>
      <c r="B250" s="9"/>
      <c r="C250" s="9"/>
      <c r="D250" s="9"/>
      <c r="E250" s="9"/>
      <c r="F250" s="9"/>
    </row>
    <row r="251" spans="1:6" x14ac:dyDescent="0.25">
      <c r="A251" s="10"/>
      <c r="B251" s="10"/>
      <c r="C251" s="10"/>
      <c r="D251" s="10"/>
      <c r="E251" s="10"/>
      <c r="F251" s="10"/>
    </row>
    <row r="252" spans="1:6" x14ac:dyDescent="0.25">
      <c r="A252" s="9"/>
      <c r="B252" s="9"/>
      <c r="C252" s="9"/>
      <c r="D252" s="9"/>
      <c r="E252" s="9"/>
      <c r="F252" s="9"/>
    </row>
    <row r="253" spans="1:6" x14ac:dyDescent="0.25">
      <c r="A253" s="10"/>
      <c r="B253" s="10"/>
      <c r="C253" s="10"/>
      <c r="D253" s="10"/>
      <c r="E253" s="10"/>
      <c r="F253" s="10"/>
    </row>
    <row r="254" spans="1:6" x14ac:dyDescent="0.25">
      <c r="A254" s="9"/>
      <c r="B254" s="9"/>
      <c r="C254" s="9"/>
      <c r="D254" s="9"/>
      <c r="E254" s="9"/>
      <c r="F254" s="9"/>
    </row>
    <row r="255" spans="1:6" x14ac:dyDescent="0.25">
      <c r="A255" s="10"/>
      <c r="B255" s="10"/>
      <c r="C255" s="10"/>
      <c r="D255" s="10"/>
      <c r="E255" s="10"/>
      <c r="F255" s="10"/>
    </row>
    <row r="256" spans="1:6" x14ac:dyDescent="0.25">
      <c r="A256" s="9"/>
      <c r="B256" s="9"/>
      <c r="C256" s="9"/>
      <c r="D256" s="9"/>
      <c r="E256" s="9"/>
      <c r="F256" s="9"/>
    </row>
    <row r="257" spans="1:6" x14ac:dyDescent="0.25">
      <c r="A257" s="10"/>
      <c r="B257" s="10"/>
      <c r="C257" s="10"/>
      <c r="D257" s="10"/>
      <c r="E257" s="10"/>
      <c r="F257" s="10"/>
    </row>
    <row r="258" spans="1:6" x14ac:dyDescent="0.25">
      <c r="A258" s="9"/>
      <c r="B258" s="9"/>
      <c r="C258" s="9"/>
      <c r="D258" s="9"/>
      <c r="E258" s="9"/>
      <c r="F258" s="9"/>
    </row>
    <row r="259" spans="1:6" x14ac:dyDescent="0.25">
      <c r="A259" s="10"/>
      <c r="B259" s="10"/>
      <c r="C259" s="10"/>
      <c r="D259" s="10"/>
      <c r="E259" s="10"/>
      <c r="F259" s="10"/>
    </row>
    <row r="260" spans="1:6" x14ac:dyDescent="0.25">
      <c r="A260" s="9"/>
      <c r="B260" s="9"/>
      <c r="C260" s="9"/>
      <c r="D260" s="9"/>
      <c r="E260" s="9"/>
      <c r="F260" s="9"/>
    </row>
    <row r="261" spans="1:6" x14ac:dyDescent="0.25">
      <c r="A261" s="10"/>
      <c r="B261" s="10"/>
      <c r="C261" s="10"/>
      <c r="D261" s="10"/>
      <c r="E261" s="10"/>
      <c r="F261" s="10"/>
    </row>
    <row r="262" spans="1:6" x14ac:dyDescent="0.25">
      <c r="A262" s="9"/>
      <c r="B262" s="9"/>
      <c r="C262" s="9"/>
      <c r="D262" s="9"/>
      <c r="E262" s="9"/>
      <c r="F262" s="9"/>
    </row>
    <row r="263" spans="1:6" x14ac:dyDescent="0.25">
      <c r="A263" s="10"/>
      <c r="B263" s="10"/>
      <c r="C263" s="10"/>
      <c r="D263" s="10"/>
      <c r="E263" s="10"/>
      <c r="F263" s="10"/>
    </row>
    <row r="264" spans="1:6" x14ac:dyDescent="0.25">
      <c r="A264" s="9"/>
      <c r="B264" s="9"/>
      <c r="C264" s="9"/>
      <c r="D264" s="9"/>
      <c r="E264" s="9"/>
      <c r="F264" s="9"/>
    </row>
    <row r="265" spans="1:6" x14ac:dyDescent="0.25">
      <c r="A265" s="10"/>
      <c r="B265" s="10"/>
      <c r="C265" s="10"/>
      <c r="D265" s="10"/>
      <c r="E265" s="10"/>
      <c r="F265" s="10"/>
    </row>
    <row r="266" spans="1:6" x14ac:dyDescent="0.25">
      <c r="A266" s="9"/>
      <c r="B266" s="9"/>
      <c r="C266" s="9"/>
      <c r="D266" s="9"/>
      <c r="E266" s="9"/>
      <c r="F266" s="9"/>
    </row>
    <row r="267" spans="1:6" x14ac:dyDescent="0.25">
      <c r="A267" s="10"/>
      <c r="B267" s="10"/>
      <c r="C267" s="10"/>
      <c r="D267" s="10"/>
      <c r="E267" s="10"/>
      <c r="F267" s="10"/>
    </row>
    <row r="268" spans="1:6" x14ac:dyDescent="0.25">
      <c r="A268" s="9"/>
      <c r="B268" s="9"/>
      <c r="C268" s="9"/>
      <c r="D268" s="9"/>
      <c r="E268" s="9"/>
      <c r="F268" s="9"/>
    </row>
    <row r="269" spans="1:6" x14ac:dyDescent="0.25">
      <c r="A269" s="10"/>
      <c r="B269" s="10"/>
      <c r="C269" s="10"/>
      <c r="D269" s="10"/>
      <c r="E269" s="10"/>
      <c r="F269" s="10"/>
    </row>
    <row r="270" spans="1:6" x14ac:dyDescent="0.25">
      <c r="A270" s="9"/>
      <c r="B270" s="9"/>
      <c r="C270" s="9"/>
      <c r="D270" s="9"/>
      <c r="E270" s="9"/>
      <c r="F270" s="9"/>
    </row>
    <row r="271" spans="1:6" x14ac:dyDescent="0.25">
      <c r="A271" s="10"/>
      <c r="B271" s="10"/>
      <c r="C271" s="10"/>
      <c r="D271" s="10"/>
      <c r="E271" s="10"/>
      <c r="F271" s="10"/>
    </row>
    <row r="272" spans="1:6" x14ac:dyDescent="0.25">
      <c r="A272" s="9"/>
      <c r="B272" s="9"/>
      <c r="C272" s="9"/>
      <c r="D272" s="9"/>
      <c r="E272" s="9"/>
      <c r="F272" s="9"/>
    </row>
    <row r="273" spans="1:6" x14ac:dyDescent="0.25">
      <c r="A273" s="10"/>
      <c r="B273" s="10"/>
      <c r="C273" s="10"/>
      <c r="D273" s="10"/>
      <c r="E273" s="10"/>
      <c r="F273" s="10"/>
    </row>
    <row r="274" spans="1:6" x14ac:dyDescent="0.25">
      <c r="A274" s="9"/>
      <c r="B274" s="9"/>
      <c r="C274" s="9"/>
      <c r="D274" s="9"/>
      <c r="E274" s="9"/>
      <c r="F274" s="9"/>
    </row>
    <row r="275" spans="1:6" x14ac:dyDescent="0.25">
      <c r="A275" s="10"/>
      <c r="B275" s="10"/>
      <c r="C275" s="10"/>
      <c r="D275" s="10"/>
      <c r="E275" s="10"/>
      <c r="F275" s="10"/>
    </row>
    <row r="276" spans="1:6" x14ac:dyDescent="0.25">
      <c r="A276" s="9"/>
      <c r="B276" s="9"/>
      <c r="C276" s="9"/>
      <c r="D276" s="9"/>
      <c r="E276" s="9"/>
      <c r="F276" s="9"/>
    </row>
    <row r="277" spans="1:6" x14ac:dyDescent="0.25">
      <c r="A277" s="10"/>
      <c r="B277" s="10"/>
      <c r="C277" s="10"/>
      <c r="D277" s="10"/>
      <c r="E277" s="10"/>
      <c r="F277" s="10"/>
    </row>
    <row r="278" spans="1:6" x14ac:dyDescent="0.25">
      <c r="A278" s="9"/>
      <c r="B278" s="9"/>
      <c r="C278" s="9"/>
      <c r="D278" s="9"/>
      <c r="E278" s="9"/>
      <c r="F278" s="9"/>
    </row>
    <row r="279" spans="1:6" x14ac:dyDescent="0.25">
      <c r="A279" s="10"/>
      <c r="B279" s="10"/>
      <c r="C279" s="10"/>
      <c r="D279" s="10"/>
      <c r="E279" s="10"/>
      <c r="F279" s="10"/>
    </row>
    <row r="280" spans="1:6" x14ac:dyDescent="0.25">
      <c r="A280" s="9"/>
      <c r="B280" s="9"/>
      <c r="C280" s="9"/>
      <c r="D280" s="9"/>
      <c r="E280" s="9"/>
      <c r="F280" s="9"/>
    </row>
    <row r="281" spans="1:6" x14ac:dyDescent="0.25">
      <c r="A281" s="10"/>
      <c r="B281" s="10"/>
      <c r="C281" s="10"/>
      <c r="D281" s="10"/>
      <c r="E281" s="10"/>
      <c r="F281" s="10"/>
    </row>
    <row r="282" spans="1:6" x14ac:dyDescent="0.25">
      <c r="A282" s="9"/>
      <c r="B282" s="9"/>
      <c r="C282" s="9"/>
      <c r="D282" s="9"/>
      <c r="E282" s="9"/>
      <c r="F282" s="9"/>
    </row>
    <row r="283" spans="1:6" x14ac:dyDescent="0.25">
      <c r="A283" s="10"/>
      <c r="B283" s="10"/>
      <c r="C283" s="10"/>
      <c r="D283" s="10"/>
      <c r="E283" s="10"/>
      <c r="F283" s="10"/>
    </row>
    <row r="284" spans="1:6" x14ac:dyDescent="0.25">
      <c r="A284" s="9"/>
      <c r="B284" s="9"/>
      <c r="C284" s="9"/>
      <c r="D284" s="9"/>
      <c r="E284" s="9"/>
      <c r="F284" s="9"/>
    </row>
    <row r="285" spans="1:6" x14ac:dyDescent="0.25">
      <c r="A285" s="10"/>
      <c r="B285" s="10"/>
      <c r="C285" s="10"/>
      <c r="D285" s="10"/>
      <c r="E285" s="10"/>
      <c r="F285" s="10"/>
    </row>
    <row r="286" spans="1:6" x14ac:dyDescent="0.25">
      <c r="A286" s="9"/>
      <c r="B286" s="9"/>
      <c r="C286" s="9"/>
      <c r="D286" s="9"/>
      <c r="E286" s="9"/>
      <c r="F286" s="9"/>
    </row>
    <row r="287" spans="1:6" x14ac:dyDescent="0.25">
      <c r="A287" s="10"/>
      <c r="B287" s="10"/>
      <c r="C287" s="10"/>
      <c r="D287" s="10"/>
      <c r="E287" s="10"/>
      <c r="F287" s="10"/>
    </row>
    <row r="288" spans="1:6" x14ac:dyDescent="0.25">
      <c r="A288" s="9"/>
      <c r="B288" s="9"/>
      <c r="C288" s="9"/>
      <c r="D288" s="9"/>
      <c r="E288" s="9"/>
      <c r="F288" s="9"/>
    </row>
    <row r="289" spans="1:6" x14ac:dyDescent="0.25">
      <c r="A289" s="10"/>
      <c r="B289" s="10"/>
      <c r="C289" s="10"/>
      <c r="D289" s="10"/>
      <c r="E289" s="10"/>
      <c r="F289" s="10"/>
    </row>
    <row r="290" spans="1:6" x14ac:dyDescent="0.25">
      <c r="A290" s="9"/>
      <c r="B290" s="9"/>
      <c r="C290" s="9"/>
      <c r="D290" s="9"/>
      <c r="E290" s="9"/>
      <c r="F290" s="9"/>
    </row>
    <row r="291" spans="1:6" x14ac:dyDescent="0.25">
      <c r="A291" s="10"/>
      <c r="B291" s="10"/>
      <c r="C291" s="10"/>
      <c r="D291" s="10"/>
      <c r="E291" s="10"/>
      <c r="F291" s="10"/>
    </row>
    <row r="292" spans="1:6" x14ac:dyDescent="0.25">
      <c r="A292" s="9"/>
      <c r="B292" s="9"/>
      <c r="C292" s="9"/>
      <c r="D292" s="9"/>
      <c r="E292" s="9"/>
      <c r="F292" s="9"/>
    </row>
    <row r="293" spans="1:6" x14ac:dyDescent="0.25">
      <c r="A293" s="10"/>
      <c r="B293" s="10"/>
      <c r="C293" s="10"/>
      <c r="D293" s="10"/>
      <c r="E293" s="10"/>
      <c r="F293" s="10"/>
    </row>
    <row r="294" spans="1:6" x14ac:dyDescent="0.25">
      <c r="A294" s="9"/>
      <c r="B294" s="9"/>
      <c r="C294" s="9"/>
      <c r="D294" s="9"/>
      <c r="E294" s="9"/>
      <c r="F294" s="9"/>
    </row>
    <row r="295" spans="1:6" x14ac:dyDescent="0.25">
      <c r="A295" s="10"/>
      <c r="B295" s="10"/>
      <c r="C295" s="10"/>
      <c r="D295" s="10"/>
      <c r="E295" s="10"/>
      <c r="F295" s="10"/>
    </row>
    <row r="296" spans="1:6" x14ac:dyDescent="0.25">
      <c r="A296" s="9"/>
      <c r="B296" s="9"/>
      <c r="C296" s="9"/>
      <c r="D296" s="9"/>
      <c r="E296" s="9"/>
      <c r="F296" s="9"/>
    </row>
    <row r="297" spans="1:6" x14ac:dyDescent="0.25">
      <c r="A297" s="10"/>
      <c r="B297" s="10"/>
      <c r="C297" s="10"/>
      <c r="D297" s="10"/>
      <c r="E297" s="10"/>
      <c r="F297" s="10"/>
    </row>
    <row r="298" spans="1:6" x14ac:dyDescent="0.25">
      <c r="A298" s="9"/>
      <c r="B298" s="9"/>
      <c r="C298" s="9"/>
      <c r="D298" s="9"/>
      <c r="E298" s="9"/>
      <c r="F298" s="9"/>
    </row>
    <row r="299" spans="1:6" x14ac:dyDescent="0.25">
      <c r="A299" s="10"/>
      <c r="B299" s="10"/>
      <c r="C299" s="10"/>
      <c r="D299" s="10"/>
      <c r="E299" s="10"/>
      <c r="F299" s="10"/>
    </row>
    <row r="300" spans="1:6" x14ac:dyDescent="0.25">
      <c r="A300" s="9"/>
      <c r="B300" s="9"/>
      <c r="C300" s="9"/>
      <c r="D300" s="9"/>
      <c r="E300" s="9"/>
      <c r="F300" s="9"/>
    </row>
    <row r="301" spans="1:6" x14ac:dyDescent="0.25">
      <c r="A301" s="10"/>
      <c r="B301" s="10"/>
      <c r="C301" s="10"/>
      <c r="D301" s="10"/>
      <c r="E301" s="10"/>
      <c r="F301" s="10"/>
    </row>
    <row r="302" spans="1:6" x14ac:dyDescent="0.25">
      <c r="A302" s="9"/>
      <c r="B302" s="9"/>
      <c r="C302" s="9"/>
      <c r="D302" s="9"/>
      <c r="E302" s="9"/>
      <c r="F302" s="9"/>
    </row>
    <row r="303" spans="1:6" x14ac:dyDescent="0.25">
      <c r="A303" s="10"/>
      <c r="B303" s="10"/>
      <c r="C303" s="10"/>
      <c r="D303" s="10"/>
      <c r="E303" s="10"/>
      <c r="F303" s="10"/>
    </row>
    <row r="304" spans="1:6" x14ac:dyDescent="0.25">
      <c r="A304" s="9"/>
      <c r="B304" s="9"/>
      <c r="C304" s="9"/>
      <c r="D304" s="9"/>
      <c r="E304" s="9"/>
      <c r="F304" s="9"/>
    </row>
    <row r="305" spans="1:6" x14ac:dyDescent="0.25">
      <c r="A305" s="10"/>
      <c r="B305" s="10"/>
      <c r="C305" s="10"/>
      <c r="D305" s="10"/>
      <c r="E305" s="10"/>
      <c r="F305" s="10"/>
    </row>
    <row r="306" spans="1:6" x14ac:dyDescent="0.25">
      <c r="A306" s="9"/>
      <c r="B306" s="9"/>
      <c r="C306" s="9"/>
      <c r="D306" s="9"/>
      <c r="E306" s="9"/>
      <c r="F306" s="9"/>
    </row>
    <row r="307" spans="1:6" x14ac:dyDescent="0.25">
      <c r="A307" s="10"/>
      <c r="B307" s="10"/>
      <c r="C307" s="10"/>
      <c r="D307" s="10"/>
      <c r="E307" s="10"/>
      <c r="F307" s="10"/>
    </row>
    <row r="308" spans="1:6" x14ac:dyDescent="0.25">
      <c r="A308" s="9"/>
      <c r="B308" s="9"/>
      <c r="C308" s="9"/>
      <c r="D308" s="9"/>
      <c r="E308" s="9"/>
      <c r="F308" s="9"/>
    </row>
    <row r="309" spans="1:6" x14ac:dyDescent="0.25">
      <c r="A309" s="10"/>
      <c r="B309" s="10"/>
      <c r="C309" s="10"/>
      <c r="D309" s="10"/>
      <c r="E309" s="10"/>
      <c r="F309" s="10"/>
    </row>
    <row r="310" spans="1:6" x14ac:dyDescent="0.25">
      <c r="A310" s="9"/>
      <c r="B310" s="9"/>
      <c r="C310" s="9"/>
      <c r="D310" s="9"/>
      <c r="E310" s="9"/>
      <c r="F310" s="9"/>
    </row>
    <row r="311" spans="1:6" x14ac:dyDescent="0.25">
      <c r="A311" s="10"/>
      <c r="B311" s="10"/>
      <c r="C311" s="10"/>
      <c r="D311" s="10"/>
      <c r="E311" s="10"/>
      <c r="F311" s="10"/>
    </row>
    <row r="312" spans="1:6" x14ac:dyDescent="0.25">
      <c r="A312" s="9"/>
      <c r="B312" s="9"/>
      <c r="C312" s="9"/>
      <c r="D312" s="9"/>
      <c r="E312" s="9"/>
      <c r="F312" s="9"/>
    </row>
    <row r="313" spans="1:6" x14ac:dyDescent="0.25">
      <c r="A313" s="10"/>
      <c r="B313" s="10"/>
      <c r="C313" s="10"/>
      <c r="D313" s="10"/>
      <c r="E313" s="10"/>
      <c r="F313" s="10"/>
    </row>
    <row r="314" spans="1:6" x14ac:dyDescent="0.25">
      <c r="A314" s="9"/>
      <c r="B314" s="9"/>
      <c r="C314" s="9"/>
      <c r="D314" s="9"/>
      <c r="E314" s="9"/>
      <c r="F314" s="9"/>
    </row>
    <row r="315" spans="1:6" x14ac:dyDescent="0.25">
      <c r="A315" s="10"/>
      <c r="B315" s="10"/>
      <c r="C315" s="10"/>
      <c r="D315" s="10"/>
      <c r="E315" s="10"/>
      <c r="F315" s="10"/>
    </row>
    <row r="316" spans="1:6" x14ac:dyDescent="0.25">
      <c r="A316" s="9"/>
      <c r="B316" s="9"/>
      <c r="C316" s="9"/>
      <c r="D316" s="9"/>
      <c r="E316" s="9"/>
      <c r="F316" s="9"/>
    </row>
    <row r="317" spans="1:6" x14ac:dyDescent="0.25">
      <c r="A317" s="10"/>
      <c r="B317" s="10"/>
      <c r="C317" s="10"/>
      <c r="D317" s="10"/>
      <c r="E317" s="10"/>
      <c r="F317" s="10"/>
    </row>
    <row r="318" spans="1:6" x14ac:dyDescent="0.25">
      <c r="A318" s="9"/>
      <c r="B318" s="9"/>
      <c r="C318" s="9"/>
      <c r="D318" s="9"/>
      <c r="E318" s="9"/>
      <c r="F318" s="9"/>
    </row>
    <row r="319" spans="1:6" x14ac:dyDescent="0.25">
      <c r="A319" s="10"/>
      <c r="B319" s="10"/>
      <c r="C319" s="10"/>
      <c r="D319" s="10"/>
      <c r="E319" s="10"/>
      <c r="F319" s="10"/>
    </row>
    <row r="320" spans="1:6" x14ac:dyDescent="0.25">
      <c r="A320" s="9"/>
      <c r="B320" s="9"/>
      <c r="C320" s="9"/>
      <c r="D320" s="9"/>
      <c r="E320" s="9"/>
      <c r="F320" s="9"/>
    </row>
    <row r="321" spans="1:6" x14ac:dyDescent="0.25">
      <c r="A321" s="10"/>
      <c r="B321" s="10"/>
      <c r="C321" s="10"/>
      <c r="D321" s="10"/>
      <c r="E321" s="10"/>
      <c r="F321" s="10"/>
    </row>
    <row r="322" spans="1:6" x14ac:dyDescent="0.25">
      <c r="A322" s="9"/>
      <c r="B322" s="9"/>
      <c r="C322" s="9"/>
      <c r="D322" s="9"/>
      <c r="E322" s="9"/>
      <c r="F322" s="9"/>
    </row>
    <row r="323" spans="1:6" x14ac:dyDescent="0.25">
      <c r="A323" s="10"/>
      <c r="B323" s="10"/>
      <c r="C323" s="10"/>
      <c r="D323" s="10"/>
      <c r="E323" s="10"/>
      <c r="F323" s="10"/>
    </row>
    <row r="324" spans="1:6" x14ac:dyDescent="0.25">
      <c r="A324" s="9"/>
      <c r="B324" s="9"/>
      <c r="C324" s="9"/>
      <c r="D324" s="9"/>
      <c r="E324" s="9"/>
      <c r="F324" s="9"/>
    </row>
    <row r="325" spans="1:6" x14ac:dyDescent="0.25">
      <c r="A325" s="10"/>
      <c r="B325" s="10"/>
      <c r="C325" s="10"/>
      <c r="D325" s="10"/>
      <c r="E325" s="10"/>
      <c r="F325" s="10"/>
    </row>
    <row r="326" spans="1:6" x14ac:dyDescent="0.25">
      <c r="A326" s="9"/>
      <c r="B326" s="9"/>
      <c r="C326" s="9"/>
      <c r="D326" s="9"/>
      <c r="E326" s="9"/>
      <c r="F326" s="9"/>
    </row>
    <row r="327" spans="1:6" x14ac:dyDescent="0.25">
      <c r="A327" s="10"/>
      <c r="B327" s="10"/>
      <c r="C327" s="10"/>
      <c r="D327" s="10"/>
      <c r="E327" s="10"/>
      <c r="F327" s="10"/>
    </row>
    <row r="328" spans="1:6" x14ac:dyDescent="0.25">
      <c r="A328" s="9"/>
      <c r="B328" s="9"/>
      <c r="C328" s="9"/>
      <c r="D328" s="9"/>
      <c r="E328" s="9"/>
      <c r="F328" s="9"/>
    </row>
    <row r="329" spans="1:6" x14ac:dyDescent="0.25">
      <c r="A329" s="10"/>
      <c r="B329" s="10"/>
      <c r="C329" s="10"/>
      <c r="D329" s="10"/>
      <c r="E329" s="10"/>
      <c r="F329" s="10"/>
    </row>
    <row r="330" spans="1:6" x14ac:dyDescent="0.25">
      <c r="A330" s="9"/>
      <c r="B330" s="9"/>
      <c r="C330" s="9"/>
      <c r="D330" s="9"/>
      <c r="E330" s="9"/>
      <c r="F330" s="9"/>
    </row>
    <row r="331" spans="1:6" x14ac:dyDescent="0.25">
      <c r="A331" s="10"/>
      <c r="B331" s="10"/>
      <c r="C331" s="10"/>
      <c r="D331" s="10"/>
      <c r="E331" s="10"/>
      <c r="F331" s="10"/>
    </row>
    <row r="332" spans="1:6" x14ac:dyDescent="0.25">
      <c r="A332" s="9"/>
      <c r="B332" s="9"/>
      <c r="C332" s="9"/>
      <c r="D332" s="9"/>
      <c r="E332" s="9"/>
      <c r="F332" s="9"/>
    </row>
    <row r="333" spans="1:6" x14ac:dyDescent="0.25">
      <c r="A333" s="10"/>
      <c r="B333" s="10"/>
      <c r="C333" s="10"/>
      <c r="D333" s="10"/>
      <c r="E333" s="10"/>
      <c r="F333" s="10"/>
    </row>
    <row r="334" spans="1:6" x14ac:dyDescent="0.25">
      <c r="A334" s="9"/>
      <c r="B334" s="9"/>
      <c r="C334" s="9"/>
      <c r="D334" s="9"/>
      <c r="E334" s="9"/>
      <c r="F334" s="9"/>
    </row>
    <row r="335" spans="1:6" x14ac:dyDescent="0.25">
      <c r="A335" s="10"/>
      <c r="B335" s="10"/>
      <c r="C335" s="10"/>
      <c r="D335" s="10"/>
      <c r="E335" s="10"/>
      <c r="F335" s="10"/>
    </row>
    <row r="336" spans="1:6" x14ac:dyDescent="0.25">
      <c r="A336" s="9"/>
      <c r="B336" s="9"/>
      <c r="C336" s="9"/>
      <c r="D336" s="9"/>
      <c r="E336" s="9"/>
      <c r="F336" s="9"/>
    </row>
    <row r="337" spans="1:6" x14ac:dyDescent="0.25">
      <c r="A337" s="10"/>
      <c r="B337" s="10"/>
      <c r="C337" s="10"/>
      <c r="D337" s="10"/>
      <c r="E337" s="10"/>
      <c r="F337" s="10"/>
    </row>
    <row r="338" spans="1:6" x14ac:dyDescent="0.25">
      <c r="A338" s="9"/>
      <c r="B338" s="9"/>
      <c r="C338" s="9"/>
      <c r="D338" s="9"/>
      <c r="E338" s="9"/>
      <c r="F338" s="9"/>
    </row>
    <row r="339" spans="1:6" x14ac:dyDescent="0.25">
      <c r="A339" s="10"/>
      <c r="B339" s="10"/>
      <c r="C339" s="10"/>
      <c r="D339" s="10"/>
      <c r="E339" s="10"/>
      <c r="F339" s="10"/>
    </row>
    <row r="340" spans="1:6" x14ac:dyDescent="0.25">
      <c r="A340" s="9"/>
      <c r="B340" s="9"/>
      <c r="C340" s="9"/>
      <c r="D340" s="9"/>
      <c r="E340" s="9"/>
      <c r="F340" s="9"/>
    </row>
    <row r="341" spans="1:6" x14ac:dyDescent="0.25">
      <c r="A341" s="10"/>
      <c r="B341" s="10"/>
      <c r="C341" s="10"/>
      <c r="D341" s="10"/>
      <c r="E341" s="10"/>
      <c r="F341" s="10"/>
    </row>
    <row r="342" spans="1:6" x14ac:dyDescent="0.25">
      <c r="A342" s="9"/>
      <c r="B342" s="9"/>
      <c r="C342" s="9"/>
      <c r="D342" s="9"/>
      <c r="E342" s="9"/>
      <c r="F342" s="9"/>
    </row>
    <row r="343" spans="1:6" x14ac:dyDescent="0.25">
      <c r="A343" s="10"/>
      <c r="B343" s="10"/>
      <c r="C343" s="10"/>
      <c r="D343" s="10"/>
      <c r="E343" s="10"/>
      <c r="F343" s="10"/>
    </row>
    <row r="344" spans="1:6" x14ac:dyDescent="0.25">
      <c r="A344" s="9"/>
      <c r="B344" s="9"/>
      <c r="C344" s="9"/>
      <c r="D344" s="9"/>
      <c r="E344" s="9"/>
      <c r="F344" s="9"/>
    </row>
    <row r="345" spans="1:6" x14ac:dyDescent="0.25">
      <c r="A345" s="10"/>
      <c r="B345" s="10"/>
      <c r="C345" s="10"/>
      <c r="D345" s="10"/>
      <c r="E345" s="10"/>
      <c r="F345" s="10"/>
    </row>
    <row r="346" spans="1:6" x14ac:dyDescent="0.25">
      <c r="A346" s="9"/>
      <c r="B346" s="9"/>
      <c r="C346" s="9"/>
      <c r="D346" s="9"/>
      <c r="E346" s="9"/>
      <c r="F346" s="9"/>
    </row>
    <row r="347" spans="1:6" x14ac:dyDescent="0.25">
      <c r="A347" s="10"/>
      <c r="B347" s="10"/>
      <c r="C347" s="10"/>
      <c r="D347" s="10"/>
      <c r="E347" s="10"/>
      <c r="F347" s="10"/>
    </row>
    <row r="348" spans="1:6" x14ac:dyDescent="0.25">
      <c r="A348" s="9"/>
      <c r="B348" s="9"/>
      <c r="C348" s="9"/>
      <c r="D348" s="9"/>
      <c r="E348" s="9"/>
      <c r="F348" s="9"/>
    </row>
    <row r="349" spans="1:6" x14ac:dyDescent="0.25">
      <c r="A349" s="10"/>
      <c r="B349" s="10"/>
      <c r="C349" s="10"/>
      <c r="D349" s="10"/>
      <c r="E349" s="10"/>
      <c r="F349" s="10"/>
    </row>
    <row r="350" spans="1:6" x14ac:dyDescent="0.25">
      <c r="A350" s="9"/>
      <c r="B350" s="9"/>
      <c r="C350" s="9"/>
      <c r="D350" s="9"/>
      <c r="E350" s="9"/>
      <c r="F350" s="9"/>
    </row>
    <row r="351" spans="1:6" x14ac:dyDescent="0.25">
      <c r="A351" s="10"/>
      <c r="B351" s="10"/>
      <c r="C351" s="10"/>
      <c r="D351" s="10"/>
      <c r="E351" s="10"/>
      <c r="F351" s="10"/>
    </row>
    <row r="352" spans="1:6" x14ac:dyDescent="0.25">
      <c r="A352" s="9"/>
      <c r="B352" s="9"/>
      <c r="C352" s="9"/>
      <c r="D352" s="9"/>
      <c r="E352" s="9"/>
      <c r="F352" s="9"/>
    </row>
    <row r="353" spans="1:6" x14ac:dyDescent="0.25">
      <c r="A353" s="10"/>
      <c r="B353" s="10"/>
      <c r="C353" s="10"/>
      <c r="D353" s="10"/>
      <c r="E353" s="10"/>
      <c r="F353" s="10"/>
    </row>
    <row r="354" spans="1:6" x14ac:dyDescent="0.25">
      <c r="A354" s="9"/>
      <c r="B354" s="9"/>
      <c r="C354" s="9"/>
      <c r="D354" s="9"/>
      <c r="E354" s="9"/>
      <c r="F354" s="9"/>
    </row>
    <row r="355" spans="1:6" x14ac:dyDescent="0.25">
      <c r="A355" s="10"/>
      <c r="B355" s="10"/>
      <c r="C355" s="10"/>
      <c r="D355" s="10"/>
      <c r="E355" s="10"/>
      <c r="F355" s="10"/>
    </row>
    <row r="356" spans="1:6" x14ac:dyDescent="0.25">
      <c r="A356" s="9"/>
      <c r="B356" s="9"/>
      <c r="C356" s="9"/>
      <c r="D356" s="9"/>
      <c r="E356" s="9"/>
      <c r="F356" s="9"/>
    </row>
    <row r="357" spans="1:6" x14ac:dyDescent="0.25">
      <c r="A357" s="10"/>
      <c r="B357" s="10"/>
      <c r="C357" s="10"/>
      <c r="D357" s="10"/>
      <c r="E357" s="10"/>
      <c r="F357" s="10"/>
    </row>
    <row r="358" spans="1:6" x14ac:dyDescent="0.25">
      <c r="A358" s="9"/>
      <c r="B358" s="9"/>
      <c r="C358" s="9"/>
      <c r="D358" s="9"/>
      <c r="E358" s="9"/>
      <c r="F358" s="9"/>
    </row>
    <row r="359" spans="1:6" x14ac:dyDescent="0.25">
      <c r="A359" s="10"/>
      <c r="B359" s="10"/>
      <c r="C359" s="10"/>
      <c r="D359" s="10"/>
      <c r="E359" s="10"/>
      <c r="F359" s="10"/>
    </row>
    <row r="360" spans="1:6" x14ac:dyDescent="0.25">
      <c r="A360" s="9"/>
      <c r="B360" s="9"/>
      <c r="C360" s="9"/>
      <c r="D360" s="9"/>
      <c r="E360" s="9"/>
      <c r="F360" s="9"/>
    </row>
    <row r="361" spans="1:6" x14ac:dyDescent="0.25">
      <c r="A361" s="10"/>
      <c r="B361" s="10"/>
      <c r="C361" s="10"/>
      <c r="D361" s="10"/>
      <c r="E361" s="10"/>
      <c r="F361" s="10"/>
    </row>
    <row r="362" spans="1:6" x14ac:dyDescent="0.25">
      <c r="A362" s="9"/>
      <c r="B362" s="9"/>
      <c r="C362" s="9"/>
      <c r="D362" s="9"/>
      <c r="E362" s="9"/>
      <c r="F362" s="9"/>
    </row>
    <row r="363" spans="1:6" x14ac:dyDescent="0.25">
      <c r="A363" s="10"/>
      <c r="B363" s="10"/>
      <c r="C363" s="10"/>
      <c r="D363" s="10"/>
      <c r="E363" s="10"/>
      <c r="F363" s="10"/>
    </row>
    <row r="364" spans="1:6" x14ac:dyDescent="0.25">
      <c r="A364" s="9"/>
      <c r="B364" s="9"/>
      <c r="C364" s="9"/>
      <c r="D364" s="9"/>
      <c r="E364" s="9"/>
      <c r="F364" s="9"/>
    </row>
    <row r="365" spans="1:6" x14ac:dyDescent="0.25">
      <c r="A365" s="10"/>
      <c r="B365" s="10"/>
      <c r="C365" s="10"/>
      <c r="D365" s="10"/>
      <c r="E365" s="10"/>
      <c r="F365" s="10"/>
    </row>
    <row r="366" spans="1:6" x14ac:dyDescent="0.25">
      <c r="A366" s="9"/>
      <c r="B366" s="9"/>
      <c r="C366" s="9"/>
      <c r="D366" s="9"/>
      <c r="E366" s="9"/>
      <c r="F366" s="9"/>
    </row>
    <row r="367" spans="1:6" x14ac:dyDescent="0.25">
      <c r="A367" s="10"/>
      <c r="B367" s="10"/>
      <c r="C367" s="10"/>
      <c r="D367" s="10"/>
      <c r="E367" s="10"/>
      <c r="F367" s="10"/>
    </row>
    <row r="368" spans="1:6" x14ac:dyDescent="0.25">
      <c r="A368" s="9"/>
      <c r="B368" s="9"/>
      <c r="C368" s="9"/>
      <c r="D368" s="9"/>
      <c r="E368" s="9"/>
      <c r="F368" s="9"/>
    </row>
    <row r="369" spans="1:6" x14ac:dyDescent="0.25">
      <c r="A369" s="10"/>
      <c r="B369" s="10"/>
      <c r="C369" s="10"/>
      <c r="D369" s="10"/>
      <c r="E369" s="10"/>
      <c r="F369" s="10"/>
    </row>
    <row r="370" spans="1:6" x14ac:dyDescent="0.25">
      <c r="A370" s="9"/>
      <c r="B370" s="9"/>
      <c r="C370" s="9"/>
      <c r="D370" s="9"/>
      <c r="E370" s="9"/>
      <c r="F370" s="9"/>
    </row>
    <row r="371" spans="1:6" x14ac:dyDescent="0.25">
      <c r="A371" s="10"/>
      <c r="B371" s="10"/>
      <c r="C371" s="10"/>
      <c r="D371" s="10"/>
      <c r="E371" s="10"/>
      <c r="F371" s="10"/>
    </row>
    <row r="372" spans="1:6" x14ac:dyDescent="0.25">
      <c r="A372" s="9"/>
      <c r="B372" s="9"/>
      <c r="C372" s="9"/>
      <c r="D372" s="9"/>
      <c r="E372" s="9"/>
      <c r="F372" s="9"/>
    </row>
    <row r="373" spans="1:6" x14ac:dyDescent="0.25">
      <c r="A373" s="10"/>
      <c r="B373" s="10"/>
      <c r="C373" s="10"/>
      <c r="D373" s="10"/>
      <c r="E373" s="10"/>
      <c r="F373" s="10"/>
    </row>
    <row r="374" spans="1:6" x14ac:dyDescent="0.25">
      <c r="A374" s="9"/>
      <c r="B374" s="9"/>
      <c r="C374" s="9"/>
      <c r="D374" s="9"/>
      <c r="E374" s="9"/>
      <c r="F374" s="9"/>
    </row>
    <row r="375" spans="1:6" x14ac:dyDescent="0.25">
      <c r="A375" s="10"/>
      <c r="B375" s="10"/>
      <c r="C375" s="10"/>
      <c r="D375" s="10"/>
      <c r="E375" s="10"/>
      <c r="F375" s="10"/>
    </row>
    <row r="376" spans="1:6" x14ac:dyDescent="0.25">
      <c r="A376" s="9"/>
      <c r="B376" s="9"/>
      <c r="C376" s="9"/>
      <c r="D376" s="9"/>
      <c r="E376" s="9"/>
      <c r="F376" s="9"/>
    </row>
    <row r="377" spans="1:6" x14ac:dyDescent="0.25">
      <c r="A377" s="10"/>
      <c r="B377" s="10"/>
      <c r="C377" s="10"/>
      <c r="D377" s="10"/>
      <c r="E377" s="10"/>
      <c r="F377" s="10"/>
    </row>
    <row r="378" spans="1:6" x14ac:dyDescent="0.25">
      <c r="A378" s="9"/>
      <c r="B378" s="9"/>
      <c r="C378" s="9"/>
      <c r="D378" s="9"/>
      <c r="E378" s="9"/>
      <c r="F378" s="9"/>
    </row>
    <row r="379" spans="1:6" x14ac:dyDescent="0.25">
      <c r="A379" s="10"/>
      <c r="B379" s="10"/>
      <c r="C379" s="10"/>
      <c r="D379" s="10"/>
      <c r="E379" s="10"/>
      <c r="F379" s="10"/>
    </row>
    <row r="380" spans="1:6" x14ac:dyDescent="0.25">
      <c r="A380" s="9"/>
      <c r="B380" s="9"/>
      <c r="C380" s="9"/>
      <c r="D380" s="9"/>
      <c r="E380" s="9"/>
      <c r="F380" s="9"/>
    </row>
    <row r="381" spans="1:6" x14ac:dyDescent="0.25">
      <c r="A381" s="10"/>
      <c r="B381" s="10"/>
      <c r="C381" s="10"/>
      <c r="D381" s="10"/>
      <c r="E381" s="10"/>
      <c r="F381" s="10"/>
    </row>
    <row r="382" spans="1:6" x14ac:dyDescent="0.25">
      <c r="A382" s="9"/>
      <c r="B382" s="9"/>
      <c r="C382" s="9"/>
      <c r="D382" s="9"/>
      <c r="E382" s="9"/>
      <c r="F382" s="9"/>
    </row>
    <row r="383" spans="1:6" x14ac:dyDescent="0.25">
      <c r="A383" s="10"/>
      <c r="B383" s="10"/>
      <c r="C383" s="10"/>
      <c r="D383" s="10"/>
      <c r="E383" s="10"/>
      <c r="F383" s="10"/>
    </row>
    <row r="384" spans="1:6" x14ac:dyDescent="0.25">
      <c r="A384" s="9"/>
      <c r="B384" s="9"/>
      <c r="C384" s="9"/>
      <c r="D384" s="9"/>
      <c r="E384" s="9"/>
      <c r="F384" s="9"/>
    </row>
    <row r="385" spans="1:6" x14ac:dyDescent="0.25">
      <c r="A385" s="10"/>
      <c r="B385" s="10"/>
      <c r="C385" s="10"/>
      <c r="D385" s="10"/>
      <c r="E385" s="10"/>
      <c r="F385" s="10"/>
    </row>
    <row r="386" spans="1:6" x14ac:dyDescent="0.25">
      <c r="A386" s="9"/>
      <c r="B386" s="9"/>
      <c r="C386" s="9"/>
      <c r="D386" s="9"/>
      <c r="E386" s="9"/>
      <c r="F386" s="9"/>
    </row>
    <row r="387" spans="1:6" x14ac:dyDescent="0.25">
      <c r="A387" s="10"/>
      <c r="B387" s="10"/>
      <c r="C387" s="10"/>
      <c r="D387" s="10"/>
      <c r="E387" s="10"/>
      <c r="F387" s="10"/>
    </row>
    <row r="388" spans="1:6" x14ac:dyDescent="0.25">
      <c r="A388" s="9"/>
      <c r="B388" s="9"/>
      <c r="C388" s="9"/>
      <c r="D388" s="9"/>
      <c r="E388" s="9"/>
      <c r="F388" s="9"/>
    </row>
    <row r="389" spans="1:6" x14ac:dyDescent="0.25">
      <c r="A389" s="10"/>
      <c r="B389" s="10"/>
      <c r="C389" s="10"/>
      <c r="D389" s="10"/>
      <c r="E389" s="10"/>
      <c r="F389" s="10"/>
    </row>
    <row r="390" spans="1:6" x14ac:dyDescent="0.25">
      <c r="A390" s="9"/>
      <c r="B390" s="9"/>
      <c r="C390" s="9"/>
      <c r="D390" s="9"/>
      <c r="E390" s="9"/>
      <c r="F390" s="9"/>
    </row>
    <row r="391" spans="1:6" x14ac:dyDescent="0.25">
      <c r="A391" s="10"/>
      <c r="B391" s="10"/>
      <c r="C391" s="10"/>
      <c r="D391" s="10"/>
      <c r="E391" s="10"/>
      <c r="F391" s="10"/>
    </row>
    <row r="392" spans="1:6" x14ac:dyDescent="0.25">
      <c r="A392" s="9"/>
      <c r="B392" s="9"/>
      <c r="C392" s="9"/>
      <c r="D392" s="9"/>
      <c r="E392" s="9"/>
      <c r="F392" s="9"/>
    </row>
    <row r="393" spans="1:6" x14ac:dyDescent="0.25">
      <c r="A393" s="10"/>
      <c r="B393" s="10"/>
      <c r="C393" s="10"/>
      <c r="D393" s="10"/>
      <c r="E393" s="10"/>
      <c r="F393" s="10"/>
    </row>
    <row r="394" spans="1:6" x14ac:dyDescent="0.25">
      <c r="A394" s="9"/>
      <c r="B394" s="9"/>
      <c r="C394" s="9"/>
      <c r="D394" s="9"/>
      <c r="E394" s="9"/>
      <c r="F394" s="9"/>
    </row>
    <row r="395" spans="1:6" x14ac:dyDescent="0.25">
      <c r="A395" s="10"/>
      <c r="B395" s="10"/>
      <c r="C395" s="10"/>
      <c r="D395" s="10"/>
      <c r="E395" s="10"/>
      <c r="F395" s="10"/>
    </row>
    <row r="396" spans="1:6" x14ac:dyDescent="0.25">
      <c r="A396" s="9"/>
      <c r="B396" s="9"/>
      <c r="C396" s="9"/>
      <c r="D396" s="9"/>
      <c r="E396" s="9"/>
      <c r="F396" s="9"/>
    </row>
    <row r="397" spans="1:6" x14ac:dyDescent="0.25">
      <c r="A397" s="10"/>
      <c r="B397" s="10"/>
      <c r="C397" s="10"/>
      <c r="D397" s="10"/>
      <c r="E397" s="10"/>
      <c r="F397" s="10"/>
    </row>
    <row r="398" spans="1:6" x14ac:dyDescent="0.25">
      <c r="A398" s="9"/>
      <c r="B398" s="9"/>
      <c r="C398" s="9"/>
      <c r="D398" s="9"/>
      <c r="E398" s="9"/>
      <c r="F398" s="9"/>
    </row>
    <row r="399" spans="1:6" x14ac:dyDescent="0.25">
      <c r="A399" s="10"/>
      <c r="B399" s="10"/>
      <c r="C399" s="10"/>
      <c r="D399" s="10"/>
      <c r="E399" s="10"/>
      <c r="F399" s="10"/>
    </row>
    <row r="400" spans="1:6" x14ac:dyDescent="0.25">
      <c r="A400" s="9"/>
      <c r="B400" s="9"/>
      <c r="C400" s="9"/>
      <c r="D400" s="9"/>
      <c r="E400" s="9"/>
      <c r="F400" s="9"/>
    </row>
    <row r="401" spans="1:6" x14ac:dyDescent="0.25">
      <c r="A401" s="10"/>
      <c r="B401" s="10"/>
      <c r="C401" s="10"/>
      <c r="D401" s="10"/>
      <c r="E401" s="10"/>
      <c r="F401" s="10"/>
    </row>
    <row r="402" spans="1:6" x14ac:dyDescent="0.25">
      <c r="A402" s="9"/>
      <c r="B402" s="9"/>
      <c r="C402" s="9"/>
      <c r="D402" s="9"/>
      <c r="E402" s="9"/>
      <c r="F402" s="9"/>
    </row>
    <row r="403" spans="1:6" x14ac:dyDescent="0.25">
      <c r="A403" s="10"/>
      <c r="B403" s="10"/>
      <c r="C403" s="10"/>
      <c r="D403" s="10"/>
      <c r="E403" s="10"/>
      <c r="F403" s="10"/>
    </row>
    <row r="404" spans="1:6" x14ac:dyDescent="0.25">
      <c r="A404" s="9"/>
      <c r="B404" s="9"/>
      <c r="C404" s="9"/>
      <c r="D404" s="9"/>
      <c r="E404" s="9"/>
      <c r="F404" s="9"/>
    </row>
    <row r="405" spans="1:6" x14ac:dyDescent="0.25">
      <c r="A405" s="10"/>
      <c r="B405" s="10"/>
      <c r="C405" s="10"/>
      <c r="D405" s="10"/>
      <c r="E405" s="10"/>
      <c r="F405" s="10"/>
    </row>
    <row r="406" spans="1:6" x14ac:dyDescent="0.25">
      <c r="A406" s="9"/>
      <c r="B406" s="9"/>
      <c r="C406" s="9"/>
      <c r="D406" s="9"/>
      <c r="E406" s="9"/>
      <c r="F406" s="9"/>
    </row>
    <row r="407" spans="1:6" x14ac:dyDescent="0.25">
      <c r="A407" s="10"/>
      <c r="B407" s="10"/>
      <c r="C407" s="10"/>
      <c r="D407" s="10"/>
      <c r="E407" s="10"/>
      <c r="F407" s="10"/>
    </row>
    <row r="408" spans="1:6" x14ac:dyDescent="0.25">
      <c r="A408" s="9"/>
      <c r="B408" s="9"/>
      <c r="C408" s="9"/>
      <c r="D408" s="9"/>
      <c r="E408" s="9"/>
      <c r="F408" s="9"/>
    </row>
    <row r="409" spans="1:6" x14ac:dyDescent="0.25">
      <c r="A409" s="10"/>
      <c r="B409" s="10"/>
      <c r="C409" s="10"/>
      <c r="D409" s="10"/>
      <c r="E409" s="10"/>
      <c r="F409" s="10"/>
    </row>
    <row r="410" spans="1:6" x14ac:dyDescent="0.25">
      <c r="A410" s="9"/>
      <c r="B410" s="9"/>
      <c r="C410" s="9"/>
      <c r="D410" s="9"/>
      <c r="E410" s="9"/>
      <c r="F410" s="9"/>
    </row>
    <row r="411" spans="1:6" x14ac:dyDescent="0.25">
      <c r="A411" s="10"/>
      <c r="B411" s="10"/>
      <c r="C411" s="10"/>
      <c r="D411" s="10"/>
      <c r="E411" s="10"/>
      <c r="F411" s="10"/>
    </row>
    <row r="412" spans="1:6" x14ac:dyDescent="0.25">
      <c r="A412" s="9"/>
      <c r="B412" s="9"/>
      <c r="C412" s="9"/>
      <c r="D412" s="9"/>
      <c r="E412" s="9"/>
      <c r="F412" s="9"/>
    </row>
    <row r="413" spans="1:6" x14ac:dyDescent="0.25">
      <c r="A413" s="10"/>
      <c r="B413" s="10"/>
      <c r="C413" s="10"/>
      <c r="D413" s="10"/>
      <c r="E413" s="10"/>
      <c r="F413" s="10"/>
    </row>
    <row r="414" spans="1:6" x14ac:dyDescent="0.25">
      <c r="A414" s="9"/>
      <c r="B414" s="9"/>
      <c r="C414" s="9"/>
      <c r="D414" s="9"/>
      <c r="E414" s="9"/>
      <c r="F414" s="9"/>
    </row>
    <row r="415" spans="1:6" x14ac:dyDescent="0.25">
      <c r="A415" s="10"/>
      <c r="B415" s="10"/>
      <c r="C415" s="10"/>
      <c r="D415" s="10"/>
      <c r="E415" s="10"/>
      <c r="F415" s="10"/>
    </row>
    <row r="416" spans="1:6" x14ac:dyDescent="0.25">
      <c r="A416" s="9"/>
      <c r="B416" s="9"/>
      <c r="C416" s="9"/>
      <c r="D416" s="9"/>
      <c r="E416" s="9"/>
      <c r="F416" s="9"/>
    </row>
    <row r="417" spans="1:6" x14ac:dyDescent="0.25">
      <c r="A417" s="10"/>
      <c r="B417" s="10"/>
      <c r="C417" s="10"/>
      <c r="D417" s="10"/>
      <c r="E417" s="10"/>
      <c r="F417" s="10"/>
    </row>
    <row r="418" spans="1:6" x14ac:dyDescent="0.25">
      <c r="A418" s="9"/>
      <c r="B418" s="9"/>
      <c r="C418" s="9"/>
      <c r="D418" s="9"/>
      <c r="E418" s="9"/>
      <c r="F418" s="9"/>
    </row>
    <row r="419" spans="1:6" x14ac:dyDescent="0.25">
      <c r="A419" s="10"/>
      <c r="B419" s="10"/>
      <c r="C419" s="10"/>
      <c r="D419" s="10"/>
      <c r="E419" s="10"/>
      <c r="F419" s="10"/>
    </row>
    <row r="420" spans="1:6" x14ac:dyDescent="0.25">
      <c r="A420" s="9"/>
      <c r="B420" s="9"/>
      <c r="C420" s="9"/>
      <c r="D420" s="9"/>
      <c r="E420" s="9"/>
      <c r="F420" s="9"/>
    </row>
    <row r="421" spans="1:6" x14ac:dyDescent="0.25">
      <c r="A421" s="10"/>
      <c r="B421" s="10"/>
      <c r="C421" s="10"/>
      <c r="D421" s="10"/>
      <c r="E421" s="10"/>
      <c r="F421" s="10"/>
    </row>
    <row r="422" spans="1:6" x14ac:dyDescent="0.25">
      <c r="A422" s="9"/>
      <c r="B422" s="9"/>
      <c r="C422" s="9"/>
      <c r="D422" s="9"/>
      <c r="E422" s="9"/>
      <c r="F422" s="9"/>
    </row>
    <row r="423" spans="1:6" x14ac:dyDescent="0.25">
      <c r="A423" s="10"/>
      <c r="B423" s="10"/>
      <c r="C423" s="10"/>
      <c r="D423" s="10"/>
      <c r="E423" s="10"/>
      <c r="F423" s="10"/>
    </row>
    <row r="424" spans="1:6" x14ac:dyDescent="0.25">
      <c r="A424" s="9"/>
      <c r="B424" s="9"/>
      <c r="C424" s="9"/>
      <c r="D424" s="9"/>
      <c r="E424" s="9"/>
      <c r="F424" s="9"/>
    </row>
    <row r="425" spans="1:6" x14ac:dyDescent="0.25">
      <c r="A425" s="10"/>
      <c r="B425" s="10"/>
      <c r="C425" s="10"/>
      <c r="D425" s="10"/>
      <c r="E425" s="10"/>
      <c r="F425" s="10"/>
    </row>
    <row r="426" spans="1:6" x14ac:dyDescent="0.25">
      <c r="A426" s="9"/>
      <c r="B426" s="9"/>
      <c r="C426" s="9"/>
      <c r="D426" s="9"/>
      <c r="E426" s="9"/>
      <c r="F426" s="9"/>
    </row>
    <row r="427" spans="1:6" x14ac:dyDescent="0.25">
      <c r="A427" s="10"/>
      <c r="B427" s="10"/>
      <c r="C427" s="10"/>
      <c r="D427" s="10"/>
      <c r="E427" s="10"/>
      <c r="F427" s="10"/>
    </row>
    <row r="428" spans="1:6" x14ac:dyDescent="0.25">
      <c r="A428" s="9"/>
      <c r="B428" s="9"/>
      <c r="C428" s="9"/>
      <c r="D428" s="9"/>
      <c r="E428" s="9"/>
      <c r="F428" s="9"/>
    </row>
    <row r="429" spans="1:6" x14ac:dyDescent="0.25">
      <c r="A429" s="10"/>
      <c r="B429" s="10"/>
      <c r="C429" s="10"/>
      <c r="D429" s="10"/>
      <c r="E429" s="10"/>
      <c r="F429" s="10"/>
    </row>
    <row r="430" spans="1:6" x14ac:dyDescent="0.25">
      <c r="A430" s="9"/>
      <c r="B430" s="9"/>
      <c r="C430" s="9"/>
      <c r="D430" s="9"/>
      <c r="E430" s="9"/>
      <c r="F430" s="9"/>
    </row>
    <row r="431" spans="1:6" x14ac:dyDescent="0.25">
      <c r="A431" s="10"/>
      <c r="B431" s="10"/>
      <c r="C431" s="10"/>
      <c r="D431" s="10"/>
      <c r="E431" s="10"/>
      <c r="F431" s="10"/>
    </row>
    <row r="432" spans="1:6" x14ac:dyDescent="0.25">
      <c r="A432" s="9"/>
      <c r="B432" s="9"/>
      <c r="C432" s="9"/>
      <c r="D432" s="9"/>
      <c r="E432" s="9"/>
      <c r="F432" s="9"/>
    </row>
    <row r="433" spans="1:6" x14ac:dyDescent="0.25">
      <c r="A433" s="10"/>
      <c r="B433" s="10"/>
      <c r="C433" s="10"/>
      <c r="D433" s="10"/>
      <c r="E433" s="10"/>
      <c r="F433" s="10"/>
    </row>
    <row r="434" spans="1:6" x14ac:dyDescent="0.25">
      <c r="A434" s="9"/>
      <c r="B434" s="9"/>
      <c r="C434" s="9"/>
      <c r="D434" s="9"/>
      <c r="E434" s="9"/>
      <c r="F434" s="9"/>
    </row>
    <row r="435" spans="1:6" x14ac:dyDescent="0.25">
      <c r="A435" s="10"/>
      <c r="B435" s="10"/>
      <c r="C435" s="10"/>
      <c r="D435" s="10"/>
      <c r="E435" s="10"/>
      <c r="F435" s="10"/>
    </row>
    <row r="436" spans="1:6" x14ac:dyDescent="0.25">
      <c r="A436" s="9"/>
      <c r="B436" s="9"/>
      <c r="C436" s="9"/>
      <c r="D436" s="9"/>
      <c r="E436" s="9"/>
      <c r="F436" s="9"/>
    </row>
    <row r="437" spans="1:6" x14ac:dyDescent="0.25">
      <c r="A437" s="10"/>
      <c r="B437" s="10"/>
      <c r="C437" s="10"/>
      <c r="D437" s="10"/>
      <c r="E437" s="10"/>
      <c r="F437" s="10"/>
    </row>
    <row r="438" spans="1:6" x14ac:dyDescent="0.25">
      <c r="A438" s="9"/>
      <c r="B438" s="9"/>
      <c r="C438" s="9"/>
      <c r="D438" s="9"/>
      <c r="E438" s="9"/>
      <c r="F438" s="9"/>
    </row>
    <row r="439" spans="1:6" x14ac:dyDescent="0.25">
      <c r="A439" s="10"/>
      <c r="B439" s="10"/>
      <c r="C439" s="10"/>
      <c r="D439" s="10"/>
      <c r="E439" s="10"/>
      <c r="F439" s="10"/>
    </row>
    <row r="440" spans="1:6" x14ac:dyDescent="0.25">
      <c r="A440" s="9"/>
      <c r="B440" s="9"/>
      <c r="C440" s="9"/>
      <c r="D440" s="9"/>
      <c r="E440" s="9"/>
      <c r="F440" s="9"/>
    </row>
    <row r="441" spans="1:6" x14ac:dyDescent="0.25">
      <c r="A441" s="10"/>
      <c r="B441" s="10"/>
      <c r="C441" s="10"/>
      <c r="D441" s="10"/>
      <c r="E441" s="10"/>
      <c r="F441" s="10"/>
    </row>
    <row r="442" spans="1:6" x14ac:dyDescent="0.25">
      <c r="A442" s="9"/>
      <c r="B442" s="9"/>
      <c r="C442" s="9"/>
      <c r="D442" s="9"/>
      <c r="E442" s="9"/>
      <c r="F442" s="9"/>
    </row>
    <row r="443" spans="1:6" x14ac:dyDescent="0.25">
      <c r="A443" s="10"/>
      <c r="B443" s="10"/>
      <c r="C443" s="10"/>
      <c r="D443" s="10"/>
      <c r="E443" s="10"/>
      <c r="F443" s="10"/>
    </row>
    <row r="444" spans="1:6" x14ac:dyDescent="0.25">
      <c r="A444" s="9"/>
      <c r="B444" s="9"/>
      <c r="C444" s="9"/>
      <c r="D444" s="9"/>
      <c r="E444" s="9"/>
      <c r="F444" s="9"/>
    </row>
    <row r="445" spans="1:6" x14ac:dyDescent="0.25">
      <c r="A445" s="10"/>
      <c r="B445" s="10"/>
      <c r="C445" s="10"/>
      <c r="D445" s="10"/>
      <c r="E445" s="10"/>
      <c r="F445" s="10"/>
    </row>
    <row r="446" spans="1:6" x14ac:dyDescent="0.25">
      <c r="A446" s="9"/>
      <c r="B446" s="9"/>
      <c r="C446" s="9"/>
      <c r="D446" s="9"/>
      <c r="E446" s="9"/>
      <c r="F446" s="9"/>
    </row>
    <row r="447" spans="1:6" x14ac:dyDescent="0.25">
      <c r="A447" s="10"/>
      <c r="B447" s="10"/>
      <c r="C447" s="10"/>
      <c r="D447" s="10"/>
      <c r="E447" s="10"/>
      <c r="F447" s="10"/>
    </row>
    <row r="448" spans="1:6" x14ac:dyDescent="0.25">
      <c r="A448" s="9"/>
      <c r="B448" s="9"/>
      <c r="C448" s="9"/>
      <c r="D448" s="9"/>
      <c r="E448" s="9"/>
      <c r="F448" s="9"/>
    </row>
    <row r="449" spans="1:6" x14ac:dyDescent="0.25">
      <c r="A449" s="10"/>
      <c r="B449" s="10"/>
      <c r="C449" s="10"/>
      <c r="D449" s="10"/>
      <c r="E449" s="10"/>
      <c r="F449" s="10"/>
    </row>
    <row r="450" spans="1:6" x14ac:dyDescent="0.25">
      <c r="A450" s="9"/>
      <c r="B450" s="9"/>
      <c r="C450" s="9"/>
      <c r="D450" s="9"/>
      <c r="E450" s="9"/>
      <c r="F450" s="9"/>
    </row>
    <row r="451" spans="1:6" x14ac:dyDescent="0.25">
      <c r="A451" s="10"/>
      <c r="B451" s="10"/>
      <c r="C451" s="10"/>
      <c r="D451" s="10"/>
      <c r="E451" s="10"/>
      <c r="F451" s="10"/>
    </row>
    <row r="452" spans="1:6" x14ac:dyDescent="0.25">
      <c r="A452" s="9"/>
      <c r="B452" s="9"/>
      <c r="C452" s="9"/>
      <c r="D452" s="9"/>
      <c r="E452" s="9"/>
      <c r="F452" s="9"/>
    </row>
    <row r="453" spans="1:6" x14ac:dyDescent="0.25">
      <c r="A453" s="10"/>
      <c r="B453" s="10"/>
      <c r="C453" s="10"/>
      <c r="D453" s="10"/>
      <c r="E453" s="10"/>
      <c r="F453" s="10"/>
    </row>
    <row r="454" spans="1:6" x14ac:dyDescent="0.25">
      <c r="A454" s="9"/>
      <c r="B454" s="9"/>
      <c r="C454" s="9"/>
      <c r="D454" s="9"/>
      <c r="E454" s="9"/>
      <c r="F454" s="9"/>
    </row>
    <row r="455" spans="1:6" x14ac:dyDescent="0.25">
      <c r="A455" s="10"/>
      <c r="B455" s="10"/>
      <c r="C455" s="10"/>
      <c r="D455" s="10"/>
      <c r="E455" s="10"/>
      <c r="F455" s="10"/>
    </row>
    <row r="456" spans="1:6" x14ac:dyDescent="0.25">
      <c r="A456" s="9"/>
      <c r="B456" s="9"/>
      <c r="C456" s="9"/>
      <c r="D456" s="9"/>
      <c r="E456" s="9"/>
      <c r="F456" s="9"/>
    </row>
    <row r="457" spans="1:6" x14ac:dyDescent="0.25">
      <c r="A457" s="10"/>
      <c r="B457" s="10"/>
      <c r="C457" s="10"/>
      <c r="D457" s="10"/>
      <c r="E457" s="10"/>
      <c r="F457" s="10"/>
    </row>
    <row r="458" spans="1:6" x14ac:dyDescent="0.25">
      <c r="A458" s="9"/>
      <c r="B458" s="9"/>
      <c r="C458" s="9"/>
      <c r="D458" s="9"/>
      <c r="E458" s="9"/>
      <c r="F458" s="9"/>
    </row>
    <row r="459" spans="1:6" x14ac:dyDescent="0.25">
      <c r="A459" s="10"/>
      <c r="B459" s="10"/>
      <c r="C459" s="10"/>
      <c r="D459" s="10"/>
      <c r="E459" s="10"/>
      <c r="F459" s="10"/>
    </row>
    <row r="460" spans="1:6" x14ac:dyDescent="0.25">
      <c r="A460" s="9"/>
      <c r="B460" s="9"/>
      <c r="C460" s="9"/>
      <c r="D460" s="9"/>
      <c r="E460" s="9"/>
      <c r="F460" s="9"/>
    </row>
    <row r="461" spans="1:6" x14ac:dyDescent="0.25">
      <c r="A461" s="10"/>
      <c r="B461" s="10"/>
      <c r="C461" s="10"/>
      <c r="D461" s="10"/>
      <c r="E461" s="10"/>
      <c r="F461" s="10"/>
    </row>
    <row r="462" spans="1:6" x14ac:dyDescent="0.25">
      <c r="A462" s="9"/>
      <c r="B462" s="9"/>
      <c r="C462" s="9"/>
      <c r="D462" s="9"/>
      <c r="E462" s="9"/>
      <c r="F462" s="9"/>
    </row>
    <row r="463" spans="1:6" x14ac:dyDescent="0.25">
      <c r="A463" s="10"/>
      <c r="B463" s="10"/>
      <c r="C463" s="10"/>
      <c r="D463" s="10"/>
      <c r="E463" s="10"/>
      <c r="F463" s="10"/>
    </row>
    <row r="464" spans="1:6" x14ac:dyDescent="0.25">
      <c r="A464" s="9"/>
      <c r="B464" s="9"/>
      <c r="C464" s="9"/>
      <c r="D464" s="9"/>
      <c r="E464" s="9"/>
      <c r="F464" s="9"/>
    </row>
    <row r="465" spans="1:6" x14ac:dyDescent="0.25">
      <c r="A465" s="10"/>
      <c r="B465" s="10"/>
      <c r="C465" s="10"/>
      <c r="D465" s="10"/>
      <c r="E465" s="10"/>
      <c r="F465" s="10"/>
    </row>
    <row r="466" spans="1:6" x14ac:dyDescent="0.25">
      <c r="A466" s="9"/>
      <c r="B466" s="9"/>
      <c r="C466" s="9"/>
      <c r="D466" s="9"/>
      <c r="E466" s="9"/>
      <c r="F466" s="9"/>
    </row>
    <row r="467" spans="1:6" x14ac:dyDescent="0.25">
      <c r="A467" s="10"/>
      <c r="B467" s="10"/>
      <c r="C467" s="10"/>
      <c r="D467" s="10"/>
      <c r="E467" s="10"/>
      <c r="F467" s="10"/>
    </row>
    <row r="468" spans="1:6" x14ac:dyDescent="0.25">
      <c r="A468" s="9"/>
      <c r="B468" s="9"/>
      <c r="C468" s="9"/>
      <c r="D468" s="9"/>
      <c r="E468" s="9"/>
      <c r="F468" s="9"/>
    </row>
    <row r="469" spans="1:6" x14ac:dyDescent="0.25">
      <c r="A469" s="10"/>
      <c r="B469" s="10"/>
      <c r="C469" s="10"/>
      <c r="D469" s="10"/>
      <c r="E469" s="10"/>
      <c r="F469" s="10"/>
    </row>
    <row r="470" spans="1:6" x14ac:dyDescent="0.25">
      <c r="A470" s="9"/>
      <c r="B470" s="9"/>
      <c r="C470" s="9"/>
      <c r="D470" s="9"/>
      <c r="E470" s="9"/>
      <c r="F470" s="9"/>
    </row>
    <row r="471" spans="1:6" x14ac:dyDescent="0.25">
      <c r="A471" s="10"/>
      <c r="B471" s="10"/>
      <c r="C471" s="10"/>
      <c r="D471" s="10"/>
      <c r="E471" s="10"/>
      <c r="F471" s="10"/>
    </row>
    <row r="472" spans="1:6" x14ac:dyDescent="0.25">
      <c r="A472" s="9"/>
      <c r="B472" s="9"/>
      <c r="C472" s="9"/>
      <c r="D472" s="9"/>
      <c r="E472" s="9"/>
      <c r="F472" s="9"/>
    </row>
    <row r="473" spans="1:6" x14ac:dyDescent="0.25">
      <c r="A473" s="10"/>
      <c r="B473" s="10"/>
      <c r="C473" s="10"/>
      <c r="D473" s="10"/>
      <c r="E473" s="10"/>
      <c r="F473" s="10"/>
    </row>
    <row r="474" spans="1:6" x14ac:dyDescent="0.25">
      <c r="A474" s="9"/>
      <c r="B474" s="9"/>
      <c r="C474" s="9"/>
      <c r="D474" s="9"/>
      <c r="E474" s="9"/>
      <c r="F474" s="9"/>
    </row>
    <row r="475" spans="1:6" x14ac:dyDescent="0.25">
      <c r="A475" s="10"/>
      <c r="B475" s="10"/>
      <c r="C475" s="10"/>
      <c r="D475" s="10"/>
      <c r="E475" s="10"/>
      <c r="F475" s="10"/>
    </row>
    <row r="476" spans="1:6" x14ac:dyDescent="0.25">
      <c r="A476" s="9"/>
      <c r="B476" s="9"/>
      <c r="C476" s="9"/>
      <c r="D476" s="9"/>
      <c r="E476" s="9"/>
      <c r="F476" s="9"/>
    </row>
    <row r="477" spans="1:6" x14ac:dyDescent="0.25">
      <c r="A477" s="10"/>
      <c r="B477" s="10"/>
      <c r="C477" s="10"/>
      <c r="D477" s="10"/>
      <c r="E477" s="10"/>
      <c r="F477" s="10"/>
    </row>
    <row r="478" spans="1:6" x14ac:dyDescent="0.25">
      <c r="A478" s="9"/>
      <c r="B478" s="9"/>
      <c r="C478" s="9"/>
      <c r="D478" s="9"/>
      <c r="E478" s="9"/>
      <c r="F478" s="9"/>
    </row>
    <row r="479" spans="1:6" x14ac:dyDescent="0.25">
      <c r="A479" s="10"/>
      <c r="B479" s="10"/>
      <c r="C479" s="10"/>
      <c r="D479" s="10"/>
      <c r="E479" s="10"/>
      <c r="F479" s="10"/>
    </row>
    <row r="480" spans="1:6" x14ac:dyDescent="0.25">
      <c r="A480" s="9"/>
      <c r="B480" s="9"/>
      <c r="C480" s="9"/>
      <c r="D480" s="9"/>
      <c r="E480" s="9"/>
      <c r="F480" s="9"/>
    </row>
    <row r="481" spans="1:6" x14ac:dyDescent="0.25">
      <c r="A481" s="10"/>
      <c r="B481" s="10"/>
      <c r="C481" s="10"/>
      <c r="D481" s="10"/>
      <c r="E481" s="10"/>
      <c r="F481" s="10"/>
    </row>
    <row r="482" spans="1:6" x14ac:dyDescent="0.25">
      <c r="A482" s="9"/>
      <c r="B482" s="9"/>
      <c r="C482" s="9"/>
      <c r="D482" s="9"/>
      <c r="E482" s="9"/>
      <c r="F482" s="9"/>
    </row>
    <row r="483" spans="1:6" x14ac:dyDescent="0.25">
      <c r="A483" s="10"/>
      <c r="B483" s="10"/>
      <c r="C483" s="10"/>
      <c r="D483" s="10"/>
      <c r="E483" s="10"/>
      <c r="F483" s="10"/>
    </row>
    <row r="484" spans="1:6" x14ac:dyDescent="0.25">
      <c r="A484" s="9"/>
      <c r="B484" s="9"/>
      <c r="C484" s="9"/>
      <c r="D484" s="9"/>
      <c r="E484" s="9"/>
      <c r="F484" s="9"/>
    </row>
    <row r="485" spans="1:6" x14ac:dyDescent="0.25">
      <c r="A485" s="10"/>
      <c r="B485" s="10"/>
      <c r="C485" s="10"/>
      <c r="D485" s="10"/>
      <c r="E485" s="10"/>
      <c r="F485" s="10"/>
    </row>
    <row r="486" spans="1:6" x14ac:dyDescent="0.25">
      <c r="A486" s="9"/>
      <c r="B486" s="9"/>
      <c r="C486" s="9"/>
      <c r="D486" s="9"/>
      <c r="E486" s="9"/>
      <c r="F486" s="9"/>
    </row>
    <row r="487" spans="1:6" x14ac:dyDescent="0.25">
      <c r="A487" s="10"/>
      <c r="B487" s="10"/>
      <c r="C487" s="10"/>
      <c r="D487" s="10"/>
      <c r="E487" s="10"/>
      <c r="F487" s="10"/>
    </row>
    <row r="488" spans="1:6" x14ac:dyDescent="0.25">
      <c r="A488" s="9"/>
      <c r="B488" s="9"/>
      <c r="C488" s="9"/>
      <c r="D488" s="9"/>
      <c r="E488" s="9"/>
      <c r="F488" s="9"/>
    </row>
    <row r="489" spans="1:6" x14ac:dyDescent="0.25">
      <c r="A489" s="10"/>
      <c r="B489" s="10"/>
      <c r="C489" s="10"/>
      <c r="D489" s="10"/>
      <c r="E489" s="10"/>
      <c r="F489" s="10"/>
    </row>
    <row r="490" spans="1:6" x14ac:dyDescent="0.25">
      <c r="A490" s="9"/>
      <c r="B490" s="9"/>
      <c r="C490" s="9"/>
      <c r="D490" s="9"/>
      <c r="E490" s="9"/>
      <c r="F490" s="9"/>
    </row>
    <row r="491" spans="1:6" x14ac:dyDescent="0.25">
      <c r="A491" s="10"/>
      <c r="B491" s="10"/>
      <c r="C491" s="10"/>
      <c r="D491" s="10"/>
      <c r="E491" s="10"/>
      <c r="F491" s="10"/>
    </row>
    <row r="492" spans="1:6" x14ac:dyDescent="0.25">
      <c r="A492" s="9"/>
      <c r="B492" s="9"/>
      <c r="C492" s="9"/>
      <c r="D492" s="9"/>
      <c r="E492" s="9"/>
      <c r="F492" s="9"/>
    </row>
    <row r="493" spans="1:6" x14ac:dyDescent="0.25">
      <c r="A493" s="10"/>
      <c r="B493" s="10"/>
      <c r="C493" s="10"/>
      <c r="D493" s="10"/>
      <c r="E493" s="10"/>
      <c r="F493" s="10"/>
    </row>
    <row r="494" spans="1:6" x14ac:dyDescent="0.25">
      <c r="A494" s="9"/>
      <c r="B494" s="9"/>
      <c r="C494" s="9"/>
      <c r="D494" s="9"/>
      <c r="E494" s="9"/>
      <c r="F494" s="9"/>
    </row>
    <row r="495" spans="1:6" x14ac:dyDescent="0.25">
      <c r="A495" s="10"/>
      <c r="B495" s="10"/>
      <c r="C495" s="10"/>
      <c r="D495" s="10"/>
      <c r="E495" s="10"/>
      <c r="F495" s="10"/>
    </row>
    <row r="496" spans="1:6" x14ac:dyDescent="0.25">
      <c r="A496" s="9"/>
      <c r="B496" s="9"/>
      <c r="C496" s="9"/>
      <c r="D496" s="9"/>
      <c r="E496" s="9"/>
      <c r="F496" s="9"/>
    </row>
    <row r="497" spans="1:6" x14ac:dyDescent="0.25">
      <c r="A497" s="10"/>
      <c r="B497" s="10"/>
      <c r="C497" s="10"/>
      <c r="D497" s="10"/>
      <c r="E497" s="10"/>
      <c r="F497" s="10"/>
    </row>
    <row r="498" spans="1:6" x14ac:dyDescent="0.25">
      <c r="A498" s="9"/>
      <c r="B498" s="9"/>
      <c r="C498" s="9"/>
      <c r="D498" s="9"/>
      <c r="E498" s="9"/>
      <c r="F498" s="9"/>
    </row>
    <row r="499" spans="1:6" x14ac:dyDescent="0.25">
      <c r="A499" s="10"/>
      <c r="B499" s="10"/>
      <c r="C499" s="10"/>
      <c r="D499" s="10"/>
      <c r="E499" s="10"/>
      <c r="F499" s="10"/>
    </row>
    <row r="500" spans="1:6" x14ac:dyDescent="0.25">
      <c r="A500" s="9"/>
      <c r="B500" s="9"/>
      <c r="C500" s="9"/>
      <c r="D500" s="9"/>
      <c r="E500" s="9"/>
      <c r="F500" s="9"/>
    </row>
    <row r="501" spans="1:6" x14ac:dyDescent="0.25">
      <c r="A501" s="10"/>
      <c r="B501" s="10"/>
      <c r="C501" s="10"/>
      <c r="D501" s="10"/>
      <c r="E501" s="10"/>
      <c r="F501" s="10"/>
    </row>
  </sheetData>
  <sheetProtection selectLockedCells="1" selectUnlockedCells="1"/>
  <dataValidations count="1">
    <dataValidation type="whole" allowBlank="1" sqref="E2:H501" xr:uid="{00000000-0002-0000-0200-000000000000}">
      <formula1>0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1"/>
  <sheetViews>
    <sheetView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2" width="14" customWidth="1"/>
    <col min="3" max="3" width="30" customWidth="1"/>
    <col min="4" max="5" width="12" customWidth="1"/>
    <col min="6" max="6" width="24" customWidth="1"/>
    <col min="7" max="7" width="14" customWidth="1"/>
    <col min="8" max="8" width="32" customWidth="1"/>
    <col min="9" max="11" width="14" customWidth="1"/>
    <col min="12" max="12" width="16" customWidth="1"/>
    <col min="13" max="13" width="18" customWidth="1"/>
  </cols>
  <sheetData>
    <row r="1" spans="1:13" ht="30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spans="1:13" ht="24" customHeight="1" x14ac:dyDescent="0.25">
      <c r="A2" s="9" t="s">
        <v>13</v>
      </c>
      <c r="B2" s="9" t="s">
        <v>91</v>
      </c>
      <c r="C2" s="9" t="s">
        <v>14</v>
      </c>
      <c r="D2" s="12">
        <v>46082</v>
      </c>
      <c r="E2" s="9" t="s">
        <v>96</v>
      </c>
      <c r="F2" s="9">
        <v>3000</v>
      </c>
      <c r="G2" s="9" t="s">
        <v>16</v>
      </c>
      <c r="H2" s="9" t="s">
        <v>99</v>
      </c>
      <c r="I2" s="9">
        <v>50</v>
      </c>
      <c r="J2" s="9">
        <v>100</v>
      </c>
      <c r="K2" s="9">
        <v>100</v>
      </c>
      <c r="L2" s="9">
        <v>100</v>
      </c>
      <c r="M2" s="9">
        <f>IF(OR(I2="",J2="",K2="",L2=""),"",MAX(Ustawienia!$B$3,MIN(Ustawienia!$B$4,Ustawienia!$B$3+(Ustawienia!$B$8*(I2/100)+Ustawienia!$B$9*(J2/100)+Ustawienia!$B$10*(K2/100)+Ustawienia!$B$11*(1-L2/100))*(Ustawienia!$B$4-Ustawienia!$B$3))))</f>
        <v>1.1200000000000001</v>
      </c>
    </row>
    <row r="3" spans="1:13" ht="29.25" customHeight="1" x14ac:dyDescent="0.25">
      <c r="A3" s="10" t="s">
        <v>17</v>
      </c>
      <c r="B3" s="9" t="s">
        <v>91</v>
      </c>
      <c r="C3" s="10" t="s">
        <v>92</v>
      </c>
      <c r="D3" s="10" t="s">
        <v>18</v>
      </c>
      <c r="E3" s="10" t="s">
        <v>19</v>
      </c>
      <c r="F3" s="10">
        <v>10000</v>
      </c>
      <c r="G3" s="10" t="s">
        <v>16</v>
      </c>
      <c r="H3" s="10" t="s">
        <v>93</v>
      </c>
      <c r="I3" s="10">
        <v>10</v>
      </c>
      <c r="J3" s="10">
        <v>10</v>
      </c>
      <c r="K3" s="10">
        <v>10</v>
      </c>
      <c r="L3" s="10">
        <v>20</v>
      </c>
      <c r="M3" s="10">
        <f>IF(OR(I3="",J3="",K3="",L3=""),"",MAX(Ustawienia!$B$3,MIN(Ustawienia!$B$4,Ustawienia!$B$3+(Ustawienia!$B$8*(I3/100)+Ustawienia!$B$9*(J3/100)+Ustawienia!$B$10*(K3/100)+Ustawienia!$B$11*(1-L3/100))*(Ustawienia!$B$4-Ustawienia!$B$3))))</f>
        <v>0.82299999999999995</v>
      </c>
    </row>
    <row r="4" spans="1:13" ht="30" x14ac:dyDescent="0.25">
      <c r="A4" s="9" t="s">
        <v>94</v>
      </c>
      <c r="B4" s="9" t="s">
        <v>91</v>
      </c>
      <c r="C4" s="9" t="s">
        <v>95</v>
      </c>
      <c r="D4" s="12">
        <v>46113</v>
      </c>
      <c r="E4" s="9" t="s">
        <v>96</v>
      </c>
      <c r="F4" s="9">
        <v>3000</v>
      </c>
      <c r="G4" s="9" t="s">
        <v>16</v>
      </c>
      <c r="H4" s="9" t="s">
        <v>97</v>
      </c>
      <c r="I4" s="9"/>
      <c r="J4" s="9"/>
      <c r="K4" s="9"/>
      <c r="L4" s="9"/>
      <c r="M4" s="9" t="str">
        <f>IF(OR(I4="",J4="",K4="",L4=""),"",MAX(Ustawienia!$B$3,MIN(Ustawienia!$B$4,Ustawienia!$B$3+(Ustawienia!$B$8*(I4/100)+Ustawienia!$B$9*(J4/100)+Ustawienia!$B$10*(K4/100)+Ustawienia!$B$11*(1-L4/100))*(Ustawienia!$B$4-Ustawienia!$B$3))))</f>
        <v/>
      </c>
    </row>
    <row r="5" spans="1:13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 t="str">
        <f>IF(OR(I5="",J5="",K5="",L5=""),"",MAX(Ustawienia!$B$3,MIN(Ustawienia!$B$4,Ustawienia!$B$3+(Ustawienia!$B$8*(I5/100)+Ustawienia!$B$9*(J5/100)+Ustawienia!$B$10*(K5/100)+Ustawienia!$B$11*(1-L5/100))*(Ustawienia!$B$4-Ustawienia!$B$3))))</f>
        <v/>
      </c>
    </row>
    <row r="6" spans="1:1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 t="str">
        <f>IF(OR(I6="",J6="",K6="",L6=""),"",MAX(Ustawienia!$B$3,MIN(Ustawienia!$B$4,Ustawienia!$B$3+(Ustawienia!$B$8*(I6/100)+Ustawienia!$B$9*(J6/100)+Ustawienia!$B$10*(K6/100)+Ustawienia!$B$11*(1-L6/100))*(Ustawienia!$B$4-Ustawienia!$B$3))))</f>
        <v/>
      </c>
    </row>
    <row r="7" spans="1:13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 t="str">
        <f>IF(OR(I7="",J7="",K7="",L7=""),"",MAX(Ustawienia!$B$3,MIN(Ustawienia!$B$4,Ustawienia!$B$3+(Ustawienia!$B$8*(I7/100)+Ustawienia!$B$9*(J7/100)+Ustawienia!$B$10*(K7/100)+Ustawienia!$B$11*(1-L7/100))*(Ustawienia!$B$4-Ustawienia!$B$3))))</f>
        <v/>
      </c>
    </row>
    <row r="8" spans="1:1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 t="str">
        <f>IF(OR(I8="",J8="",K8="",L8=""),"",MAX(Ustawienia!$B$3,MIN(Ustawienia!$B$4,Ustawienia!$B$3+(Ustawienia!$B$8*(I8/100)+Ustawienia!$B$9*(J8/100)+Ustawienia!$B$10*(K8/100)+Ustawienia!$B$11*(1-L8/100))*(Ustawienia!$B$4-Ustawienia!$B$3))))</f>
        <v/>
      </c>
    </row>
    <row r="9" spans="1:1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 t="str">
        <f>IF(OR(I9="",J9="",K9="",L9=""),"",MAX(Ustawienia!$B$3,MIN(Ustawienia!$B$4,Ustawienia!$B$3+(Ustawienia!$B$8*(I9/100)+Ustawienia!$B$9*(J9/100)+Ustawienia!$B$10*(K9/100)+Ustawienia!$B$11*(1-L9/100))*(Ustawienia!$B$4-Ustawienia!$B$3))))</f>
        <v/>
      </c>
    </row>
    <row r="10" spans="1:1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 t="str">
        <f>IF(OR(I10="",J10="",K10="",L10=""),"",MAX(Ustawienia!$B$3,MIN(Ustawienia!$B$4,Ustawienia!$B$3+(Ustawienia!$B$8*(I10/100)+Ustawienia!$B$9*(J10/100)+Ustawienia!$B$10*(K10/100)+Ustawienia!$B$11*(1-L10/100))*(Ustawienia!$B$4-Ustawienia!$B$3))))</f>
        <v/>
      </c>
    </row>
    <row r="11" spans="1:1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tr">
        <f>IF(OR(I11="",J11="",K11="",L11=""),"",MAX(Ustawienia!$B$3,MIN(Ustawienia!$B$4,Ustawienia!$B$3+(Ustawienia!$B$8*(I11/100)+Ustawienia!$B$9*(J11/100)+Ustawienia!$B$10*(K11/100)+Ustawienia!$B$11*(1-L11/100))*(Ustawienia!$B$4-Ustawienia!$B$3))))</f>
        <v/>
      </c>
    </row>
    <row r="12" spans="1:1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 t="str">
        <f>IF(OR(I12="",J12="",K12="",L12=""),"",MAX(Ustawienia!$B$3,MIN(Ustawienia!$B$4,Ustawienia!$B$3+(Ustawienia!$B$8*(I12/100)+Ustawienia!$B$9*(J12/100)+Ustawienia!$B$10*(K12/100)+Ustawienia!$B$11*(1-L12/100))*(Ustawienia!$B$4-Ustawienia!$B$3))))</f>
        <v/>
      </c>
    </row>
    <row r="13" spans="1:13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tr">
        <f>IF(OR(I13="",J13="",K13="",L13=""),"",MAX(Ustawienia!$B$3,MIN(Ustawienia!$B$4,Ustawienia!$B$3+(Ustawienia!$B$8*(I13/100)+Ustawienia!$B$9*(J13/100)+Ustawienia!$B$10*(K13/100)+Ustawienia!$B$11*(1-L13/100))*(Ustawienia!$B$4-Ustawienia!$B$3))))</f>
        <v/>
      </c>
    </row>
    <row r="14" spans="1:1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 t="str">
        <f>IF(OR(I14="",J14="",K14="",L14=""),"",MAX(Ustawienia!$B$3,MIN(Ustawienia!$B$4,Ustawienia!$B$3+(Ustawienia!$B$8*(I14/100)+Ustawienia!$B$9*(J14/100)+Ustawienia!$B$10*(K14/100)+Ustawienia!$B$11*(1-L14/100))*(Ustawienia!$B$4-Ustawienia!$B$3))))</f>
        <v/>
      </c>
    </row>
    <row r="15" spans="1:13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tr">
        <f>IF(OR(I15="",J15="",K15="",L15=""),"",MAX(Ustawienia!$B$3,MIN(Ustawienia!$B$4,Ustawienia!$B$3+(Ustawienia!$B$8*(I15/100)+Ustawienia!$B$9*(J15/100)+Ustawienia!$B$10*(K15/100)+Ustawienia!$B$11*(1-L15/100))*(Ustawienia!$B$4-Ustawienia!$B$3))))</f>
        <v/>
      </c>
    </row>
    <row r="16" spans="1:1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 t="str">
        <f>IF(OR(I16="",J16="",K16="",L16=""),"",MAX(Ustawienia!$B$3,MIN(Ustawienia!$B$4,Ustawienia!$B$3+(Ustawienia!$B$8*(I16/100)+Ustawienia!$B$9*(J16/100)+Ustawienia!$B$10*(K16/100)+Ustawienia!$B$11*(1-L16/100))*(Ustawienia!$B$4-Ustawienia!$B$3))))</f>
        <v/>
      </c>
    </row>
    <row r="17" spans="1:1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tr">
        <f>IF(OR(I17="",J17="",K17="",L17=""),"",MAX(Ustawienia!$B$3,MIN(Ustawienia!$B$4,Ustawienia!$B$3+(Ustawienia!$B$8*(I17/100)+Ustawienia!$B$9*(J17/100)+Ustawienia!$B$10*(K17/100)+Ustawienia!$B$11*(1-L17/100))*(Ustawienia!$B$4-Ustawienia!$B$3))))</f>
        <v/>
      </c>
    </row>
    <row r="18" spans="1:1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 t="str">
        <f>IF(OR(I18="",J18="",K18="",L18=""),"",MAX(Ustawienia!$B$3,MIN(Ustawienia!$B$4,Ustawienia!$B$3+(Ustawienia!$B$8*(I18/100)+Ustawienia!$B$9*(J18/100)+Ustawienia!$B$10*(K18/100)+Ustawienia!$B$11*(1-L18/100))*(Ustawienia!$B$4-Ustawienia!$B$3))))</f>
        <v/>
      </c>
    </row>
    <row r="19" spans="1:13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tr">
        <f>IF(OR(I19="",J19="",K19="",L19=""),"",MAX(Ustawienia!$B$3,MIN(Ustawienia!$B$4,Ustawienia!$B$3+(Ustawienia!$B$8*(I19/100)+Ustawienia!$B$9*(J19/100)+Ustawienia!$B$10*(K19/100)+Ustawienia!$B$11*(1-L19/100))*(Ustawienia!$B$4-Ustawienia!$B$3))))</f>
        <v/>
      </c>
    </row>
    <row r="20" spans="1:1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 t="str">
        <f>IF(OR(I20="",J20="",K20="",L20=""),"",MAX(Ustawienia!$B$3,MIN(Ustawienia!$B$4,Ustawienia!$B$3+(Ustawienia!$B$8*(I20/100)+Ustawienia!$B$9*(J20/100)+Ustawienia!$B$10*(K20/100)+Ustawienia!$B$11*(1-L20/100))*(Ustawienia!$B$4-Ustawienia!$B$3))))</f>
        <v/>
      </c>
    </row>
    <row r="21" spans="1:13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tr">
        <f>IF(OR(I21="",J21="",K21="",L21=""),"",MAX(Ustawienia!$B$3,MIN(Ustawienia!$B$4,Ustawienia!$B$3+(Ustawienia!$B$8*(I21/100)+Ustawienia!$B$9*(J21/100)+Ustawienia!$B$10*(K21/100)+Ustawienia!$B$11*(1-L21/100))*(Ustawienia!$B$4-Ustawienia!$B$3))))</f>
        <v/>
      </c>
    </row>
    <row r="22" spans="1:1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 t="str">
        <f>IF(OR(I22="",J22="",K22="",L22=""),"",MAX(Ustawienia!$B$3,MIN(Ustawienia!$B$4,Ustawienia!$B$3+(Ustawienia!$B$8*(I22/100)+Ustawienia!$B$9*(J22/100)+Ustawienia!$B$10*(K22/100)+Ustawienia!$B$11*(1-L22/100))*(Ustawienia!$B$4-Ustawienia!$B$3))))</f>
        <v/>
      </c>
    </row>
    <row r="23" spans="1:13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tr">
        <f>IF(OR(I23="",J23="",K23="",L23=""),"",MAX(Ustawienia!$B$3,MIN(Ustawienia!$B$4,Ustawienia!$B$3+(Ustawienia!$B$8*(I23/100)+Ustawienia!$B$9*(J23/100)+Ustawienia!$B$10*(K23/100)+Ustawienia!$B$11*(1-L23/100))*(Ustawienia!$B$4-Ustawienia!$B$3))))</f>
        <v/>
      </c>
    </row>
    <row r="24" spans="1:1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 t="str">
        <f>IF(OR(I24="",J24="",K24="",L24=""),"",MAX(Ustawienia!$B$3,MIN(Ustawienia!$B$4,Ustawienia!$B$3+(Ustawienia!$B$8*(I24/100)+Ustawienia!$B$9*(J24/100)+Ustawienia!$B$10*(K24/100)+Ustawienia!$B$11*(1-L24/100))*(Ustawienia!$B$4-Ustawienia!$B$3))))</f>
        <v/>
      </c>
    </row>
    <row r="25" spans="1:13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tr">
        <f>IF(OR(I25="",J25="",K25="",L25=""),"",MAX(Ustawienia!$B$3,MIN(Ustawienia!$B$4,Ustawienia!$B$3+(Ustawienia!$B$8*(I25/100)+Ustawienia!$B$9*(J25/100)+Ustawienia!$B$10*(K25/100)+Ustawienia!$B$11*(1-L25/100))*(Ustawienia!$B$4-Ustawienia!$B$3))))</f>
        <v/>
      </c>
    </row>
    <row r="26" spans="1:1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 t="str">
        <f>IF(OR(I26="",J26="",K26="",L26=""),"",MAX(Ustawienia!$B$3,MIN(Ustawienia!$B$4,Ustawienia!$B$3+(Ustawienia!$B$8*(I26/100)+Ustawienia!$B$9*(J26/100)+Ustawienia!$B$10*(K26/100)+Ustawienia!$B$11*(1-L26/100))*(Ustawienia!$B$4-Ustawienia!$B$3))))</f>
        <v/>
      </c>
    </row>
    <row r="27" spans="1:13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tr">
        <f>IF(OR(I27="",J27="",K27="",L27=""),"",MAX(Ustawienia!$B$3,MIN(Ustawienia!$B$4,Ustawienia!$B$3+(Ustawienia!$B$8*(I27/100)+Ustawienia!$B$9*(J27/100)+Ustawienia!$B$10*(K27/100)+Ustawienia!$B$11*(1-L27/100))*(Ustawienia!$B$4-Ustawienia!$B$3))))</f>
        <v/>
      </c>
    </row>
    <row r="28" spans="1:13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 t="str">
        <f>IF(OR(I28="",J28="",K28="",L28=""),"",MAX(Ustawienia!$B$3,MIN(Ustawienia!$B$4,Ustawienia!$B$3+(Ustawienia!$B$8*(I28/100)+Ustawienia!$B$9*(J28/100)+Ustawienia!$B$10*(K28/100)+Ustawienia!$B$11*(1-L28/100))*(Ustawienia!$B$4-Ustawienia!$B$3))))</f>
        <v/>
      </c>
    </row>
    <row r="29" spans="1:13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tr">
        <f>IF(OR(I29="",J29="",K29="",L29=""),"",MAX(Ustawienia!$B$3,MIN(Ustawienia!$B$4,Ustawienia!$B$3+(Ustawienia!$B$8*(I29/100)+Ustawienia!$B$9*(J29/100)+Ustawienia!$B$10*(K29/100)+Ustawienia!$B$11*(1-L29/100))*(Ustawienia!$B$4-Ustawienia!$B$3))))</f>
        <v/>
      </c>
    </row>
    <row r="30" spans="1:13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 t="str">
        <f>IF(OR(I30="",J30="",K30="",L30=""),"",MAX(Ustawienia!$B$3,MIN(Ustawienia!$B$4,Ustawienia!$B$3+(Ustawienia!$B$8*(I30/100)+Ustawienia!$B$9*(J30/100)+Ustawienia!$B$10*(K30/100)+Ustawienia!$B$11*(1-L30/100))*(Ustawienia!$B$4-Ustawienia!$B$3))))</f>
        <v/>
      </c>
    </row>
    <row r="31" spans="1:13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tr">
        <f>IF(OR(I31="",J31="",K31="",L31=""),"",MAX(Ustawienia!$B$3,MIN(Ustawienia!$B$4,Ustawienia!$B$3+(Ustawienia!$B$8*(I31/100)+Ustawienia!$B$9*(J31/100)+Ustawienia!$B$10*(K31/100)+Ustawienia!$B$11*(1-L31/100))*(Ustawienia!$B$4-Ustawienia!$B$3))))</f>
        <v/>
      </c>
    </row>
    <row r="32" spans="1:13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 t="str">
        <f>IF(OR(I32="",J32="",K32="",L32=""),"",MAX(Ustawienia!$B$3,MIN(Ustawienia!$B$4,Ustawienia!$B$3+(Ustawienia!$B$8*(I32/100)+Ustawienia!$B$9*(J32/100)+Ustawienia!$B$10*(K32/100)+Ustawienia!$B$11*(1-L32/100))*(Ustawienia!$B$4-Ustawienia!$B$3))))</f>
        <v/>
      </c>
    </row>
    <row r="33" spans="1:13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tr">
        <f>IF(OR(I33="",J33="",K33="",L33=""),"",MAX(Ustawienia!$B$3,MIN(Ustawienia!$B$4,Ustawienia!$B$3+(Ustawienia!$B$8*(I33/100)+Ustawienia!$B$9*(J33/100)+Ustawienia!$B$10*(K33/100)+Ustawienia!$B$11*(1-L33/100))*(Ustawienia!$B$4-Ustawienia!$B$3))))</f>
        <v/>
      </c>
    </row>
    <row r="34" spans="1:13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 t="str">
        <f>IF(OR(I34="",J34="",K34="",L34=""),"",MAX(Ustawienia!$B$3,MIN(Ustawienia!$B$4,Ustawienia!$B$3+(Ustawienia!$B$8*(I34/100)+Ustawienia!$B$9*(J34/100)+Ustawienia!$B$10*(K34/100)+Ustawienia!$B$11*(1-L34/100))*(Ustawienia!$B$4-Ustawienia!$B$3))))</f>
        <v/>
      </c>
    </row>
    <row r="35" spans="1:13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tr">
        <f>IF(OR(I35="",J35="",K35="",L35=""),"",MAX(Ustawienia!$B$3,MIN(Ustawienia!$B$4,Ustawienia!$B$3+(Ustawienia!$B$8*(I35/100)+Ustawienia!$B$9*(J35/100)+Ustawienia!$B$10*(K35/100)+Ustawienia!$B$11*(1-L35/100))*(Ustawienia!$B$4-Ustawienia!$B$3))))</f>
        <v/>
      </c>
    </row>
    <row r="36" spans="1:13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 t="str">
        <f>IF(OR(I36="",J36="",K36="",L36=""),"",MAX(Ustawienia!$B$3,MIN(Ustawienia!$B$4,Ustawienia!$B$3+(Ustawienia!$B$8*(I36/100)+Ustawienia!$B$9*(J36/100)+Ustawienia!$B$10*(K36/100)+Ustawienia!$B$11*(1-L36/100))*(Ustawienia!$B$4-Ustawienia!$B$3))))</f>
        <v/>
      </c>
    </row>
    <row r="37" spans="1:13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tr">
        <f>IF(OR(I37="",J37="",K37="",L37=""),"",MAX(Ustawienia!$B$3,MIN(Ustawienia!$B$4,Ustawienia!$B$3+(Ustawienia!$B$8*(I37/100)+Ustawienia!$B$9*(J37/100)+Ustawienia!$B$10*(K37/100)+Ustawienia!$B$11*(1-L37/100))*(Ustawienia!$B$4-Ustawienia!$B$3))))</f>
        <v/>
      </c>
    </row>
    <row r="38" spans="1:13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 t="str">
        <f>IF(OR(I38="",J38="",K38="",L38=""),"",MAX(Ustawienia!$B$3,MIN(Ustawienia!$B$4,Ustawienia!$B$3+(Ustawienia!$B$8*(I38/100)+Ustawienia!$B$9*(J38/100)+Ustawienia!$B$10*(K38/100)+Ustawienia!$B$11*(1-L38/100))*(Ustawienia!$B$4-Ustawienia!$B$3))))</f>
        <v/>
      </c>
    </row>
    <row r="39" spans="1:13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tr">
        <f>IF(OR(I39="",J39="",K39="",L39=""),"",MAX(Ustawienia!$B$3,MIN(Ustawienia!$B$4,Ustawienia!$B$3+(Ustawienia!$B$8*(I39/100)+Ustawienia!$B$9*(J39/100)+Ustawienia!$B$10*(K39/100)+Ustawienia!$B$11*(1-L39/100))*(Ustawienia!$B$4-Ustawienia!$B$3))))</f>
        <v/>
      </c>
    </row>
    <row r="40" spans="1:13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 t="str">
        <f>IF(OR(I40="",J40="",K40="",L40=""),"",MAX(Ustawienia!$B$3,MIN(Ustawienia!$B$4,Ustawienia!$B$3+(Ustawienia!$B$8*(I40/100)+Ustawienia!$B$9*(J40/100)+Ustawienia!$B$10*(K40/100)+Ustawienia!$B$11*(1-L40/100))*(Ustawienia!$B$4-Ustawienia!$B$3))))</f>
        <v/>
      </c>
    </row>
    <row r="41" spans="1:13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tr">
        <f>IF(OR(I41="",J41="",K41="",L41=""),"",MAX(Ustawienia!$B$3,MIN(Ustawienia!$B$4,Ustawienia!$B$3+(Ustawienia!$B$8*(I41/100)+Ustawienia!$B$9*(J41/100)+Ustawienia!$B$10*(K41/100)+Ustawienia!$B$11*(1-L41/100))*(Ustawienia!$B$4-Ustawienia!$B$3))))</f>
        <v/>
      </c>
    </row>
    <row r="42" spans="1:13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 t="str">
        <f>IF(OR(I42="",J42="",K42="",L42=""),"",MAX(Ustawienia!$B$3,MIN(Ustawienia!$B$4,Ustawienia!$B$3+(Ustawienia!$B$8*(I42/100)+Ustawienia!$B$9*(J42/100)+Ustawienia!$B$10*(K42/100)+Ustawienia!$B$11*(1-L42/100))*(Ustawienia!$B$4-Ustawienia!$B$3))))</f>
        <v/>
      </c>
    </row>
    <row r="43" spans="1:13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tr">
        <f>IF(OR(I43="",J43="",K43="",L43=""),"",MAX(Ustawienia!$B$3,MIN(Ustawienia!$B$4,Ustawienia!$B$3+(Ustawienia!$B$8*(I43/100)+Ustawienia!$B$9*(J43/100)+Ustawienia!$B$10*(K43/100)+Ustawienia!$B$11*(1-L43/100))*(Ustawienia!$B$4-Ustawienia!$B$3))))</f>
        <v/>
      </c>
    </row>
    <row r="44" spans="1:13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 t="str">
        <f>IF(OR(I44="",J44="",K44="",L44=""),"",MAX(Ustawienia!$B$3,MIN(Ustawienia!$B$4,Ustawienia!$B$3+(Ustawienia!$B$8*(I44/100)+Ustawienia!$B$9*(J44/100)+Ustawienia!$B$10*(K44/100)+Ustawienia!$B$11*(1-L44/100))*(Ustawienia!$B$4-Ustawienia!$B$3))))</f>
        <v/>
      </c>
    </row>
    <row r="45" spans="1:13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tr">
        <f>IF(OR(I45="",J45="",K45="",L45=""),"",MAX(Ustawienia!$B$3,MIN(Ustawienia!$B$4,Ustawienia!$B$3+(Ustawienia!$B$8*(I45/100)+Ustawienia!$B$9*(J45/100)+Ustawienia!$B$10*(K45/100)+Ustawienia!$B$11*(1-L45/100))*(Ustawienia!$B$4-Ustawienia!$B$3))))</f>
        <v/>
      </c>
    </row>
    <row r="46" spans="1:13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 t="str">
        <f>IF(OR(I46="",J46="",K46="",L46=""),"",MAX(Ustawienia!$B$3,MIN(Ustawienia!$B$4,Ustawienia!$B$3+(Ustawienia!$B$8*(I46/100)+Ustawienia!$B$9*(J46/100)+Ustawienia!$B$10*(K46/100)+Ustawienia!$B$11*(1-L46/100))*(Ustawienia!$B$4-Ustawienia!$B$3))))</f>
        <v/>
      </c>
    </row>
    <row r="47" spans="1:13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tr">
        <f>IF(OR(I47="",J47="",K47="",L47=""),"",MAX(Ustawienia!$B$3,MIN(Ustawienia!$B$4,Ustawienia!$B$3+(Ustawienia!$B$8*(I47/100)+Ustawienia!$B$9*(J47/100)+Ustawienia!$B$10*(K47/100)+Ustawienia!$B$11*(1-L47/100))*(Ustawienia!$B$4-Ustawienia!$B$3))))</f>
        <v/>
      </c>
    </row>
    <row r="48" spans="1:13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 t="str">
        <f>IF(OR(I48="",J48="",K48="",L48=""),"",MAX(Ustawienia!$B$3,MIN(Ustawienia!$B$4,Ustawienia!$B$3+(Ustawienia!$B$8*(I48/100)+Ustawienia!$B$9*(J48/100)+Ustawienia!$B$10*(K48/100)+Ustawienia!$B$11*(1-L48/100))*(Ustawienia!$B$4-Ustawienia!$B$3))))</f>
        <v/>
      </c>
    </row>
    <row r="49" spans="1:13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tr">
        <f>IF(OR(I49="",J49="",K49="",L49=""),"",MAX(Ustawienia!$B$3,MIN(Ustawienia!$B$4,Ustawienia!$B$3+(Ustawienia!$B$8*(I49/100)+Ustawienia!$B$9*(J49/100)+Ustawienia!$B$10*(K49/100)+Ustawienia!$B$11*(1-L49/100))*(Ustawienia!$B$4-Ustawienia!$B$3))))</f>
        <v/>
      </c>
    </row>
    <row r="50" spans="1:13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 t="str">
        <f>IF(OR(I50="",J50="",K50="",L50=""),"",MAX(Ustawienia!$B$3,MIN(Ustawienia!$B$4,Ustawienia!$B$3+(Ustawienia!$B$8*(I50/100)+Ustawienia!$B$9*(J50/100)+Ustawienia!$B$10*(K50/100)+Ustawienia!$B$11*(1-L50/100))*(Ustawienia!$B$4-Ustawienia!$B$3))))</f>
        <v/>
      </c>
    </row>
    <row r="51" spans="1:13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tr">
        <f>IF(OR(I51="",J51="",K51="",L51=""),"",MAX(Ustawienia!$B$3,MIN(Ustawienia!$B$4,Ustawienia!$B$3+(Ustawienia!$B$8*(I51/100)+Ustawienia!$B$9*(J51/100)+Ustawienia!$B$10*(K51/100)+Ustawienia!$B$11*(1-L51/100))*(Ustawienia!$B$4-Ustawienia!$B$3))))</f>
        <v/>
      </c>
    </row>
    <row r="52" spans="1:13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 t="str">
        <f>IF(OR(I52="",J52="",K52="",L52=""),"",MAX(Ustawienia!$B$3,MIN(Ustawienia!$B$4,Ustawienia!$B$3+(Ustawienia!$B$8*(I52/100)+Ustawienia!$B$9*(J52/100)+Ustawienia!$B$10*(K52/100)+Ustawienia!$B$11*(1-L52/100))*(Ustawienia!$B$4-Ustawienia!$B$3))))</f>
        <v/>
      </c>
    </row>
    <row r="53" spans="1:13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tr">
        <f>IF(OR(I53="",J53="",K53="",L53=""),"",MAX(Ustawienia!$B$3,MIN(Ustawienia!$B$4,Ustawienia!$B$3+(Ustawienia!$B$8*(I53/100)+Ustawienia!$B$9*(J53/100)+Ustawienia!$B$10*(K53/100)+Ustawienia!$B$11*(1-L53/100))*(Ustawienia!$B$4-Ustawienia!$B$3))))</f>
        <v/>
      </c>
    </row>
    <row r="54" spans="1:13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 t="str">
        <f>IF(OR(I54="",J54="",K54="",L54=""),"",MAX(Ustawienia!$B$3,MIN(Ustawienia!$B$4,Ustawienia!$B$3+(Ustawienia!$B$8*(I54/100)+Ustawienia!$B$9*(J54/100)+Ustawienia!$B$10*(K54/100)+Ustawienia!$B$11*(1-L54/100))*(Ustawienia!$B$4-Ustawienia!$B$3))))</f>
        <v/>
      </c>
    </row>
    <row r="55" spans="1:13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tr">
        <f>IF(OR(I55="",J55="",K55="",L55=""),"",MAX(Ustawienia!$B$3,MIN(Ustawienia!$B$4,Ustawienia!$B$3+(Ustawienia!$B$8*(I55/100)+Ustawienia!$B$9*(J55/100)+Ustawienia!$B$10*(K55/100)+Ustawienia!$B$11*(1-L55/100))*(Ustawienia!$B$4-Ustawienia!$B$3))))</f>
        <v/>
      </c>
    </row>
    <row r="56" spans="1:13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 t="str">
        <f>IF(OR(I56="",J56="",K56="",L56=""),"",MAX(Ustawienia!$B$3,MIN(Ustawienia!$B$4,Ustawienia!$B$3+(Ustawienia!$B$8*(I56/100)+Ustawienia!$B$9*(J56/100)+Ustawienia!$B$10*(K56/100)+Ustawienia!$B$11*(1-L56/100))*(Ustawienia!$B$4-Ustawienia!$B$3))))</f>
        <v/>
      </c>
    </row>
    <row r="57" spans="1:13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tr">
        <f>IF(OR(I57="",J57="",K57="",L57=""),"",MAX(Ustawienia!$B$3,MIN(Ustawienia!$B$4,Ustawienia!$B$3+(Ustawienia!$B$8*(I57/100)+Ustawienia!$B$9*(J57/100)+Ustawienia!$B$10*(K57/100)+Ustawienia!$B$11*(1-L57/100))*(Ustawienia!$B$4-Ustawienia!$B$3))))</f>
        <v/>
      </c>
    </row>
    <row r="58" spans="1:13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 t="str">
        <f>IF(OR(I58="",J58="",K58="",L58=""),"",MAX(Ustawienia!$B$3,MIN(Ustawienia!$B$4,Ustawienia!$B$3+(Ustawienia!$B$8*(I58/100)+Ustawienia!$B$9*(J58/100)+Ustawienia!$B$10*(K58/100)+Ustawienia!$B$11*(1-L58/100))*(Ustawienia!$B$4-Ustawienia!$B$3))))</f>
        <v/>
      </c>
    </row>
    <row r="59" spans="1:13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tr">
        <f>IF(OR(I59="",J59="",K59="",L59=""),"",MAX(Ustawienia!$B$3,MIN(Ustawienia!$B$4,Ustawienia!$B$3+(Ustawienia!$B$8*(I59/100)+Ustawienia!$B$9*(J59/100)+Ustawienia!$B$10*(K59/100)+Ustawienia!$B$11*(1-L59/100))*(Ustawienia!$B$4-Ustawienia!$B$3))))</f>
        <v/>
      </c>
    </row>
    <row r="60" spans="1:13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 t="str">
        <f>IF(OR(I60="",J60="",K60="",L60=""),"",MAX(Ustawienia!$B$3,MIN(Ustawienia!$B$4,Ustawienia!$B$3+(Ustawienia!$B$8*(I60/100)+Ustawienia!$B$9*(J60/100)+Ustawienia!$B$10*(K60/100)+Ustawienia!$B$11*(1-L60/100))*(Ustawienia!$B$4-Ustawienia!$B$3))))</f>
        <v/>
      </c>
    </row>
    <row r="61" spans="1:13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tr">
        <f>IF(OR(I61="",J61="",K61="",L61=""),"",MAX(Ustawienia!$B$3,MIN(Ustawienia!$B$4,Ustawienia!$B$3+(Ustawienia!$B$8*(I61/100)+Ustawienia!$B$9*(J61/100)+Ustawienia!$B$10*(K61/100)+Ustawienia!$B$11*(1-L61/100))*(Ustawienia!$B$4-Ustawienia!$B$3))))</f>
        <v/>
      </c>
    </row>
    <row r="62" spans="1:13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 t="str">
        <f>IF(OR(I62="",J62="",K62="",L62=""),"",MAX(Ustawienia!$B$3,MIN(Ustawienia!$B$4,Ustawienia!$B$3+(Ustawienia!$B$8*(I62/100)+Ustawienia!$B$9*(J62/100)+Ustawienia!$B$10*(K62/100)+Ustawienia!$B$11*(1-L62/100))*(Ustawienia!$B$4-Ustawienia!$B$3))))</f>
        <v/>
      </c>
    </row>
    <row r="63" spans="1:13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tr">
        <f>IF(OR(I63="",J63="",K63="",L63=""),"",MAX(Ustawienia!$B$3,MIN(Ustawienia!$B$4,Ustawienia!$B$3+(Ustawienia!$B$8*(I63/100)+Ustawienia!$B$9*(J63/100)+Ustawienia!$B$10*(K63/100)+Ustawienia!$B$11*(1-L63/100))*(Ustawienia!$B$4-Ustawienia!$B$3))))</f>
        <v/>
      </c>
    </row>
    <row r="64" spans="1:13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 t="str">
        <f>IF(OR(I64="",J64="",K64="",L64=""),"",MAX(Ustawienia!$B$3,MIN(Ustawienia!$B$4,Ustawienia!$B$3+(Ustawienia!$B$8*(I64/100)+Ustawienia!$B$9*(J64/100)+Ustawienia!$B$10*(K64/100)+Ustawienia!$B$11*(1-L64/100))*(Ustawienia!$B$4-Ustawienia!$B$3))))</f>
        <v/>
      </c>
    </row>
    <row r="65" spans="1:13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tr">
        <f>IF(OR(I65="",J65="",K65="",L65=""),"",MAX(Ustawienia!$B$3,MIN(Ustawienia!$B$4,Ustawienia!$B$3+(Ustawienia!$B$8*(I65/100)+Ustawienia!$B$9*(J65/100)+Ustawienia!$B$10*(K65/100)+Ustawienia!$B$11*(1-L65/100))*(Ustawienia!$B$4-Ustawienia!$B$3))))</f>
        <v/>
      </c>
    </row>
    <row r="66" spans="1:13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 t="str">
        <f>IF(OR(I66="",J66="",K66="",L66=""),"",MAX(Ustawienia!$B$3,MIN(Ustawienia!$B$4,Ustawienia!$B$3+(Ustawienia!$B$8*(I66/100)+Ustawienia!$B$9*(J66/100)+Ustawienia!$B$10*(K66/100)+Ustawienia!$B$11*(1-L66/100))*(Ustawienia!$B$4-Ustawienia!$B$3))))</f>
        <v/>
      </c>
    </row>
    <row r="67" spans="1:13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tr">
        <f>IF(OR(I67="",J67="",K67="",L67=""),"",MAX(Ustawienia!$B$3,MIN(Ustawienia!$B$4,Ustawienia!$B$3+(Ustawienia!$B$8*(I67/100)+Ustawienia!$B$9*(J67/100)+Ustawienia!$B$10*(K67/100)+Ustawienia!$B$11*(1-L67/100))*(Ustawienia!$B$4-Ustawienia!$B$3))))</f>
        <v/>
      </c>
    </row>
    <row r="68" spans="1:13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 t="str">
        <f>IF(OR(I68="",J68="",K68="",L68=""),"",MAX(Ustawienia!$B$3,MIN(Ustawienia!$B$4,Ustawienia!$B$3+(Ustawienia!$B$8*(I68/100)+Ustawienia!$B$9*(J68/100)+Ustawienia!$B$10*(K68/100)+Ustawienia!$B$11*(1-L68/100))*(Ustawienia!$B$4-Ustawienia!$B$3))))</f>
        <v/>
      </c>
    </row>
    <row r="69" spans="1:13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tr">
        <f>IF(OR(I69="",J69="",K69="",L69=""),"",MAX(Ustawienia!$B$3,MIN(Ustawienia!$B$4,Ustawienia!$B$3+(Ustawienia!$B$8*(I69/100)+Ustawienia!$B$9*(J69/100)+Ustawienia!$B$10*(K69/100)+Ustawienia!$B$11*(1-L69/100))*(Ustawienia!$B$4-Ustawienia!$B$3))))</f>
        <v/>
      </c>
    </row>
    <row r="70" spans="1:13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 t="str">
        <f>IF(OR(I70="",J70="",K70="",L70=""),"",MAX(Ustawienia!$B$3,MIN(Ustawienia!$B$4,Ustawienia!$B$3+(Ustawienia!$B$8*(I70/100)+Ustawienia!$B$9*(J70/100)+Ustawienia!$B$10*(K70/100)+Ustawienia!$B$11*(1-L70/100))*(Ustawienia!$B$4-Ustawienia!$B$3))))</f>
        <v/>
      </c>
    </row>
    <row r="71" spans="1:13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tr">
        <f>IF(OR(I71="",J71="",K71="",L71=""),"",MAX(Ustawienia!$B$3,MIN(Ustawienia!$B$4,Ustawienia!$B$3+(Ustawienia!$B$8*(I71/100)+Ustawienia!$B$9*(J71/100)+Ustawienia!$B$10*(K71/100)+Ustawienia!$B$11*(1-L71/100))*(Ustawienia!$B$4-Ustawienia!$B$3))))</f>
        <v/>
      </c>
    </row>
    <row r="72" spans="1:13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 t="str">
        <f>IF(OR(I72="",J72="",K72="",L72=""),"",MAX(Ustawienia!$B$3,MIN(Ustawienia!$B$4,Ustawienia!$B$3+(Ustawienia!$B$8*(I72/100)+Ustawienia!$B$9*(J72/100)+Ustawienia!$B$10*(K72/100)+Ustawienia!$B$11*(1-L72/100))*(Ustawienia!$B$4-Ustawienia!$B$3))))</f>
        <v/>
      </c>
    </row>
    <row r="73" spans="1:13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tr">
        <f>IF(OR(I73="",J73="",K73="",L73=""),"",MAX(Ustawienia!$B$3,MIN(Ustawienia!$B$4,Ustawienia!$B$3+(Ustawienia!$B$8*(I73/100)+Ustawienia!$B$9*(J73/100)+Ustawienia!$B$10*(K73/100)+Ustawienia!$B$11*(1-L73/100))*(Ustawienia!$B$4-Ustawienia!$B$3))))</f>
        <v/>
      </c>
    </row>
    <row r="74" spans="1:13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 t="str">
        <f>IF(OR(I74="",J74="",K74="",L74=""),"",MAX(Ustawienia!$B$3,MIN(Ustawienia!$B$4,Ustawienia!$B$3+(Ustawienia!$B$8*(I74/100)+Ustawienia!$B$9*(J74/100)+Ustawienia!$B$10*(K74/100)+Ustawienia!$B$11*(1-L74/100))*(Ustawienia!$B$4-Ustawienia!$B$3))))</f>
        <v/>
      </c>
    </row>
    <row r="75" spans="1:13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tr">
        <f>IF(OR(I75="",J75="",K75="",L75=""),"",MAX(Ustawienia!$B$3,MIN(Ustawienia!$B$4,Ustawienia!$B$3+(Ustawienia!$B$8*(I75/100)+Ustawienia!$B$9*(J75/100)+Ustawienia!$B$10*(K75/100)+Ustawienia!$B$11*(1-L75/100))*(Ustawienia!$B$4-Ustawienia!$B$3))))</f>
        <v/>
      </c>
    </row>
    <row r="76" spans="1:13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 t="str">
        <f>IF(OR(I76="",J76="",K76="",L76=""),"",MAX(Ustawienia!$B$3,MIN(Ustawienia!$B$4,Ustawienia!$B$3+(Ustawienia!$B$8*(I76/100)+Ustawienia!$B$9*(J76/100)+Ustawienia!$B$10*(K76/100)+Ustawienia!$B$11*(1-L76/100))*(Ustawienia!$B$4-Ustawienia!$B$3))))</f>
        <v/>
      </c>
    </row>
    <row r="77" spans="1:13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tr">
        <f>IF(OR(I77="",J77="",K77="",L77=""),"",MAX(Ustawienia!$B$3,MIN(Ustawienia!$B$4,Ustawienia!$B$3+(Ustawienia!$B$8*(I77/100)+Ustawienia!$B$9*(J77/100)+Ustawienia!$B$10*(K77/100)+Ustawienia!$B$11*(1-L77/100))*(Ustawienia!$B$4-Ustawienia!$B$3))))</f>
        <v/>
      </c>
    </row>
    <row r="78" spans="1:13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 t="str">
        <f>IF(OR(I78="",J78="",K78="",L78=""),"",MAX(Ustawienia!$B$3,MIN(Ustawienia!$B$4,Ustawienia!$B$3+(Ustawienia!$B$8*(I78/100)+Ustawienia!$B$9*(J78/100)+Ustawienia!$B$10*(K78/100)+Ustawienia!$B$11*(1-L78/100))*(Ustawienia!$B$4-Ustawienia!$B$3))))</f>
        <v/>
      </c>
    </row>
    <row r="79" spans="1:13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tr">
        <f>IF(OR(I79="",J79="",K79="",L79=""),"",MAX(Ustawienia!$B$3,MIN(Ustawienia!$B$4,Ustawienia!$B$3+(Ustawienia!$B$8*(I79/100)+Ustawienia!$B$9*(J79/100)+Ustawienia!$B$10*(K79/100)+Ustawienia!$B$11*(1-L79/100))*(Ustawienia!$B$4-Ustawienia!$B$3))))</f>
        <v/>
      </c>
    </row>
    <row r="80" spans="1:13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 t="str">
        <f>IF(OR(I80="",J80="",K80="",L80=""),"",MAX(Ustawienia!$B$3,MIN(Ustawienia!$B$4,Ustawienia!$B$3+(Ustawienia!$B$8*(I80/100)+Ustawienia!$B$9*(J80/100)+Ustawienia!$B$10*(K80/100)+Ustawienia!$B$11*(1-L80/100))*(Ustawienia!$B$4-Ustawienia!$B$3))))</f>
        <v/>
      </c>
    </row>
    <row r="81" spans="1:13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tr">
        <f>IF(OR(I81="",J81="",K81="",L81=""),"",MAX(Ustawienia!$B$3,MIN(Ustawienia!$B$4,Ustawienia!$B$3+(Ustawienia!$B$8*(I81/100)+Ustawienia!$B$9*(J81/100)+Ustawienia!$B$10*(K81/100)+Ustawienia!$B$11*(1-L81/100))*(Ustawienia!$B$4-Ustawienia!$B$3))))</f>
        <v/>
      </c>
    </row>
    <row r="82" spans="1:13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 t="str">
        <f>IF(OR(I82="",J82="",K82="",L82=""),"",MAX(Ustawienia!$B$3,MIN(Ustawienia!$B$4,Ustawienia!$B$3+(Ustawienia!$B$8*(I82/100)+Ustawienia!$B$9*(J82/100)+Ustawienia!$B$10*(K82/100)+Ustawienia!$B$11*(1-L82/100))*(Ustawienia!$B$4-Ustawienia!$B$3))))</f>
        <v/>
      </c>
    </row>
    <row r="83" spans="1:13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tr">
        <f>IF(OR(I83="",J83="",K83="",L83=""),"",MAX(Ustawienia!$B$3,MIN(Ustawienia!$B$4,Ustawienia!$B$3+(Ustawienia!$B$8*(I83/100)+Ustawienia!$B$9*(J83/100)+Ustawienia!$B$10*(K83/100)+Ustawienia!$B$11*(1-L83/100))*(Ustawienia!$B$4-Ustawienia!$B$3))))</f>
        <v/>
      </c>
    </row>
    <row r="84" spans="1:13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 t="str">
        <f>IF(OR(I84="",J84="",K84="",L84=""),"",MAX(Ustawienia!$B$3,MIN(Ustawienia!$B$4,Ustawienia!$B$3+(Ustawienia!$B$8*(I84/100)+Ustawienia!$B$9*(J84/100)+Ustawienia!$B$10*(K84/100)+Ustawienia!$B$11*(1-L84/100))*(Ustawienia!$B$4-Ustawienia!$B$3))))</f>
        <v/>
      </c>
    </row>
    <row r="85" spans="1:13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tr">
        <f>IF(OR(I85="",J85="",K85="",L85=""),"",MAX(Ustawienia!$B$3,MIN(Ustawienia!$B$4,Ustawienia!$B$3+(Ustawienia!$B$8*(I85/100)+Ustawienia!$B$9*(J85/100)+Ustawienia!$B$10*(K85/100)+Ustawienia!$B$11*(1-L85/100))*(Ustawienia!$B$4-Ustawienia!$B$3))))</f>
        <v/>
      </c>
    </row>
    <row r="86" spans="1:13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 t="str">
        <f>IF(OR(I86="",J86="",K86="",L86=""),"",MAX(Ustawienia!$B$3,MIN(Ustawienia!$B$4,Ustawienia!$B$3+(Ustawienia!$B$8*(I86/100)+Ustawienia!$B$9*(J86/100)+Ustawienia!$B$10*(K86/100)+Ustawienia!$B$11*(1-L86/100))*(Ustawienia!$B$4-Ustawienia!$B$3))))</f>
        <v/>
      </c>
    </row>
    <row r="87" spans="1:13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tr">
        <f>IF(OR(I87="",J87="",K87="",L87=""),"",MAX(Ustawienia!$B$3,MIN(Ustawienia!$B$4,Ustawienia!$B$3+(Ustawienia!$B$8*(I87/100)+Ustawienia!$B$9*(J87/100)+Ustawienia!$B$10*(K87/100)+Ustawienia!$B$11*(1-L87/100))*(Ustawienia!$B$4-Ustawienia!$B$3))))</f>
        <v/>
      </c>
    </row>
    <row r="88" spans="1:13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 t="str">
        <f>IF(OR(I88="",J88="",K88="",L88=""),"",MAX(Ustawienia!$B$3,MIN(Ustawienia!$B$4,Ustawienia!$B$3+(Ustawienia!$B$8*(I88/100)+Ustawienia!$B$9*(J88/100)+Ustawienia!$B$10*(K88/100)+Ustawienia!$B$11*(1-L88/100))*(Ustawienia!$B$4-Ustawienia!$B$3))))</f>
        <v/>
      </c>
    </row>
    <row r="89" spans="1:13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tr">
        <f>IF(OR(I89="",J89="",K89="",L89=""),"",MAX(Ustawienia!$B$3,MIN(Ustawienia!$B$4,Ustawienia!$B$3+(Ustawienia!$B$8*(I89/100)+Ustawienia!$B$9*(J89/100)+Ustawienia!$B$10*(K89/100)+Ustawienia!$B$11*(1-L89/100))*(Ustawienia!$B$4-Ustawienia!$B$3))))</f>
        <v/>
      </c>
    </row>
    <row r="90" spans="1:13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 t="str">
        <f>IF(OR(I90="",J90="",K90="",L90=""),"",MAX(Ustawienia!$B$3,MIN(Ustawienia!$B$4,Ustawienia!$B$3+(Ustawienia!$B$8*(I90/100)+Ustawienia!$B$9*(J90/100)+Ustawienia!$B$10*(K90/100)+Ustawienia!$B$11*(1-L90/100))*(Ustawienia!$B$4-Ustawienia!$B$3))))</f>
        <v/>
      </c>
    </row>
    <row r="91" spans="1:13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tr">
        <f>IF(OR(I91="",J91="",K91="",L91=""),"",MAX(Ustawienia!$B$3,MIN(Ustawienia!$B$4,Ustawienia!$B$3+(Ustawienia!$B$8*(I91/100)+Ustawienia!$B$9*(J91/100)+Ustawienia!$B$10*(K91/100)+Ustawienia!$B$11*(1-L91/100))*(Ustawienia!$B$4-Ustawienia!$B$3))))</f>
        <v/>
      </c>
    </row>
    <row r="92" spans="1:13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 t="str">
        <f>IF(OR(I92="",J92="",K92="",L92=""),"",MAX(Ustawienia!$B$3,MIN(Ustawienia!$B$4,Ustawienia!$B$3+(Ustawienia!$B$8*(I92/100)+Ustawienia!$B$9*(J92/100)+Ustawienia!$B$10*(K92/100)+Ustawienia!$B$11*(1-L92/100))*(Ustawienia!$B$4-Ustawienia!$B$3))))</f>
        <v/>
      </c>
    </row>
    <row r="93" spans="1:13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tr">
        <f>IF(OR(I93="",J93="",K93="",L93=""),"",MAX(Ustawienia!$B$3,MIN(Ustawienia!$B$4,Ustawienia!$B$3+(Ustawienia!$B$8*(I93/100)+Ustawienia!$B$9*(J93/100)+Ustawienia!$B$10*(K93/100)+Ustawienia!$B$11*(1-L93/100))*(Ustawienia!$B$4-Ustawienia!$B$3))))</f>
        <v/>
      </c>
    </row>
    <row r="94" spans="1:13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 t="str">
        <f>IF(OR(I94="",J94="",K94="",L94=""),"",MAX(Ustawienia!$B$3,MIN(Ustawienia!$B$4,Ustawienia!$B$3+(Ustawienia!$B$8*(I94/100)+Ustawienia!$B$9*(J94/100)+Ustawienia!$B$10*(K94/100)+Ustawienia!$B$11*(1-L94/100))*(Ustawienia!$B$4-Ustawienia!$B$3))))</f>
        <v/>
      </c>
    </row>
    <row r="95" spans="1:13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tr">
        <f>IF(OR(I95="",J95="",K95="",L95=""),"",MAX(Ustawienia!$B$3,MIN(Ustawienia!$B$4,Ustawienia!$B$3+(Ustawienia!$B$8*(I95/100)+Ustawienia!$B$9*(J95/100)+Ustawienia!$B$10*(K95/100)+Ustawienia!$B$11*(1-L95/100))*(Ustawienia!$B$4-Ustawienia!$B$3))))</f>
        <v/>
      </c>
    </row>
    <row r="96" spans="1:13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 t="str">
        <f>IF(OR(I96="",J96="",K96="",L96=""),"",MAX(Ustawienia!$B$3,MIN(Ustawienia!$B$4,Ustawienia!$B$3+(Ustawienia!$B$8*(I96/100)+Ustawienia!$B$9*(J96/100)+Ustawienia!$B$10*(K96/100)+Ustawienia!$B$11*(1-L96/100))*(Ustawienia!$B$4-Ustawienia!$B$3))))</f>
        <v/>
      </c>
    </row>
    <row r="97" spans="1:13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tr">
        <f>IF(OR(I97="",J97="",K97="",L97=""),"",MAX(Ustawienia!$B$3,MIN(Ustawienia!$B$4,Ustawienia!$B$3+(Ustawienia!$B$8*(I97/100)+Ustawienia!$B$9*(J97/100)+Ustawienia!$B$10*(K97/100)+Ustawienia!$B$11*(1-L97/100))*(Ustawienia!$B$4-Ustawienia!$B$3))))</f>
        <v/>
      </c>
    </row>
    <row r="98" spans="1:13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 t="str">
        <f>IF(OR(I98="",J98="",K98="",L98=""),"",MAX(Ustawienia!$B$3,MIN(Ustawienia!$B$4,Ustawienia!$B$3+(Ustawienia!$B$8*(I98/100)+Ustawienia!$B$9*(J98/100)+Ustawienia!$B$10*(K98/100)+Ustawienia!$B$11*(1-L98/100))*(Ustawienia!$B$4-Ustawienia!$B$3))))</f>
        <v/>
      </c>
    </row>
    <row r="99" spans="1:13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tr">
        <f>IF(OR(I99="",J99="",K99="",L99=""),"",MAX(Ustawienia!$B$3,MIN(Ustawienia!$B$4,Ustawienia!$B$3+(Ustawienia!$B$8*(I99/100)+Ustawienia!$B$9*(J99/100)+Ustawienia!$B$10*(K99/100)+Ustawienia!$B$11*(1-L99/100))*(Ustawienia!$B$4-Ustawienia!$B$3))))</f>
        <v/>
      </c>
    </row>
    <row r="100" spans="1:13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 t="str">
        <f>IF(OR(I100="",J100="",K100="",L100=""),"",MAX(Ustawienia!$B$3,MIN(Ustawienia!$B$4,Ustawienia!$B$3+(Ustawienia!$B$8*(I100/100)+Ustawienia!$B$9*(J100/100)+Ustawienia!$B$10*(K100/100)+Ustawienia!$B$11*(1-L100/100))*(Ustawienia!$B$4-Ustawienia!$B$3))))</f>
        <v/>
      </c>
    </row>
    <row r="101" spans="1:13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tr">
        <f>IF(OR(I101="",J101="",K101="",L101=""),"",MAX(Ustawienia!$B$3,MIN(Ustawienia!$B$4,Ustawienia!$B$3+(Ustawienia!$B$8*(I101/100)+Ustawienia!$B$9*(J101/100)+Ustawienia!$B$10*(K101/100)+Ustawienia!$B$11*(1-L101/100))*(Ustawienia!$B$4-Ustawienia!$B$3))))</f>
        <v/>
      </c>
    </row>
    <row r="102" spans="1:13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 t="str">
        <f>IF(OR(I102="",J102="",K102="",L102=""),"",MAX(Ustawienia!$B$3,MIN(Ustawienia!$B$4,Ustawienia!$B$3+(Ustawienia!$B$8*(I102/100)+Ustawienia!$B$9*(J102/100)+Ustawienia!$B$10*(K102/100)+Ustawienia!$B$11*(1-L102/100))*(Ustawienia!$B$4-Ustawienia!$B$3))))</f>
        <v/>
      </c>
    </row>
    <row r="103" spans="1:13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tr">
        <f>IF(OR(I103="",J103="",K103="",L103=""),"",MAX(Ustawienia!$B$3,MIN(Ustawienia!$B$4,Ustawienia!$B$3+(Ustawienia!$B$8*(I103/100)+Ustawienia!$B$9*(J103/100)+Ustawienia!$B$10*(K103/100)+Ustawienia!$B$11*(1-L103/100))*(Ustawienia!$B$4-Ustawienia!$B$3))))</f>
        <v/>
      </c>
    </row>
    <row r="104" spans="1:13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 t="str">
        <f>IF(OR(I104="",J104="",K104="",L104=""),"",MAX(Ustawienia!$B$3,MIN(Ustawienia!$B$4,Ustawienia!$B$3+(Ustawienia!$B$8*(I104/100)+Ustawienia!$B$9*(J104/100)+Ustawienia!$B$10*(K104/100)+Ustawienia!$B$11*(1-L104/100))*(Ustawienia!$B$4-Ustawienia!$B$3))))</f>
        <v/>
      </c>
    </row>
    <row r="105" spans="1:13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tr">
        <f>IF(OR(I105="",J105="",K105="",L105=""),"",MAX(Ustawienia!$B$3,MIN(Ustawienia!$B$4,Ustawienia!$B$3+(Ustawienia!$B$8*(I105/100)+Ustawienia!$B$9*(J105/100)+Ustawienia!$B$10*(K105/100)+Ustawienia!$B$11*(1-L105/100))*(Ustawienia!$B$4-Ustawienia!$B$3))))</f>
        <v/>
      </c>
    </row>
    <row r="106" spans="1:13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 t="str">
        <f>IF(OR(I106="",J106="",K106="",L106=""),"",MAX(Ustawienia!$B$3,MIN(Ustawienia!$B$4,Ustawienia!$B$3+(Ustawienia!$B$8*(I106/100)+Ustawienia!$B$9*(J106/100)+Ustawienia!$B$10*(K106/100)+Ustawienia!$B$11*(1-L106/100))*(Ustawienia!$B$4-Ustawienia!$B$3))))</f>
        <v/>
      </c>
    </row>
    <row r="107" spans="1:13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tr">
        <f>IF(OR(I107="",J107="",K107="",L107=""),"",MAX(Ustawienia!$B$3,MIN(Ustawienia!$B$4,Ustawienia!$B$3+(Ustawienia!$B$8*(I107/100)+Ustawienia!$B$9*(J107/100)+Ustawienia!$B$10*(K107/100)+Ustawienia!$B$11*(1-L107/100))*(Ustawienia!$B$4-Ustawienia!$B$3))))</f>
        <v/>
      </c>
    </row>
    <row r="108" spans="1:13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 t="str">
        <f>IF(OR(I108="",J108="",K108="",L108=""),"",MAX(Ustawienia!$B$3,MIN(Ustawienia!$B$4,Ustawienia!$B$3+(Ustawienia!$B$8*(I108/100)+Ustawienia!$B$9*(J108/100)+Ustawienia!$B$10*(K108/100)+Ustawienia!$B$11*(1-L108/100))*(Ustawienia!$B$4-Ustawienia!$B$3))))</f>
        <v/>
      </c>
    </row>
    <row r="109" spans="1:13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tr">
        <f>IF(OR(I109="",J109="",K109="",L109=""),"",MAX(Ustawienia!$B$3,MIN(Ustawienia!$B$4,Ustawienia!$B$3+(Ustawienia!$B$8*(I109/100)+Ustawienia!$B$9*(J109/100)+Ustawienia!$B$10*(K109/100)+Ustawienia!$B$11*(1-L109/100))*(Ustawienia!$B$4-Ustawienia!$B$3))))</f>
        <v/>
      </c>
    </row>
    <row r="110" spans="1:13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 t="str">
        <f>IF(OR(I110="",J110="",K110="",L110=""),"",MAX(Ustawienia!$B$3,MIN(Ustawienia!$B$4,Ustawienia!$B$3+(Ustawienia!$B$8*(I110/100)+Ustawienia!$B$9*(J110/100)+Ustawienia!$B$10*(K110/100)+Ustawienia!$B$11*(1-L110/100))*(Ustawienia!$B$4-Ustawienia!$B$3))))</f>
        <v/>
      </c>
    </row>
    <row r="111" spans="1:13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tr">
        <f>IF(OR(I111="",J111="",K111="",L111=""),"",MAX(Ustawienia!$B$3,MIN(Ustawienia!$B$4,Ustawienia!$B$3+(Ustawienia!$B$8*(I111/100)+Ustawienia!$B$9*(J111/100)+Ustawienia!$B$10*(K111/100)+Ustawienia!$B$11*(1-L111/100))*(Ustawienia!$B$4-Ustawienia!$B$3))))</f>
        <v/>
      </c>
    </row>
    <row r="112" spans="1:13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 t="str">
        <f>IF(OR(I112="",J112="",K112="",L112=""),"",MAX(Ustawienia!$B$3,MIN(Ustawienia!$B$4,Ustawienia!$B$3+(Ustawienia!$B$8*(I112/100)+Ustawienia!$B$9*(J112/100)+Ustawienia!$B$10*(K112/100)+Ustawienia!$B$11*(1-L112/100))*(Ustawienia!$B$4-Ustawienia!$B$3))))</f>
        <v/>
      </c>
    </row>
    <row r="113" spans="1:13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tr">
        <f>IF(OR(I113="",J113="",K113="",L113=""),"",MAX(Ustawienia!$B$3,MIN(Ustawienia!$B$4,Ustawienia!$B$3+(Ustawienia!$B$8*(I113/100)+Ustawienia!$B$9*(J113/100)+Ustawienia!$B$10*(K113/100)+Ustawienia!$B$11*(1-L113/100))*(Ustawienia!$B$4-Ustawienia!$B$3))))</f>
        <v/>
      </c>
    </row>
    <row r="114" spans="1:13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 t="str">
        <f>IF(OR(I114="",J114="",K114="",L114=""),"",MAX(Ustawienia!$B$3,MIN(Ustawienia!$B$4,Ustawienia!$B$3+(Ustawienia!$B$8*(I114/100)+Ustawienia!$B$9*(J114/100)+Ustawienia!$B$10*(K114/100)+Ustawienia!$B$11*(1-L114/100))*(Ustawienia!$B$4-Ustawienia!$B$3))))</f>
        <v/>
      </c>
    </row>
    <row r="115" spans="1:13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tr">
        <f>IF(OR(I115="",J115="",K115="",L115=""),"",MAX(Ustawienia!$B$3,MIN(Ustawienia!$B$4,Ustawienia!$B$3+(Ustawienia!$B$8*(I115/100)+Ustawienia!$B$9*(J115/100)+Ustawienia!$B$10*(K115/100)+Ustawienia!$B$11*(1-L115/100))*(Ustawienia!$B$4-Ustawienia!$B$3))))</f>
        <v/>
      </c>
    </row>
    <row r="116" spans="1:13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 t="str">
        <f>IF(OR(I116="",J116="",K116="",L116=""),"",MAX(Ustawienia!$B$3,MIN(Ustawienia!$B$4,Ustawienia!$B$3+(Ustawienia!$B$8*(I116/100)+Ustawienia!$B$9*(J116/100)+Ustawienia!$B$10*(K116/100)+Ustawienia!$B$11*(1-L116/100))*(Ustawienia!$B$4-Ustawienia!$B$3))))</f>
        <v/>
      </c>
    </row>
    <row r="117" spans="1:13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tr">
        <f>IF(OR(I117="",J117="",K117="",L117=""),"",MAX(Ustawienia!$B$3,MIN(Ustawienia!$B$4,Ustawienia!$B$3+(Ustawienia!$B$8*(I117/100)+Ustawienia!$B$9*(J117/100)+Ustawienia!$B$10*(K117/100)+Ustawienia!$B$11*(1-L117/100))*(Ustawienia!$B$4-Ustawienia!$B$3))))</f>
        <v/>
      </c>
    </row>
    <row r="118" spans="1:13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 t="str">
        <f>IF(OR(I118="",J118="",K118="",L118=""),"",MAX(Ustawienia!$B$3,MIN(Ustawienia!$B$4,Ustawienia!$B$3+(Ustawienia!$B$8*(I118/100)+Ustawienia!$B$9*(J118/100)+Ustawienia!$B$10*(K118/100)+Ustawienia!$B$11*(1-L118/100))*(Ustawienia!$B$4-Ustawienia!$B$3))))</f>
        <v/>
      </c>
    </row>
    <row r="119" spans="1:13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tr">
        <f>IF(OR(I119="",J119="",K119="",L119=""),"",MAX(Ustawienia!$B$3,MIN(Ustawienia!$B$4,Ustawienia!$B$3+(Ustawienia!$B$8*(I119/100)+Ustawienia!$B$9*(J119/100)+Ustawienia!$B$10*(K119/100)+Ustawienia!$B$11*(1-L119/100))*(Ustawienia!$B$4-Ustawienia!$B$3))))</f>
        <v/>
      </c>
    </row>
    <row r="120" spans="1:13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 t="str">
        <f>IF(OR(I120="",J120="",K120="",L120=""),"",MAX(Ustawienia!$B$3,MIN(Ustawienia!$B$4,Ustawienia!$B$3+(Ustawienia!$B$8*(I120/100)+Ustawienia!$B$9*(J120/100)+Ustawienia!$B$10*(K120/100)+Ustawienia!$B$11*(1-L120/100))*(Ustawienia!$B$4-Ustawienia!$B$3))))</f>
        <v/>
      </c>
    </row>
    <row r="121" spans="1:13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tr">
        <f>IF(OR(I121="",J121="",K121="",L121=""),"",MAX(Ustawienia!$B$3,MIN(Ustawienia!$B$4,Ustawienia!$B$3+(Ustawienia!$B$8*(I121/100)+Ustawienia!$B$9*(J121/100)+Ustawienia!$B$10*(K121/100)+Ustawienia!$B$11*(1-L121/100))*(Ustawienia!$B$4-Ustawienia!$B$3))))</f>
        <v/>
      </c>
    </row>
    <row r="122" spans="1:13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 t="str">
        <f>IF(OR(I122="",J122="",K122="",L122=""),"",MAX(Ustawienia!$B$3,MIN(Ustawienia!$B$4,Ustawienia!$B$3+(Ustawienia!$B$8*(I122/100)+Ustawienia!$B$9*(J122/100)+Ustawienia!$B$10*(K122/100)+Ustawienia!$B$11*(1-L122/100))*(Ustawienia!$B$4-Ustawienia!$B$3))))</f>
        <v/>
      </c>
    </row>
    <row r="123" spans="1:13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tr">
        <f>IF(OR(I123="",J123="",K123="",L123=""),"",MAX(Ustawienia!$B$3,MIN(Ustawienia!$B$4,Ustawienia!$B$3+(Ustawienia!$B$8*(I123/100)+Ustawienia!$B$9*(J123/100)+Ustawienia!$B$10*(K123/100)+Ustawienia!$B$11*(1-L123/100))*(Ustawienia!$B$4-Ustawienia!$B$3))))</f>
        <v/>
      </c>
    </row>
    <row r="124" spans="1:13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 t="str">
        <f>IF(OR(I124="",J124="",K124="",L124=""),"",MAX(Ustawienia!$B$3,MIN(Ustawienia!$B$4,Ustawienia!$B$3+(Ustawienia!$B$8*(I124/100)+Ustawienia!$B$9*(J124/100)+Ustawienia!$B$10*(K124/100)+Ustawienia!$B$11*(1-L124/100))*(Ustawienia!$B$4-Ustawienia!$B$3))))</f>
        <v/>
      </c>
    </row>
    <row r="125" spans="1:13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tr">
        <f>IF(OR(I125="",J125="",K125="",L125=""),"",MAX(Ustawienia!$B$3,MIN(Ustawienia!$B$4,Ustawienia!$B$3+(Ustawienia!$B$8*(I125/100)+Ustawienia!$B$9*(J125/100)+Ustawienia!$B$10*(K125/100)+Ustawienia!$B$11*(1-L125/100))*(Ustawienia!$B$4-Ustawienia!$B$3))))</f>
        <v/>
      </c>
    </row>
    <row r="126" spans="1:13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 t="str">
        <f>IF(OR(I126="",J126="",K126="",L126=""),"",MAX(Ustawienia!$B$3,MIN(Ustawienia!$B$4,Ustawienia!$B$3+(Ustawienia!$B$8*(I126/100)+Ustawienia!$B$9*(J126/100)+Ustawienia!$B$10*(K126/100)+Ustawienia!$B$11*(1-L126/100))*(Ustawienia!$B$4-Ustawienia!$B$3))))</f>
        <v/>
      </c>
    </row>
    <row r="127" spans="1:13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tr">
        <f>IF(OR(I127="",J127="",K127="",L127=""),"",MAX(Ustawienia!$B$3,MIN(Ustawienia!$B$4,Ustawienia!$B$3+(Ustawienia!$B$8*(I127/100)+Ustawienia!$B$9*(J127/100)+Ustawienia!$B$10*(K127/100)+Ustawienia!$B$11*(1-L127/100))*(Ustawienia!$B$4-Ustawienia!$B$3))))</f>
        <v/>
      </c>
    </row>
    <row r="128" spans="1:13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 t="str">
        <f>IF(OR(I128="",J128="",K128="",L128=""),"",MAX(Ustawienia!$B$3,MIN(Ustawienia!$B$4,Ustawienia!$B$3+(Ustawienia!$B$8*(I128/100)+Ustawienia!$B$9*(J128/100)+Ustawienia!$B$10*(K128/100)+Ustawienia!$B$11*(1-L128/100))*(Ustawienia!$B$4-Ustawienia!$B$3))))</f>
        <v/>
      </c>
    </row>
    <row r="129" spans="1:13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tr">
        <f>IF(OR(I129="",J129="",K129="",L129=""),"",MAX(Ustawienia!$B$3,MIN(Ustawienia!$B$4,Ustawienia!$B$3+(Ustawienia!$B$8*(I129/100)+Ustawienia!$B$9*(J129/100)+Ustawienia!$B$10*(K129/100)+Ustawienia!$B$11*(1-L129/100))*(Ustawienia!$B$4-Ustawienia!$B$3))))</f>
        <v/>
      </c>
    </row>
    <row r="130" spans="1:13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 t="str">
        <f>IF(OR(I130="",J130="",K130="",L130=""),"",MAX(Ustawienia!$B$3,MIN(Ustawienia!$B$4,Ustawienia!$B$3+(Ustawienia!$B$8*(I130/100)+Ustawienia!$B$9*(J130/100)+Ustawienia!$B$10*(K130/100)+Ustawienia!$B$11*(1-L130/100))*(Ustawienia!$B$4-Ustawienia!$B$3))))</f>
        <v/>
      </c>
    </row>
    <row r="131" spans="1:13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tr">
        <f>IF(OR(I131="",J131="",K131="",L131=""),"",MAX(Ustawienia!$B$3,MIN(Ustawienia!$B$4,Ustawienia!$B$3+(Ustawienia!$B$8*(I131/100)+Ustawienia!$B$9*(J131/100)+Ustawienia!$B$10*(K131/100)+Ustawienia!$B$11*(1-L131/100))*(Ustawienia!$B$4-Ustawienia!$B$3))))</f>
        <v/>
      </c>
    </row>
    <row r="132" spans="1:13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 t="str">
        <f>IF(OR(I132="",J132="",K132="",L132=""),"",MAX(Ustawienia!$B$3,MIN(Ustawienia!$B$4,Ustawienia!$B$3+(Ustawienia!$B$8*(I132/100)+Ustawienia!$B$9*(J132/100)+Ustawienia!$B$10*(K132/100)+Ustawienia!$B$11*(1-L132/100))*(Ustawienia!$B$4-Ustawienia!$B$3))))</f>
        <v/>
      </c>
    </row>
    <row r="133" spans="1:13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tr">
        <f>IF(OR(I133="",J133="",K133="",L133=""),"",MAX(Ustawienia!$B$3,MIN(Ustawienia!$B$4,Ustawienia!$B$3+(Ustawienia!$B$8*(I133/100)+Ustawienia!$B$9*(J133/100)+Ustawienia!$B$10*(K133/100)+Ustawienia!$B$11*(1-L133/100))*(Ustawienia!$B$4-Ustawienia!$B$3))))</f>
        <v/>
      </c>
    </row>
    <row r="134" spans="1:13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 t="str">
        <f>IF(OR(I134="",J134="",K134="",L134=""),"",MAX(Ustawienia!$B$3,MIN(Ustawienia!$B$4,Ustawienia!$B$3+(Ustawienia!$B$8*(I134/100)+Ustawienia!$B$9*(J134/100)+Ustawienia!$B$10*(K134/100)+Ustawienia!$B$11*(1-L134/100))*(Ustawienia!$B$4-Ustawienia!$B$3))))</f>
        <v/>
      </c>
    </row>
    <row r="135" spans="1:13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tr">
        <f>IF(OR(I135="",J135="",K135="",L135=""),"",MAX(Ustawienia!$B$3,MIN(Ustawienia!$B$4,Ustawienia!$B$3+(Ustawienia!$B$8*(I135/100)+Ustawienia!$B$9*(J135/100)+Ustawienia!$B$10*(K135/100)+Ustawienia!$B$11*(1-L135/100))*(Ustawienia!$B$4-Ustawienia!$B$3))))</f>
        <v/>
      </c>
    </row>
    <row r="136" spans="1:13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 t="str">
        <f>IF(OR(I136="",J136="",K136="",L136=""),"",MAX(Ustawienia!$B$3,MIN(Ustawienia!$B$4,Ustawienia!$B$3+(Ustawienia!$B$8*(I136/100)+Ustawienia!$B$9*(J136/100)+Ustawienia!$B$10*(K136/100)+Ustawienia!$B$11*(1-L136/100))*(Ustawienia!$B$4-Ustawienia!$B$3))))</f>
        <v/>
      </c>
    </row>
    <row r="137" spans="1:13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tr">
        <f>IF(OR(I137="",J137="",K137="",L137=""),"",MAX(Ustawienia!$B$3,MIN(Ustawienia!$B$4,Ustawienia!$B$3+(Ustawienia!$B$8*(I137/100)+Ustawienia!$B$9*(J137/100)+Ustawienia!$B$10*(K137/100)+Ustawienia!$B$11*(1-L137/100))*(Ustawienia!$B$4-Ustawienia!$B$3))))</f>
        <v/>
      </c>
    </row>
    <row r="138" spans="1:13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 t="str">
        <f>IF(OR(I138="",J138="",K138="",L138=""),"",MAX(Ustawienia!$B$3,MIN(Ustawienia!$B$4,Ustawienia!$B$3+(Ustawienia!$B$8*(I138/100)+Ustawienia!$B$9*(J138/100)+Ustawienia!$B$10*(K138/100)+Ustawienia!$B$11*(1-L138/100))*(Ustawienia!$B$4-Ustawienia!$B$3))))</f>
        <v/>
      </c>
    </row>
    <row r="139" spans="1:13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tr">
        <f>IF(OR(I139="",J139="",K139="",L139=""),"",MAX(Ustawienia!$B$3,MIN(Ustawienia!$B$4,Ustawienia!$B$3+(Ustawienia!$B$8*(I139/100)+Ustawienia!$B$9*(J139/100)+Ustawienia!$B$10*(K139/100)+Ustawienia!$B$11*(1-L139/100))*(Ustawienia!$B$4-Ustawienia!$B$3))))</f>
        <v/>
      </c>
    </row>
    <row r="140" spans="1:13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 t="str">
        <f>IF(OR(I140="",J140="",K140="",L140=""),"",MAX(Ustawienia!$B$3,MIN(Ustawienia!$B$4,Ustawienia!$B$3+(Ustawienia!$B$8*(I140/100)+Ustawienia!$B$9*(J140/100)+Ustawienia!$B$10*(K140/100)+Ustawienia!$B$11*(1-L140/100))*(Ustawienia!$B$4-Ustawienia!$B$3))))</f>
        <v/>
      </c>
    </row>
    <row r="141" spans="1:13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tr">
        <f>IF(OR(I141="",J141="",K141="",L141=""),"",MAX(Ustawienia!$B$3,MIN(Ustawienia!$B$4,Ustawienia!$B$3+(Ustawienia!$B$8*(I141/100)+Ustawienia!$B$9*(J141/100)+Ustawienia!$B$10*(K141/100)+Ustawienia!$B$11*(1-L141/100))*(Ustawienia!$B$4-Ustawienia!$B$3))))</f>
        <v/>
      </c>
    </row>
    <row r="142" spans="1:13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 t="str">
        <f>IF(OR(I142="",J142="",K142="",L142=""),"",MAX(Ustawienia!$B$3,MIN(Ustawienia!$B$4,Ustawienia!$B$3+(Ustawienia!$B$8*(I142/100)+Ustawienia!$B$9*(J142/100)+Ustawienia!$B$10*(K142/100)+Ustawienia!$B$11*(1-L142/100))*(Ustawienia!$B$4-Ustawienia!$B$3))))</f>
        <v/>
      </c>
    </row>
    <row r="143" spans="1:13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tr">
        <f>IF(OR(I143="",J143="",K143="",L143=""),"",MAX(Ustawienia!$B$3,MIN(Ustawienia!$B$4,Ustawienia!$B$3+(Ustawienia!$B$8*(I143/100)+Ustawienia!$B$9*(J143/100)+Ustawienia!$B$10*(K143/100)+Ustawienia!$B$11*(1-L143/100))*(Ustawienia!$B$4-Ustawienia!$B$3))))</f>
        <v/>
      </c>
    </row>
    <row r="144" spans="1:13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 t="str">
        <f>IF(OR(I144="",J144="",K144="",L144=""),"",MAX(Ustawienia!$B$3,MIN(Ustawienia!$B$4,Ustawienia!$B$3+(Ustawienia!$B$8*(I144/100)+Ustawienia!$B$9*(J144/100)+Ustawienia!$B$10*(K144/100)+Ustawienia!$B$11*(1-L144/100))*(Ustawienia!$B$4-Ustawienia!$B$3))))</f>
        <v/>
      </c>
    </row>
    <row r="145" spans="1:13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tr">
        <f>IF(OR(I145="",J145="",K145="",L145=""),"",MAX(Ustawienia!$B$3,MIN(Ustawienia!$B$4,Ustawienia!$B$3+(Ustawienia!$B$8*(I145/100)+Ustawienia!$B$9*(J145/100)+Ustawienia!$B$10*(K145/100)+Ustawienia!$B$11*(1-L145/100))*(Ustawienia!$B$4-Ustawienia!$B$3))))</f>
        <v/>
      </c>
    </row>
    <row r="146" spans="1:13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 t="str">
        <f>IF(OR(I146="",J146="",K146="",L146=""),"",MAX(Ustawienia!$B$3,MIN(Ustawienia!$B$4,Ustawienia!$B$3+(Ustawienia!$B$8*(I146/100)+Ustawienia!$B$9*(J146/100)+Ustawienia!$B$10*(K146/100)+Ustawienia!$B$11*(1-L146/100))*(Ustawienia!$B$4-Ustawienia!$B$3))))</f>
        <v/>
      </c>
    </row>
    <row r="147" spans="1:13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tr">
        <f>IF(OR(I147="",J147="",K147="",L147=""),"",MAX(Ustawienia!$B$3,MIN(Ustawienia!$B$4,Ustawienia!$B$3+(Ustawienia!$B$8*(I147/100)+Ustawienia!$B$9*(J147/100)+Ustawienia!$B$10*(K147/100)+Ustawienia!$B$11*(1-L147/100))*(Ustawienia!$B$4-Ustawienia!$B$3))))</f>
        <v/>
      </c>
    </row>
    <row r="148" spans="1:13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 t="str">
        <f>IF(OR(I148="",J148="",K148="",L148=""),"",MAX(Ustawienia!$B$3,MIN(Ustawienia!$B$4,Ustawienia!$B$3+(Ustawienia!$B$8*(I148/100)+Ustawienia!$B$9*(J148/100)+Ustawienia!$B$10*(K148/100)+Ustawienia!$B$11*(1-L148/100))*(Ustawienia!$B$4-Ustawienia!$B$3))))</f>
        <v/>
      </c>
    </row>
    <row r="149" spans="1:13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tr">
        <f>IF(OR(I149="",J149="",K149="",L149=""),"",MAX(Ustawienia!$B$3,MIN(Ustawienia!$B$4,Ustawienia!$B$3+(Ustawienia!$B$8*(I149/100)+Ustawienia!$B$9*(J149/100)+Ustawienia!$B$10*(K149/100)+Ustawienia!$B$11*(1-L149/100))*(Ustawienia!$B$4-Ustawienia!$B$3))))</f>
        <v/>
      </c>
    </row>
    <row r="150" spans="1:13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 t="str">
        <f>IF(OR(I150="",J150="",K150="",L150=""),"",MAX(Ustawienia!$B$3,MIN(Ustawienia!$B$4,Ustawienia!$B$3+(Ustawienia!$B$8*(I150/100)+Ustawienia!$B$9*(J150/100)+Ustawienia!$B$10*(K150/100)+Ustawienia!$B$11*(1-L150/100))*(Ustawienia!$B$4-Ustawienia!$B$3))))</f>
        <v/>
      </c>
    </row>
    <row r="151" spans="1:13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tr">
        <f>IF(OR(I151="",J151="",K151="",L151=""),"",MAX(Ustawienia!$B$3,MIN(Ustawienia!$B$4,Ustawienia!$B$3+(Ustawienia!$B$8*(I151/100)+Ustawienia!$B$9*(J151/100)+Ustawienia!$B$10*(K151/100)+Ustawienia!$B$11*(1-L151/100))*(Ustawienia!$B$4-Ustawienia!$B$3))))</f>
        <v/>
      </c>
    </row>
    <row r="152" spans="1:13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 t="str">
        <f>IF(OR(I152="",J152="",K152="",L152=""),"",MAX(Ustawienia!$B$3,MIN(Ustawienia!$B$4,Ustawienia!$B$3+(Ustawienia!$B$8*(I152/100)+Ustawienia!$B$9*(J152/100)+Ustawienia!$B$10*(K152/100)+Ustawienia!$B$11*(1-L152/100))*(Ustawienia!$B$4-Ustawienia!$B$3))))</f>
        <v/>
      </c>
    </row>
    <row r="153" spans="1:13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tr">
        <f>IF(OR(I153="",J153="",K153="",L153=""),"",MAX(Ustawienia!$B$3,MIN(Ustawienia!$B$4,Ustawienia!$B$3+(Ustawienia!$B$8*(I153/100)+Ustawienia!$B$9*(J153/100)+Ustawienia!$B$10*(K153/100)+Ustawienia!$B$11*(1-L153/100))*(Ustawienia!$B$4-Ustawienia!$B$3))))</f>
        <v/>
      </c>
    </row>
    <row r="154" spans="1:13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 t="str">
        <f>IF(OR(I154="",J154="",K154="",L154=""),"",MAX(Ustawienia!$B$3,MIN(Ustawienia!$B$4,Ustawienia!$B$3+(Ustawienia!$B$8*(I154/100)+Ustawienia!$B$9*(J154/100)+Ustawienia!$B$10*(K154/100)+Ustawienia!$B$11*(1-L154/100))*(Ustawienia!$B$4-Ustawienia!$B$3))))</f>
        <v/>
      </c>
    </row>
    <row r="155" spans="1:13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tr">
        <f>IF(OR(I155="",J155="",K155="",L155=""),"",MAX(Ustawienia!$B$3,MIN(Ustawienia!$B$4,Ustawienia!$B$3+(Ustawienia!$B$8*(I155/100)+Ustawienia!$B$9*(J155/100)+Ustawienia!$B$10*(K155/100)+Ustawienia!$B$11*(1-L155/100))*(Ustawienia!$B$4-Ustawienia!$B$3))))</f>
        <v/>
      </c>
    </row>
    <row r="156" spans="1:13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 t="str">
        <f>IF(OR(I156="",J156="",K156="",L156=""),"",MAX(Ustawienia!$B$3,MIN(Ustawienia!$B$4,Ustawienia!$B$3+(Ustawienia!$B$8*(I156/100)+Ustawienia!$B$9*(J156/100)+Ustawienia!$B$10*(K156/100)+Ustawienia!$B$11*(1-L156/100))*(Ustawienia!$B$4-Ustawienia!$B$3))))</f>
        <v/>
      </c>
    </row>
    <row r="157" spans="1:13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tr">
        <f>IF(OR(I157="",J157="",K157="",L157=""),"",MAX(Ustawienia!$B$3,MIN(Ustawienia!$B$4,Ustawienia!$B$3+(Ustawienia!$B$8*(I157/100)+Ustawienia!$B$9*(J157/100)+Ustawienia!$B$10*(K157/100)+Ustawienia!$B$11*(1-L157/100))*(Ustawienia!$B$4-Ustawienia!$B$3))))</f>
        <v/>
      </c>
    </row>
    <row r="158" spans="1:13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 t="str">
        <f>IF(OR(I158="",J158="",K158="",L158=""),"",MAX(Ustawienia!$B$3,MIN(Ustawienia!$B$4,Ustawienia!$B$3+(Ustawienia!$B$8*(I158/100)+Ustawienia!$B$9*(J158/100)+Ustawienia!$B$10*(K158/100)+Ustawienia!$B$11*(1-L158/100))*(Ustawienia!$B$4-Ustawienia!$B$3))))</f>
        <v/>
      </c>
    </row>
    <row r="159" spans="1:13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tr">
        <f>IF(OR(I159="",J159="",K159="",L159=""),"",MAX(Ustawienia!$B$3,MIN(Ustawienia!$B$4,Ustawienia!$B$3+(Ustawienia!$B$8*(I159/100)+Ustawienia!$B$9*(J159/100)+Ustawienia!$B$10*(K159/100)+Ustawienia!$B$11*(1-L159/100))*(Ustawienia!$B$4-Ustawienia!$B$3))))</f>
        <v/>
      </c>
    </row>
    <row r="160" spans="1:13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 t="str">
        <f>IF(OR(I160="",J160="",K160="",L160=""),"",MAX(Ustawienia!$B$3,MIN(Ustawienia!$B$4,Ustawienia!$B$3+(Ustawienia!$B$8*(I160/100)+Ustawienia!$B$9*(J160/100)+Ustawienia!$B$10*(K160/100)+Ustawienia!$B$11*(1-L160/100))*(Ustawienia!$B$4-Ustawienia!$B$3))))</f>
        <v/>
      </c>
    </row>
    <row r="161" spans="1:13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tr">
        <f>IF(OR(I161="",J161="",K161="",L161=""),"",MAX(Ustawienia!$B$3,MIN(Ustawienia!$B$4,Ustawienia!$B$3+(Ustawienia!$B$8*(I161/100)+Ustawienia!$B$9*(J161/100)+Ustawienia!$B$10*(K161/100)+Ustawienia!$B$11*(1-L161/100))*(Ustawienia!$B$4-Ustawienia!$B$3))))</f>
        <v/>
      </c>
    </row>
    <row r="162" spans="1:13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 t="str">
        <f>IF(OR(I162="",J162="",K162="",L162=""),"",MAX(Ustawienia!$B$3,MIN(Ustawienia!$B$4,Ustawienia!$B$3+(Ustawienia!$B$8*(I162/100)+Ustawienia!$B$9*(J162/100)+Ustawienia!$B$10*(K162/100)+Ustawienia!$B$11*(1-L162/100))*(Ustawienia!$B$4-Ustawienia!$B$3))))</f>
        <v/>
      </c>
    </row>
    <row r="163" spans="1:13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tr">
        <f>IF(OR(I163="",J163="",K163="",L163=""),"",MAX(Ustawienia!$B$3,MIN(Ustawienia!$B$4,Ustawienia!$B$3+(Ustawienia!$B$8*(I163/100)+Ustawienia!$B$9*(J163/100)+Ustawienia!$B$10*(K163/100)+Ustawienia!$B$11*(1-L163/100))*(Ustawienia!$B$4-Ustawienia!$B$3))))</f>
        <v/>
      </c>
    </row>
    <row r="164" spans="1:13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 t="str">
        <f>IF(OR(I164="",J164="",K164="",L164=""),"",MAX(Ustawienia!$B$3,MIN(Ustawienia!$B$4,Ustawienia!$B$3+(Ustawienia!$B$8*(I164/100)+Ustawienia!$B$9*(J164/100)+Ustawienia!$B$10*(K164/100)+Ustawienia!$B$11*(1-L164/100))*(Ustawienia!$B$4-Ustawienia!$B$3))))</f>
        <v/>
      </c>
    </row>
    <row r="165" spans="1:13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tr">
        <f>IF(OR(I165="",J165="",K165="",L165=""),"",MAX(Ustawienia!$B$3,MIN(Ustawienia!$B$4,Ustawienia!$B$3+(Ustawienia!$B$8*(I165/100)+Ustawienia!$B$9*(J165/100)+Ustawienia!$B$10*(K165/100)+Ustawienia!$B$11*(1-L165/100))*(Ustawienia!$B$4-Ustawienia!$B$3))))</f>
        <v/>
      </c>
    </row>
    <row r="166" spans="1:13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 t="str">
        <f>IF(OR(I166="",J166="",K166="",L166=""),"",MAX(Ustawienia!$B$3,MIN(Ustawienia!$B$4,Ustawienia!$B$3+(Ustawienia!$B$8*(I166/100)+Ustawienia!$B$9*(J166/100)+Ustawienia!$B$10*(K166/100)+Ustawienia!$B$11*(1-L166/100))*(Ustawienia!$B$4-Ustawienia!$B$3))))</f>
        <v/>
      </c>
    </row>
    <row r="167" spans="1:13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tr">
        <f>IF(OR(I167="",J167="",K167="",L167=""),"",MAX(Ustawienia!$B$3,MIN(Ustawienia!$B$4,Ustawienia!$B$3+(Ustawienia!$B$8*(I167/100)+Ustawienia!$B$9*(J167/100)+Ustawienia!$B$10*(K167/100)+Ustawienia!$B$11*(1-L167/100))*(Ustawienia!$B$4-Ustawienia!$B$3))))</f>
        <v/>
      </c>
    </row>
    <row r="168" spans="1:13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 t="str">
        <f>IF(OR(I168="",J168="",K168="",L168=""),"",MAX(Ustawienia!$B$3,MIN(Ustawienia!$B$4,Ustawienia!$B$3+(Ustawienia!$B$8*(I168/100)+Ustawienia!$B$9*(J168/100)+Ustawienia!$B$10*(K168/100)+Ustawienia!$B$11*(1-L168/100))*(Ustawienia!$B$4-Ustawienia!$B$3))))</f>
        <v/>
      </c>
    </row>
    <row r="169" spans="1:13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tr">
        <f>IF(OR(I169="",J169="",K169="",L169=""),"",MAX(Ustawienia!$B$3,MIN(Ustawienia!$B$4,Ustawienia!$B$3+(Ustawienia!$B$8*(I169/100)+Ustawienia!$B$9*(J169/100)+Ustawienia!$B$10*(K169/100)+Ustawienia!$B$11*(1-L169/100))*(Ustawienia!$B$4-Ustawienia!$B$3))))</f>
        <v/>
      </c>
    </row>
    <row r="170" spans="1:13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 t="str">
        <f>IF(OR(I170="",J170="",K170="",L170=""),"",MAX(Ustawienia!$B$3,MIN(Ustawienia!$B$4,Ustawienia!$B$3+(Ustawienia!$B$8*(I170/100)+Ustawienia!$B$9*(J170/100)+Ustawienia!$B$10*(K170/100)+Ustawienia!$B$11*(1-L170/100))*(Ustawienia!$B$4-Ustawienia!$B$3))))</f>
        <v/>
      </c>
    </row>
    <row r="171" spans="1:13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tr">
        <f>IF(OR(I171="",J171="",K171="",L171=""),"",MAX(Ustawienia!$B$3,MIN(Ustawienia!$B$4,Ustawienia!$B$3+(Ustawienia!$B$8*(I171/100)+Ustawienia!$B$9*(J171/100)+Ustawienia!$B$10*(K171/100)+Ustawienia!$B$11*(1-L171/100))*(Ustawienia!$B$4-Ustawienia!$B$3))))</f>
        <v/>
      </c>
    </row>
    <row r="172" spans="1:13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 t="str">
        <f>IF(OR(I172="",J172="",K172="",L172=""),"",MAX(Ustawienia!$B$3,MIN(Ustawienia!$B$4,Ustawienia!$B$3+(Ustawienia!$B$8*(I172/100)+Ustawienia!$B$9*(J172/100)+Ustawienia!$B$10*(K172/100)+Ustawienia!$B$11*(1-L172/100))*(Ustawienia!$B$4-Ustawienia!$B$3))))</f>
        <v/>
      </c>
    </row>
    <row r="173" spans="1:13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tr">
        <f>IF(OR(I173="",J173="",K173="",L173=""),"",MAX(Ustawienia!$B$3,MIN(Ustawienia!$B$4,Ustawienia!$B$3+(Ustawienia!$B$8*(I173/100)+Ustawienia!$B$9*(J173/100)+Ustawienia!$B$10*(K173/100)+Ustawienia!$B$11*(1-L173/100))*(Ustawienia!$B$4-Ustawienia!$B$3))))</f>
        <v/>
      </c>
    </row>
    <row r="174" spans="1:13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 t="str">
        <f>IF(OR(I174="",J174="",K174="",L174=""),"",MAX(Ustawienia!$B$3,MIN(Ustawienia!$B$4,Ustawienia!$B$3+(Ustawienia!$B$8*(I174/100)+Ustawienia!$B$9*(J174/100)+Ustawienia!$B$10*(K174/100)+Ustawienia!$B$11*(1-L174/100))*(Ustawienia!$B$4-Ustawienia!$B$3))))</f>
        <v/>
      </c>
    </row>
    <row r="175" spans="1:1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tr">
        <f>IF(OR(I175="",J175="",K175="",L175=""),"",MAX(Ustawienia!$B$3,MIN(Ustawienia!$B$4,Ustawienia!$B$3+(Ustawienia!$B$8*(I175/100)+Ustawienia!$B$9*(J175/100)+Ustawienia!$B$10*(K175/100)+Ustawienia!$B$11*(1-L175/100))*(Ustawienia!$B$4-Ustawienia!$B$3))))</f>
        <v/>
      </c>
    </row>
    <row r="176" spans="1:13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 t="str">
        <f>IF(OR(I176="",J176="",K176="",L176=""),"",MAX(Ustawienia!$B$3,MIN(Ustawienia!$B$4,Ustawienia!$B$3+(Ustawienia!$B$8*(I176/100)+Ustawienia!$B$9*(J176/100)+Ustawienia!$B$10*(K176/100)+Ustawienia!$B$11*(1-L176/100))*(Ustawienia!$B$4-Ustawienia!$B$3))))</f>
        <v/>
      </c>
    </row>
    <row r="177" spans="1:13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tr">
        <f>IF(OR(I177="",J177="",K177="",L177=""),"",MAX(Ustawienia!$B$3,MIN(Ustawienia!$B$4,Ustawienia!$B$3+(Ustawienia!$B$8*(I177/100)+Ustawienia!$B$9*(J177/100)+Ustawienia!$B$10*(K177/100)+Ustawienia!$B$11*(1-L177/100))*(Ustawienia!$B$4-Ustawienia!$B$3))))</f>
        <v/>
      </c>
    </row>
    <row r="178" spans="1:13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 t="str">
        <f>IF(OR(I178="",J178="",K178="",L178=""),"",MAX(Ustawienia!$B$3,MIN(Ustawienia!$B$4,Ustawienia!$B$3+(Ustawienia!$B$8*(I178/100)+Ustawienia!$B$9*(J178/100)+Ustawienia!$B$10*(K178/100)+Ustawienia!$B$11*(1-L178/100))*(Ustawienia!$B$4-Ustawienia!$B$3))))</f>
        <v/>
      </c>
    </row>
    <row r="179" spans="1:1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tr">
        <f>IF(OR(I179="",J179="",K179="",L179=""),"",MAX(Ustawienia!$B$3,MIN(Ustawienia!$B$4,Ustawienia!$B$3+(Ustawienia!$B$8*(I179/100)+Ustawienia!$B$9*(J179/100)+Ustawienia!$B$10*(K179/100)+Ustawienia!$B$11*(1-L179/100))*(Ustawienia!$B$4-Ustawienia!$B$3))))</f>
        <v/>
      </c>
    </row>
    <row r="180" spans="1:13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 t="str">
        <f>IF(OR(I180="",J180="",K180="",L180=""),"",MAX(Ustawienia!$B$3,MIN(Ustawienia!$B$4,Ustawienia!$B$3+(Ustawienia!$B$8*(I180/100)+Ustawienia!$B$9*(J180/100)+Ustawienia!$B$10*(K180/100)+Ustawienia!$B$11*(1-L180/100))*(Ustawienia!$B$4-Ustawienia!$B$3))))</f>
        <v/>
      </c>
    </row>
    <row r="181" spans="1:1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tr">
        <f>IF(OR(I181="",J181="",K181="",L181=""),"",MAX(Ustawienia!$B$3,MIN(Ustawienia!$B$4,Ustawienia!$B$3+(Ustawienia!$B$8*(I181/100)+Ustawienia!$B$9*(J181/100)+Ustawienia!$B$10*(K181/100)+Ustawienia!$B$11*(1-L181/100))*(Ustawienia!$B$4-Ustawienia!$B$3))))</f>
        <v/>
      </c>
    </row>
    <row r="182" spans="1:13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 t="str">
        <f>IF(OR(I182="",J182="",K182="",L182=""),"",MAX(Ustawienia!$B$3,MIN(Ustawienia!$B$4,Ustawienia!$B$3+(Ustawienia!$B$8*(I182/100)+Ustawienia!$B$9*(J182/100)+Ustawienia!$B$10*(K182/100)+Ustawienia!$B$11*(1-L182/100))*(Ustawienia!$B$4-Ustawienia!$B$3))))</f>
        <v/>
      </c>
    </row>
    <row r="183" spans="1:13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tr">
        <f>IF(OR(I183="",J183="",K183="",L183=""),"",MAX(Ustawienia!$B$3,MIN(Ustawienia!$B$4,Ustawienia!$B$3+(Ustawienia!$B$8*(I183/100)+Ustawienia!$B$9*(J183/100)+Ustawienia!$B$10*(K183/100)+Ustawienia!$B$11*(1-L183/100))*(Ustawienia!$B$4-Ustawienia!$B$3))))</f>
        <v/>
      </c>
    </row>
    <row r="184" spans="1:13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 t="str">
        <f>IF(OR(I184="",J184="",K184="",L184=""),"",MAX(Ustawienia!$B$3,MIN(Ustawienia!$B$4,Ustawienia!$B$3+(Ustawienia!$B$8*(I184/100)+Ustawienia!$B$9*(J184/100)+Ustawienia!$B$10*(K184/100)+Ustawienia!$B$11*(1-L184/100))*(Ustawienia!$B$4-Ustawienia!$B$3))))</f>
        <v/>
      </c>
    </row>
    <row r="185" spans="1:1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tr">
        <f>IF(OR(I185="",J185="",K185="",L185=""),"",MAX(Ustawienia!$B$3,MIN(Ustawienia!$B$4,Ustawienia!$B$3+(Ustawienia!$B$8*(I185/100)+Ustawienia!$B$9*(J185/100)+Ustawienia!$B$10*(K185/100)+Ustawienia!$B$11*(1-L185/100))*(Ustawienia!$B$4-Ustawienia!$B$3))))</f>
        <v/>
      </c>
    </row>
    <row r="186" spans="1:13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 t="str">
        <f>IF(OR(I186="",J186="",K186="",L186=""),"",MAX(Ustawienia!$B$3,MIN(Ustawienia!$B$4,Ustawienia!$B$3+(Ustawienia!$B$8*(I186/100)+Ustawienia!$B$9*(J186/100)+Ustawienia!$B$10*(K186/100)+Ustawienia!$B$11*(1-L186/100))*(Ustawienia!$B$4-Ustawienia!$B$3))))</f>
        <v/>
      </c>
    </row>
    <row r="187" spans="1:13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tr">
        <f>IF(OR(I187="",J187="",K187="",L187=""),"",MAX(Ustawienia!$B$3,MIN(Ustawienia!$B$4,Ustawienia!$B$3+(Ustawienia!$B$8*(I187/100)+Ustawienia!$B$9*(J187/100)+Ustawienia!$B$10*(K187/100)+Ustawienia!$B$11*(1-L187/100))*(Ustawienia!$B$4-Ustawienia!$B$3))))</f>
        <v/>
      </c>
    </row>
    <row r="188" spans="1:13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 t="str">
        <f>IF(OR(I188="",J188="",K188="",L188=""),"",MAX(Ustawienia!$B$3,MIN(Ustawienia!$B$4,Ustawienia!$B$3+(Ustawienia!$B$8*(I188/100)+Ustawienia!$B$9*(J188/100)+Ustawienia!$B$10*(K188/100)+Ustawienia!$B$11*(1-L188/100))*(Ustawienia!$B$4-Ustawienia!$B$3))))</f>
        <v/>
      </c>
    </row>
    <row r="189" spans="1:1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tr">
        <f>IF(OR(I189="",J189="",K189="",L189=""),"",MAX(Ustawienia!$B$3,MIN(Ustawienia!$B$4,Ustawienia!$B$3+(Ustawienia!$B$8*(I189/100)+Ustawienia!$B$9*(J189/100)+Ustawienia!$B$10*(K189/100)+Ustawienia!$B$11*(1-L189/100))*(Ustawienia!$B$4-Ustawienia!$B$3))))</f>
        <v/>
      </c>
    </row>
    <row r="190" spans="1:13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 t="str">
        <f>IF(OR(I190="",J190="",K190="",L190=""),"",MAX(Ustawienia!$B$3,MIN(Ustawienia!$B$4,Ustawienia!$B$3+(Ustawienia!$B$8*(I190/100)+Ustawienia!$B$9*(J190/100)+Ustawienia!$B$10*(K190/100)+Ustawienia!$B$11*(1-L190/100))*(Ustawienia!$B$4-Ustawienia!$B$3))))</f>
        <v/>
      </c>
    </row>
    <row r="191" spans="1:1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tr">
        <f>IF(OR(I191="",J191="",K191="",L191=""),"",MAX(Ustawienia!$B$3,MIN(Ustawienia!$B$4,Ustawienia!$B$3+(Ustawienia!$B$8*(I191/100)+Ustawienia!$B$9*(J191/100)+Ustawienia!$B$10*(K191/100)+Ustawienia!$B$11*(1-L191/100))*(Ustawienia!$B$4-Ustawienia!$B$3))))</f>
        <v/>
      </c>
    </row>
    <row r="192" spans="1:13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 t="str">
        <f>IF(OR(I192="",J192="",K192="",L192=""),"",MAX(Ustawienia!$B$3,MIN(Ustawienia!$B$4,Ustawienia!$B$3+(Ustawienia!$B$8*(I192/100)+Ustawienia!$B$9*(J192/100)+Ustawienia!$B$10*(K192/100)+Ustawienia!$B$11*(1-L192/100))*(Ustawienia!$B$4-Ustawienia!$B$3))))</f>
        <v/>
      </c>
    </row>
    <row r="193" spans="1:1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tr">
        <f>IF(OR(I193="",J193="",K193="",L193=""),"",MAX(Ustawienia!$B$3,MIN(Ustawienia!$B$4,Ustawienia!$B$3+(Ustawienia!$B$8*(I193/100)+Ustawienia!$B$9*(J193/100)+Ustawienia!$B$10*(K193/100)+Ustawienia!$B$11*(1-L193/100))*(Ustawienia!$B$4-Ustawienia!$B$3))))</f>
        <v/>
      </c>
    </row>
    <row r="194" spans="1:13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 t="str">
        <f>IF(OR(I194="",J194="",K194="",L194=""),"",MAX(Ustawienia!$B$3,MIN(Ustawienia!$B$4,Ustawienia!$B$3+(Ustawienia!$B$8*(I194/100)+Ustawienia!$B$9*(J194/100)+Ustawienia!$B$10*(K194/100)+Ustawienia!$B$11*(1-L194/100))*(Ustawienia!$B$4-Ustawienia!$B$3))))</f>
        <v/>
      </c>
    </row>
    <row r="195" spans="1:1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tr">
        <f>IF(OR(I195="",J195="",K195="",L195=""),"",MAX(Ustawienia!$B$3,MIN(Ustawienia!$B$4,Ustawienia!$B$3+(Ustawienia!$B$8*(I195/100)+Ustawienia!$B$9*(J195/100)+Ustawienia!$B$10*(K195/100)+Ustawienia!$B$11*(1-L195/100))*(Ustawienia!$B$4-Ustawienia!$B$3))))</f>
        <v/>
      </c>
    </row>
    <row r="196" spans="1:13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 t="str">
        <f>IF(OR(I196="",J196="",K196="",L196=""),"",MAX(Ustawienia!$B$3,MIN(Ustawienia!$B$4,Ustawienia!$B$3+(Ustawienia!$B$8*(I196/100)+Ustawienia!$B$9*(J196/100)+Ustawienia!$B$10*(K196/100)+Ustawienia!$B$11*(1-L196/100))*(Ustawienia!$B$4-Ustawienia!$B$3))))</f>
        <v/>
      </c>
    </row>
    <row r="197" spans="1:1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tr">
        <f>IF(OR(I197="",J197="",K197="",L197=""),"",MAX(Ustawienia!$B$3,MIN(Ustawienia!$B$4,Ustawienia!$B$3+(Ustawienia!$B$8*(I197/100)+Ustawienia!$B$9*(J197/100)+Ustawienia!$B$10*(K197/100)+Ustawienia!$B$11*(1-L197/100))*(Ustawienia!$B$4-Ustawienia!$B$3))))</f>
        <v/>
      </c>
    </row>
    <row r="198" spans="1:13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 t="str">
        <f>IF(OR(I198="",J198="",K198="",L198=""),"",MAX(Ustawienia!$B$3,MIN(Ustawienia!$B$4,Ustawienia!$B$3+(Ustawienia!$B$8*(I198/100)+Ustawienia!$B$9*(J198/100)+Ustawienia!$B$10*(K198/100)+Ustawienia!$B$11*(1-L198/100))*(Ustawienia!$B$4-Ustawienia!$B$3))))</f>
        <v/>
      </c>
    </row>
    <row r="199" spans="1:13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tr">
        <f>IF(OR(I199="",J199="",K199="",L199=""),"",MAX(Ustawienia!$B$3,MIN(Ustawienia!$B$4,Ustawienia!$B$3+(Ustawienia!$B$8*(I199/100)+Ustawienia!$B$9*(J199/100)+Ustawienia!$B$10*(K199/100)+Ustawienia!$B$11*(1-L199/100))*(Ustawienia!$B$4-Ustawienia!$B$3))))</f>
        <v/>
      </c>
    </row>
    <row r="200" spans="1:13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 t="str">
        <f>IF(OR(I200="",J200="",K200="",L200=""),"",MAX(Ustawienia!$B$3,MIN(Ustawienia!$B$4,Ustawienia!$B$3+(Ustawienia!$B$8*(I200/100)+Ustawienia!$B$9*(J200/100)+Ustawienia!$B$10*(K200/100)+Ustawienia!$B$11*(1-L200/100))*(Ustawienia!$B$4-Ustawienia!$B$3))))</f>
        <v/>
      </c>
    </row>
    <row r="201" spans="1:13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tr">
        <f>IF(OR(I201="",J201="",K201="",L201=""),"",MAX(Ustawienia!$B$3,MIN(Ustawienia!$B$4,Ustawienia!$B$3+(Ustawienia!$B$8*(I201/100)+Ustawienia!$B$9*(J201/100)+Ustawienia!$B$10*(K201/100)+Ustawienia!$B$11*(1-L201/100))*(Ustawienia!$B$4-Ustawienia!$B$3))))</f>
        <v/>
      </c>
    </row>
    <row r="202" spans="1:13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 t="str">
        <f>IF(OR(I202="",J202="",K202="",L202=""),"",MAX(Ustawienia!$B$3,MIN(Ustawienia!$B$4,Ustawienia!$B$3+(Ustawienia!$B$8*(I202/100)+Ustawienia!$B$9*(J202/100)+Ustawienia!$B$10*(K202/100)+Ustawienia!$B$11*(1-L202/100))*(Ustawienia!$B$4-Ustawienia!$B$3))))</f>
        <v/>
      </c>
    </row>
    <row r="203" spans="1:13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tr">
        <f>IF(OR(I203="",J203="",K203="",L203=""),"",MAX(Ustawienia!$B$3,MIN(Ustawienia!$B$4,Ustawienia!$B$3+(Ustawienia!$B$8*(I203/100)+Ustawienia!$B$9*(J203/100)+Ustawienia!$B$10*(K203/100)+Ustawienia!$B$11*(1-L203/100))*(Ustawienia!$B$4-Ustawienia!$B$3))))</f>
        <v/>
      </c>
    </row>
    <row r="204" spans="1:13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 t="str">
        <f>IF(OR(I204="",J204="",K204="",L204=""),"",MAX(Ustawienia!$B$3,MIN(Ustawienia!$B$4,Ustawienia!$B$3+(Ustawienia!$B$8*(I204/100)+Ustawienia!$B$9*(J204/100)+Ustawienia!$B$10*(K204/100)+Ustawienia!$B$11*(1-L204/100))*(Ustawienia!$B$4-Ustawienia!$B$3))))</f>
        <v/>
      </c>
    </row>
    <row r="205" spans="1:13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tr">
        <f>IF(OR(I205="",J205="",K205="",L205=""),"",MAX(Ustawienia!$B$3,MIN(Ustawienia!$B$4,Ustawienia!$B$3+(Ustawienia!$B$8*(I205/100)+Ustawienia!$B$9*(J205/100)+Ustawienia!$B$10*(K205/100)+Ustawienia!$B$11*(1-L205/100))*(Ustawienia!$B$4-Ustawienia!$B$3))))</f>
        <v/>
      </c>
    </row>
    <row r="206" spans="1:13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 t="str">
        <f>IF(OR(I206="",J206="",K206="",L206=""),"",MAX(Ustawienia!$B$3,MIN(Ustawienia!$B$4,Ustawienia!$B$3+(Ustawienia!$B$8*(I206/100)+Ustawienia!$B$9*(J206/100)+Ustawienia!$B$10*(K206/100)+Ustawienia!$B$11*(1-L206/100))*(Ustawienia!$B$4-Ustawienia!$B$3))))</f>
        <v/>
      </c>
    </row>
    <row r="207" spans="1:13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tr">
        <f>IF(OR(I207="",J207="",K207="",L207=""),"",MAX(Ustawienia!$B$3,MIN(Ustawienia!$B$4,Ustawienia!$B$3+(Ustawienia!$B$8*(I207/100)+Ustawienia!$B$9*(J207/100)+Ustawienia!$B$10*(K207/100)+Ustawienia!$B$11*(1-L207/100))*(Ustawienia!$B$4-Ustawienia!$B$3))))</f>
        <v/>
      </c>
    </row>
    <row r="208" spans="1:13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 t="str">
        <f>IF(OR(I208="",J208="",K208="",L208=""),"",MAX(Ustawienia!$B$3,MIN(Ustawienia!$B$4,Ustawienia!$B$3+(Ustawienia!$B$8*(I208/100)+Ustawienia!$B$9*(J208/100)+Ustawienia!$B$10*(K208/100)+Ustawienia!$B$11*(1-L208/100))*(Ustawienia!$B$4-Ustawienia!$B$3))))</f>
        <v/>
      </c>
    </row>
    <row r="209" spans="1:13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tr">
        <f>IF(OR(I209="",J209="",K209="",L209=""),"",MAX(Ustawienia!$B$3,MIN(Ustawienia!$B$4,Ustawienia!$B$3+(Ustawienia!$B$8*(I209/100)+Ustawienia!$B$9*(J209/100)+Ustawienia!$B$10*(K209/100)+Ustawienia!$B$11*(1-L209/100))*(Ustawienia!$B$4-Ustawienia!$B$3))))</f>
        <v/>
      </c>
    </row>
    <row r="210" spans="1:13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 t="str">
        <f>IF(OR(I210="",J210="",K210="",L210=""),"",MAX(Ustawienia!$B$3,MIN(Ustawienia!$B$4,Ustawienia!$B$3+(Ustawienia!$B$8*(I210/100)+Ustawienia!$B$9*(J210/100)+Ustawienia!$B$10*(K210/100)+Ustawienia!$B$11*(1-L210/100))*(Ustawienia!$B$4-Ustawienia!$B$3))))</f>
        <v/>
      </c>
    </row>
    <row r="211" spans="1:13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tr">
        <f>IF(OR(I211="",J211="",K211="",L211=""),"",MAX(Ustawienia!$B$3,MIN(Ustawienia!$B$4,Ustawienia!$B$3+(Ustawienia!$B$8*(I211/100)+Ustawienia!$B$9*(J211/100)+Ustawienia!$B$10*(K211/100)+Ustawienia!$B$11*(1-L211/100))*(Ustawienia!$B$4-Ustawienia!$B$3))))</f>
        <v/>
      </c>
    </row>
    <row r="212" spans="1:13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 t="str">
        <f>IF(OR(I212="",J212="",K212="",L212=""),"",MAX(Ustawienia!$B$3,MIN(Ustawienia!$B$4,Ustawienia!$B$3+(Ustawienia!$B$8*(I212/100)+Ustawienia!$B$9*(J212/100)+Ustawienia!$B$10*(K212/100)+Ustawienia!$B$11*(1-L212/100))*(Ustawienia!$B$4-Ustawienia!$B$3))))</f>
        <v/>
      </c>
    </row>
    <row r="213" spans="1:13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tr">
        <f>IF(OR(I213="",J213="",K213="",L213=""),"",MAX(Ustawienia!$B$3,MIN(Ustawienia!$B$4,Ustawienia!$B$3+(Ustawienia!$B$8*(I213/100)+Ustawienia!$B$9*(J213/100)+Ustawienia!$B$10*(K213/100)+Ustawienia!$B$11*(1-L213/100))*(Ustawienia!$B$4-Ustawienia!$B$3))))</f>
        <v/>
      </c>
    </row>
    <row r="214" spans="1:13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 t="str">
        <f>IF(OR(I214="",J214="",K214="",L214=""),"",MAX(Ustawienia!$B$3,MIN(Ustawienia!$B$4,Ustawienia!$B$3+(Ustawienia!$B$8*(I214/100)+Ustawienia!$B$9*(J214/100)+Ustawienia!$B$10*(K214/100)+Ustawienia!$B$11*(1-L214/100))*(Ustawienia!$B$4-Ustawienia!$B$3))))</f>
        <v/>
      </c>
    </row>
    <row r="215" spans="1:13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tr">
        <f>IF(OR(I215="",J215="",K215="",L215=""),"",MAX(Ustawienia!$B$3,MIN(Ustawienia!$B$4,Ustawienia!$B$3+(Ustawienia!$B$8*(I215/100)+Ustawienia!$B$9*(J215/100)+Ustawienia!$B$10*(K215/100)+Ustawienia!$B$11*(1-L215/100))*(Ustawienia!$B$4-Ustawienia!$B$3))))</f>
        <v/>
      </c>
    </row>
    <row r="216" spans="1:13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 t="str">
        <f>IF(OR(I216="",J216="",K216="",L216=""),"",MAX(Ustawienia!$B$3,MIN(Ustawienia!$B$4,Ustawienia!$B$3+(Ustawienia!$B$8*(I216/100)+Ustawienia!$B$9*(J216/100)+Ustawienia!$B$10*(K216/100)+Ustawienia!$B$11*(1-L216/100))*(Ustawienia!$B$4-Ustawienia!$B$3))))</f>
        <v/>
      </c>
    </row>
    <row r="217" spans="1:13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tr">
        <f>IF(OR(I217="",J217="",K217="",L217=""),"",MAX(Ustawienia!$B$3,MIN(Ustawienia!$B$4,Ustawienia!$B$3+(Ustawienia!$B$8*(I217/100)+Ustawienia!$B$9*(J217/100)+Ustawienia!$B$10*(K217/100)+Ustawienia!$B$11*(1-L217/100))*(Ustawienia!$B$4-Ustawienia!$B$3))))</f>
        <v/>
      </c>
    </row>
    <row r="218" spans="1:13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 t="str">
        <f>IF(OR(I218="",J218="",K218="",L218=""),"",MAX(Ustawienia!$B$3,MIN(Ustawienia!$B$4,Ustawienia!$B$3+(Ustawienia!$B$8*(I218/100)+Ustawienia!$B$9*(J218/100)+Ustawienia!$B$10*(K218/100)+Ustawienia!$B$11*(1-L218/100))*(Ustawienia!$B$4-Ustawienia!$B$3))))</f>
        <v/>
      </c>
    </row>
    <row r="219" spans="1:13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tr">
        <f>IF(OR(I219="",J219="",K219="",L219=""),"",MAX(Ustawienia!$B$3,MIN(Ustawienia!$B$4,Ustawienia!$B$3+(Ustawienia!$B$8*(I219/100)+Ustawienia!$B$9*(J219/100)+Ustawienia!$B$10*(K219/100)+Ustawienia!$B$11*(1-L219/100))*(Ustawienia!$B$4-Ustawienia!$B$3))))</f>
        <v/>
      </c>
    </row>
    <row r="220" spans="1:13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 t="str">
        <f>IF(OR(I220="",J220="",K220="",L220=""),"",MAX(Ustawienia!$B$3,MIN(Ustawienia!$B$4,Ustawienia!$B$3+(Ustawienia!$B$8*(I220/100)+Ustawienia!$B$9*(J220/100)+Ustawienia!$B$10*(K220/100)+Ustawienia!$B$11*(1-L220/100))*(Ustawienia!$B$4-Ustawienia!$B$3))))</f>
        <v/>
      </c>
    </row>
    <row r="221" spans="1:13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tr">
        <f>IF(OR(I221="",J221="",K221="",L221=""),"",MAX(Ustawienia!$B$3,MIN(Ustawienia!$B$4,Ustawienia!$B$3+(Ustawienia!$B$8*(I221/100)+Ustawienia!$B$9*(J221/100)+Ustawienia!$B$10*(K221/100)+Ustawienia!$B$11*(1-L221/100))*(Ustawienia!$B$4-Ustawienia!$B$3))))</f>
        <v/>
      </c>
    </row>
    <row r="222" spans="1:13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 t="str">
        <f>IF(OR(I222="",J222="",K222="",L222=""),"",MAX(Ustawienia!$B$3,MIN(Ustawienia!$B$4,Ustawienia!$B$3+(Ustawienia!$B$8*(I222/100)+Ustawienia!$B$9*(J222/100)+Ustawienia!$B$10*(K222/100)+Ustawienia!$B$11*(1-L222/100))*(Ustawienia!$B$4-Ustawienia!$B$3))))</f>
        <v/>
      </c>
    </row>
    <row r="223" spans="1:13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tr">
        <f>IF(OR(I223="",J223="",K223="",L223=""),"",MAX(Ustawienia!$B$3,MIN(Ustawienia!$B$4,Ustawienia!$B$3+(Ustawienia!$B$8*(I223/100)+Ustawienia!$B$9*(J223/100)+Ustawienia!$B$10*(K223/100)+Ustawienia!$B$11*(1-L223/100))*(Ustawienia!$B$4-Ustawienia!$B$3))))</f>
        <v/>
      </c>
    </row>
    <row r="224" spans="1:13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 t="str">
        <f>IF(OR(I224="",J224="",K224="",L224=""),"",MAX(Ustawienia!$B$3,MIN(Ustawienia!$B$4,Ustawienia!$B$3+(Ustawienia!$B$8*(I224/100)+Ustawienia!$B$9*(J224/100)+Ustawienia!$B$10*(K224/100)+Ustawienia!$B$11*(1-L224/100))*(Ustawienia!$B$4-Ustawienia!$B$3))))</f>
        <v/>
      </c>
    </row>
    <row r="225" spans="1:13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tr">
        <f>IF(OR(I225="",J225="",K225="",L225=""),"",MAX(Ustawienia!$B$3,MIN(Ustawienia!$B$4,Ustawienia!$B$3+(Ustawienia!$B$8*(I225/100)+Ustawienia!$B$9*(J225/100)+Ustawienia!$B$10*(K225/100)+Ustawienia!$B$11*(1-L225/100))*(Ustawienia!$B$4-Ustawienia!$B$3))))</f>
        <v/>
      </c>
    </row>
    <row r="226" spans="1:13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 t="str">
        <f>IF(OR(I226="",J226="",K226="",L226=""),"",MAX(Ustawienia!$B$3,MIN(Ustawienia!$B$4,Ustawienia!$B$3+(Ustawienia!$B$8*(I226/100)+Ustawienia!$B$9*(J226/100)+Ustawienia!$B$10*(K226/100)+Ustawienia!$B$11*(1-L226/100))*(Ustawienia!$B$4-Ustawienia!$B$3))))</f>
        <v/>
      </c>
    </row>
    <row r="227" spans="1:13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tr">
        <f>IF(OR(I227="",J227="",K227="",L227=""),"",MAX(Ustawienia!$B$3,MIN(Ustawienia!$B$4,Ustawienia!$B$3+(Ustawienia!$B$8*(I227/100)+Ustawienia!$B$9*(J227/100)+Ustawienia!$B$10*(K227/100)+Ustawienia!$B$11*(1-L227/100))*(Ustawienia!$B$4-Ustawienia!$B$3))))</f>
        <v/>
      </c>
    </row>
    <row r="228" spans="1:13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 t="str">
        <f>IF(OR(I228="",J228="",K228="",L228=""),"",MAX(Ustawienia!$B$3,MIN(Ustawienia!$B$4,Ustawienia!$B$3+(Ustawienia!$B$8*(I228/100)+Ustawienia!$B$9*(J228/100)+Ustawienia!$B$10*(K228/100)+Ustawienia!$B$11*(1-L228/100))*(Ustawienia!$B$4-Ustawienia!$B$3))))</f>
        <v/>
      </c>
    </row>
    <row r="229" spans="1:13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tr">
        <f>IF(OR(I229="",J229="",K229="",L229=""),"",MAX(Ustawienia!$B$3,MIN(Ustawienia!$B$4,Ustawienia!$B$3+(Ustawienia!$B$8*(I229/100)+Ustawienia!$B$9*(J229/100)+Ustawienia!$B$10*(K229/100)+Ustawienia!$B$11*(1-L229/100))*(Ustawienia!$B$4-Ustawienia!$B$3))))</f>
        <v/>
      </c>
    </row>
    <row r="230" spans="1:13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 t="str">
        <f>IF(OR(I230="",J230="",K230="",L230=""),"",MAX(Ustawienia!$B$3,MIN(Ustawienia!$B$4,Ustawienia!$B$3+(Ustawienia!$B$8*(I230/100)+Ustawienia!$B$9*(J230/100)+Ustawienia!$B$10*(K230/100)+Ustawienia!$B$11*(1-L230/100))*(Ustawienia!$B$4-Ustawienia!$B$3))))</f>
        <v/>
      </c>
    </row>
    <row r="231" spans="1:13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tr">
        <f>IF(OR(I231="",J231="",K231="",L231=""),"",MAX(Ustawienia!$B$3,MIN(Ustawienia!$B$4,Ustawienia!$B$3+(Ustawienia!$B$8*(I231/100)+Ustawienia!$B$9*(J231/100)+Ustawienia!$B$10*(K231/100)+Ustawienia!$B$11*(1-L231/100))*(Ustawienia!$B$4-Ustawienia!$B$3))))</f>
        <v/>
      </c>
    </row>
    <row r="232" spans="1:13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 t="str">
        <f>IF(OR(I232="",J232="",K232="",L232=""),"",MAX(Ustawienia!$B$3,MIN(Ustawienia!$B$4,Ustawienia!$B$3+(Ustawienia!$B$8*(I232/100)+Ustawienia!$B$9*(J232/100)+Ustawienia!$B$10*(K232/100)+Ustawienia!$B$11*(1-L232/100))*(Ustawienia!$B$4-Ustawienia!$B$3))))</f>
        <v/>
      </c>
    </row>
    <row r="233" spans="1:13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tr">
        <f>IF(OR(I233="",J233="",K233="",L233=""),"",MAX(Ustawienia!$B$3,MIN(Ustawienia!$B$4,Ustawienia!$B$3+(Ustawienia!$B$8*(I233/100)+Ustawienia!$B$9*(J233/100)+Ustawienia!$B$10*(K233/100)+Ustawienia!$B$11*(1-L233/100))*(Ustawienia!$B$4-Ustawienia!$B$3))))</f>
        <v/>
      </c>
    </row>
    <row r="234" spans="1:13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 t="str">
        <f>IF(OR(I234="",J234="",K234="",L234=""),"",MAX(Ustawienia!$B$3,MIN(Ustawienia!$B$4,Ustawienia!$B$3+(Ustawienia!$B$8*(I234/100)+Ustawienia!$B$9*(J234/100)+Ustawienia!$B$10*(K234/100)+Ustawienia!$B$11*(1-L234/100))*(Ustawienia!$B$4-Ustawienia!$B$3))))</f>
        <v/>
      </c>
    </row>
    <row r="235" spans="1:13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tr">
        <f>IF(OR(I235="",J235="",K235="",L235=""),"",MAX(Ustawienia!$B$3,MIN(Ustawienia!$B$4,Ustawienia!$B$3+(Ustawienia!$B$8*(I235/100)+Ustawienia!$B$9*(J235/100)+Ustawienia!$B$10*(K235/100)+Ustawienia!$B$11*(1-L235/100))*(Ustawienia!$B$4-Ustawienia!$B$3))))</f>
        <v/>
      </c>
    </row>
    <row r="236" spans="1:13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 t="str">
        <f>IF(OR(I236="",J236="",K236="",L236=""),"",MAX(Ustawienia!$B$3,MIN(Ustawienia!$B$4,Ustawienia!$B$3+(Ustawienia!$B$8*(I236/100)+Ustawienia!$B$9*(J236/100)+Ustawienia!$B$10*(K236/100)+Ustawienia!$B$11*(1-L236/100))*(Ustawienia!$B$4-Ustawienia!$B$3))))</f>
        <v/>
      </c>
    </row>
    <row r="237" spans="1:13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tr">
        <f>IF(OR(I237="",J237="",K237="",L237=""),"",MAX(Ustawienia!$B$3,MIN(Ustawienia!$B$4,Ustawienia!$B$3+(Ustawienia!$B$8*(I237/100)+Ustawienia!$B$9*(J237/100)+Ustawienia!$B$10*(K237/100)+Ustawienia!$B$11*(1-L237/100))*(Ustawienia!$B$4-Ustawienia!$B$3))))</f>
        <v/>
      </c>
    </row>
    <row r="238" spans="1:13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 t="str">
        <f>IF(OR(I238="",J238="",K238="",L238=""),"",MAX(Ustawienia!$B$3,MIN(Ustawienia!$B$4,Ustawienia!$B$3+(Ustawienia!$B$8*(I238/100)+Ustawienia!$B$9*(J238/100)+Ustawienia!$B$10*(K238/100)+Ustawienia!$B$11*(1-L238/100))*(Ustawienia!$B$4-Ustawienia!$B$3))))</f>
        <v/>
      </c>
    </row>
    <row r="239" spans="1:13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tr">
        <f>IF(OR(I239="",J239="",K239="",L239=""),"",MAX(Ustawienia!$B$3,MIN(Ustawienia!$B$4,Ustawienia!$B$3+(Ustawienia!$B$8*(I239/100)+Ustawienia!$B$9*(J239/100)+Ustawienia!$B$10*(K239/100)+Ustawienia!$B$11*(1-L239/100))*(Ustawienia!$B$4-Ustawienia!$B$3))))</f>
        <v/>
      </c>
    </row>
    <row r="240" spans="1:13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 t="str">
        <f>IF(OR(I240="",J240="",K240="",L240=""),"",MAX(Ustawienia!$B$3,MIN(Ustawienia!$B$4,Ustawienia!$B$3+(Ustawienia!$B$8*(I240/100)+Ustawienia!$B$9*(J240/100)+Ustawienia!$B$10*(K240/100)+Ustawienia!$B$11*(1-L240/100))*(Ustawienia!$B$4-Ustawienia!$B$3))))</f>
        <v/>
      </c>
    </row>
    <row r="241" spans="1:13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tr">
        <f>IF(OR(I241="",J241="",K241="",L241=""),"",MAX(Ustawienia!$B$3,MIN(Ustawienia!$B$4,Ustawienia!$B$3+(Ustawienia!$B$8*(I241/100)+Ustawienia!$B$9*(J241/100)+Ustawienia!$B$10*(K241/100)+Ustawienia!$B$11*(1-L241/100))*(Ustawienia!$B$4-Ustawienia!$B$3))))</f>
        <v/>
      </c>
    </row>
    <row r="242" spans="1:13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 t="str">
        <f>IF(OR(I242="",J242="",K242="",L242=""),"",MAX(Ustawienia!$B$3,MIN(Ustawienia!$B$4,Ustawienia!$B$3+(Ustawienia!$B$8*(I242/100)+Ustawienia!$B$9*(J242/100)+Ustawienia!$B$10*(K242/100)+Ustawienia!$B$11*(1-L242/100))*(Ustawienia!$B$4-Ustawienia!$B$3))))</f>
        <v/>
      </c>
    </row>
    <row r="243" spans="1:13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tr">
        <f>IF(OR(I243="",J243="",K243="",L243=""),"",MAX(Ustawienia!$B$3,MIN(Ustawienia!$B$4,Ustawienia!$B$3+(Ustawienia!$B$8*(I243/100)+Ustawienia!$B$9*(J243/100)+Ustawienia!$B$10*(K243/100)+Ustawienia!$B$11*(1-L243/100))*(Ustawienia!$B$4-Ustawienia!$B$3))))</f>
        <v/>
      </c>
    </row>
    <row r="244" spans="1:13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 t="str">
        <f>IF(OR(I244="",J244="",K244="",L244=""),"",MAX(Ustawienia!$B$3,MIN(Ustawienia!$B$4,Ustawienia!$B$3+(Ustawienia!$B$8*(I244/100)+Ustawienia!$B$9*(J244/100)+Ustawienia!$B$10*(K244/100)+Ustawienia!$B$11*(1-L244/100))*(Ustawienia!$B$4-Ustawienia!$B$3))))</f>
        <v/>
      </c>
    </row>
    <row r="245" spans="1:13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tr">
        <f>IF(OR(I245="",J245="",K245="",L245=""),"",MAX(Ustawienia!$B$3,MIN(Ustawienia!$B$4,Ustawienia!$B$3+(Ustawienia!$B$8*(I245/100)+Ustawienia!$B$9*(J245/100)+Ustawienia!$B$10*(K245/100)+Ustawienia!$B$11*(1-L245/100))*(Ustawienia!$B$4-Ustawienia!$B$3))))</f>
        <v/>
      </c>
    </row>
    <row r="246" spans="1:13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 t="str">
        <f>IF(OR(I246="",J246="",K246="",L246=""),"",MAX(Ustawienia!$B$3,MIN(Ustawienia!$B$4,Ustawienia!$B$3+(Ustawienia!$B$8*(I246/100)+Ustawienia!$B$9*(J246/100)+Ustawienia!$B$10*(K246/100)+Ustawienia!$B$11*(1-L246/100))*(Ustawienia!$B$4-Ustawienia!$B$3))))</f>
        <v/>
      </c>
    </row>
    <row r="247" spans="1:13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tr">
        <f>IF(OR(I247="",J247="",K247="",L247=""),"",MAX(Ustawienia!$B$3,MIN(Ustawienia!$B$4,Ustawienia!$B$3+(Ustawienia!$B$8*(I247/100)+Ustawienia!$B$9*(J247/100)+Ustawienia!$B$10*(K247/100)+Ustawienia!$B$11*(1-L247/100))*(Ustawienia!$B$4-Ustawienia!$B$3))))</f>
        <v/>
      </c>
    </row>
    <row r="248" spans="1:13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 t="str">
        <f>IF(OR(I248="",J248="",K248="",L248=""),"",MAX(Ustawienia!$B$3,MIN(Ustawienia!$B$4,Ustawienia!$B$3+(Ustawienia!$B$8*(I248/100)+Ustawienia!$B$9*(J248/100)+Ustawienia!$B$10*(K248/100)+Ustawienia!$B$11*(1-L248/100))*(Ustawienia!$B$4-Ustawienia!$B$3))))</f>
        <v/>
      </c>
    </row>
    <row r="249" spans="1:13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tr">
        <f>IF(OR(I249="",J249="",K249="",L249=""),"",MAX(Ustawienia!$B$3,MIN(Ustawienia!$B$4,Ustawienia!$B$3+(Ustawienia!$B$8*(I249/100)+Ustawienia!$B$9*(J249/100)+Ustawienia!$B$10*(K249/100)+Ustawienia!$B$11*(1-L249/100))*(Ustawienia!$B$4-Ustawienia!$B$3))))</f>
        <v/>
      </c>
    </row>
    <row r="250" spans="1:13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 t="str">
        <f>IF(OR(I250="",J250="",K250="",L250=""),"",MAX(Ustawienia!$B$3,MIN(Ustawienia!$B$4,Ustawienia!$B$3+(Ustawienia!$B$8*(I250/100)+Ustawienia!$B$9*(J250/100)+Ustawienia!$B$10*(K250/100)+Ustawienia!$B$11*(1-L250/100))*(Ustawienia!$B$4-Ustawienia!$B$3))))</f>
        <v/>
      </c>
    </row>
    <row r="251" spans="1:13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tr">
        <f>IF(OR(I251="",J251="",K251="",L251=""),"",MAX(Ustawienia!$B$3,MIN(Ustawienia!$B$4,Ustawienia!$B$3+(Ustawienia!$B$8*(I251/100)+Ustawienia!$B$9*(J251/100)+Ustawienia!$B$10*(K251/100)+Ustawienia!$B$11*(1-L251/100))*(Ustawienia!$B$4-Ustawienia!$B$3))))</f>
        <v/>
      </c>
    </row>
    <row r="252" spans="1:13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 t="str">
        <f>IF(OR(I252="",J252="",K252="",L252=""),"",MAX(Ustawienia!$B$3,MIN(Ustawienia!$B$4,Ustawienia!$B$3+(Ustawienia!$B$8*(I252/100)+Ustawienia!$B$9*(J252/100)+Ustawienia!$B$10*(K252/100)+Ustawienia!$B$11*(1-L252/100))*(Ustawienia!$B$4-Ustawienia!$B$3))))</f>
        <v/>
      </c>
    </row>
    <row r="253" spans="1:13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tr">
        <f>IF(OR(I253="",J253="",K253="",L253=""),"",MAX(Ustawienia!$B$3,MIN(Ustawienia!$B$4,Ustawienia!$B$3+(Ustawienia!$B$8*(I253/100)+Ustawienia!$B$9*(J253/100)+Ustawienia!$B$10*(K253/100)+Ustawienia!$B$11*(1-L253/100))*(Ustawienia!$B$4-Ustawienia!$B$3))))</f>
        <v/>
      </c>
    </row>
    <row r="254" spans="1:13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 t="str">
        <f>IF(OR(I254="",J254="",K254="",L254=""),"",MAX(Ustawienia!$B$3,MIN(Ustawienia!$B$4,Ustawienia!$B$3+(Ustawienia!$B$8*(I254/100)+Ustawienia!$B$9*(J254/100)+Ustawienia!$B$10*(K254/100)+Ustawienia!$B$11*(1-L254/100))*(Ustawienia!$B$4-Ustawienia!$B$3))))</f>
        <v/>
      </c>
    </row>
    <row r="255" spans="1:13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tr">
        <f>IF(OR(I255="",J255="",K255="",L255=""),"",MAX(Ustawienia!$B$3,MIN(Ustawienia!$B$4,Ustawienia!$B$3+(Ustawienia!$B$8*(I255/100)+Ustawienia!$B$9*(J255/100)+Ustawienia!$B$10*(K255/100)+Ustawienia!$B$11*(1-L255/100))*(Ustawienia!$B$4-Ustawienia!$B$3))))</f>
        <v/>
      </c>
    </row>
    <row r="256" spans="1:13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 t="str">
        <f>IF(OR(I256="",J256="",K256="",L256=""),"",MAX(Ustawienia!$B$3,MIN(Ustawienia!$B$4,Ustawienia!$B$3+(Ustawienia!$B$8*(I256/100)+Ustawienia!$B$9*(J256/100)+Ustawienia!$B$10*(K256/100)+Ustawienia!$B$11*(1-L256/100))*(Ustawienia!$B$4-Ustawienia!$B$3))))</f>
        <v/>
      </c>
    </row>
    <row r="257" spans="1:13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tr">
        <f>IF(OR(I257="",J257="",K257="",L257=""),"",MAX(Ustawienia!$B$3,MIN(Ustawienia!$B$4,Ustawienia!$B$3+(Ustawienia!$B$8*(I257/100)+Ustawienia!$B$9*(J257/100)+Ustawienia!$B$10*(K257/100)+Ustawienia!$B$11*(1-L257/100))*(Ustawienia!$B$4-Ustawienia!$B$3))))</f>
        <v/>
      </c>
    </row>
    <row r="258" spans="1:13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 t="str">
        <f>IF(OR(I258="",J258="",K258="",L258=""),"",MAX(Ustawienia!$B$3,MIN(Ustawienia!$B$4,Ustawienia!$B$3+(Ustawienia!$B$8*(I258/100)+Ustawienia!$B$9*(J258/100)+Ustawienia!$B$10*(K258/100)+Ustawienia!$B$11*(1-L258/100))*(Ustawienia!$B$4-Ustawienia!$B$3))))</f>
        <v/>
      </c>
    </row>
    <row r="259" spans="1:13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tr">
        <f>IF(OR(I259="",J259="",K259="",L259=""),"",MAX(Ustawienia!$B$3,MIN(Ustawienia!$B$4,Ustawienia!$B$3+(Ustawienia!$B$8*(I259/100)+Ustawienia!$B$9*(J259/100)+Ustawienia!$B$10*(K259/100)+Ustawienia!$B$11*(1-L259/100))*(Ustawienia!$B$4-Ustawienia!$B$3))))</f>
        <v/>
      </c>
    </row>
    <row r="260" spans="1:13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 t="str">
        <f>IF(OR(I260="",J260="",K260="",L260=""),"",MAX(Ustawienia!$B$3,MIN(Ustawienia!$B$4,Ustawienia!$B$3+(Ustawienia!$B$8*(I260/100)+Ustawienia!$B$9*(J260/100)+Ustawienia!$B$10*(K260/100)+Ustawienia!$B$11*(1-L260/100))*(Ustawienia!$B$4-Ustawienia!$B$3))))</f>
        <v/>
      </c>
    </row>
    <row r="261" spans="1:13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tr">
        <f>IF(OR(I261="",J261="",K261="",L261=""),"",MAX(Ustawienia!$B$3,MIN(Ustawienia!$B$4,Ustawienia!$B$3+(Ustawienia!$B$8*(I261/100)+Ustawienia!$B$9*(J261/100)+Ustawienia!$B$10*(K261/100)+Ustawienia!$B$11*(1-L261/100))*(Ustawienia!$B$4-Ustawienia!$B$3))))</f>
        <v/>
      </c>
    </row>
    <row r="262" spans="1:13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 t="str">
        <f>IF(OR(I262="",J262="",K262="",L262=""),"",MAX(Ustawienia!$B$3,MIN(Ustawienia!$B$4,Ustawienia!$B$3+(Ustawienia!$B$8*(I262/100)+Ustawienia!$B$9*(J262/100)+Ustawienia!$B$10*(K262/100)+Ustawienia!$B$11*(1-L262/100))*(Ustawienia!$B$4-Ustawienia!$B$3))))</f>
        <v/>
      </c>
    </row>
    <row r="263" spans="1:13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tr">
        <f>IF(OR(I263="",J263="",K263="",L263=""),"",MAX(Ustawienia!$B$3,MIN(Ustawienia!$B$4,Ustawienia!$B$3+(Ustawienia!$B$8*(I263/100)+Ustawienia!$B$9*(J263/100)+Ustawienia!$B$10*(K263/100)+Ustawienia!$B$11*(1-L263/100))*(Ustawienia!$B$4-Ustawienia!$B$3))))</f>
        <v/>
      </c>
    </row>
    <row r="264" spans="1:13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 t="str">
        <f>IF(OR(I264="",J264="",K264="",L264=""),"",MAX(Ustawienia!$B$3,MIN(Ustawienia!$B$4,Ustawienia!$B$3+(Ustawienia!$B$8*(I264/100)+Ustawienia!$B$9*(J264/100)+Ustawienia!$B$10*(K264/100)+Ustawienia!$B$11*(1-L264/100))*(Ustawienia!$B$4-Ustawienia!$B$3))))</f>
        <v/>
      </c>
    </row>
    <row r="265" spans="1:13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tr">
        <f>IF(OR(I265="",J265="",K265="",L265=""),"",MAX(Ustawienia!$B$3,MIN(Ustawienia!$B$4,Ustawienia!$B$3+(Ustawienia!$B$8*(I265/100)+Ustawienia!$B$9*(J265/100)+Ustawienia!$B$10*(K265/100)+Ustawienia!$B$11*(1-L265/100))*(Ustawienia!$B$4-Ustawienia!$B$3))))</f>
        <v/>
      </c>
    </row>
    <row r="266" spans="1:13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 t="str">
        <f>IF(OR(I266="",J266="",K266="",L266=""),"",MAX(Ustawienia!$B$3,MIN(Ustawienia!$B$4,Ustawienia!$B$3+(Ustawienia!$B$8*(I266/100)+Ustawienia!$B$9*(J266/100)+Ustawienia!$B$10*(K266/100)+Ustawienia!$B$11*(1-L266/100))*(Ustawienia!$B$4-Ustawienia!$B$3))))</f>
        <v/>
      </c>
    </row>
    <row r="267" spans="1:13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tr">
        <f>IF(OR(I267="",J267="",K267="",L267=""),"",MAX(Ustawienia!$B$3,MIN(Ustawienia!$B$4,Ustawienia!$B$3+(Ustawienia!$B$8*(I267/100)+Ustawienia!$B$9*(J267/100)+Ustawienia!$B$10*(K267/100)+Ustawienia!$B$11*(1-L267/100))*(Ustawienia!$B$4-Ustawienia!$B$3))))</f>
        <v/>
      </c>
    </row>
    <row r="268" spans="1:13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 t="str">
        <f>IF(OR(I268="",J268="",K268="",L268=""),"",MAX(Ustawienia!$B$3,MIN(Ustawienia!$B$4,Ustawienia!$B$3+(Ustawienia!$B$8*(I268/100)+Ustawienia!$B$9*(J268/100)+Ustawienia!$B$10*(K268/100)+Ustawienia!$B$11*(1-L268/100))*(Ustawienia!$B$4-Ustawienia!$B$3))))</f>
        <v/>
      </c>
    </row>
    <row r="269" spans="1:13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tr">
        <f>IF(OR(I269="",J269="",K269="",L269=""),"",MAX(Ustawienia!$B$3,MIN(Ustawienia!$B$4,Ustawienia!$B$3+(Ustawienia!$B$8*(I269/100)+Ustawienia!$B$9*(J269/100)+Ustawienia!$B$10*(K269/100)+Ustawienia!$B$11*(1-L269/100))*(Ustawienia!$B$4-Ustawienia!$B$3))))</f>
        <v/>
      </c>
    </row>
    <row r="270" spans="1:13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 t="str">
        <f>IF(OR(I270="",J270="",K270="",L270=""),"",MAX(Ustawienia!$B$3,MIN(Ustawienia!$B$4,Ustawienia!$B$3+(Ustawienia!$B$8*(I270/100)+Ustawienia!$B$9*(J270/100)+Ustawienia!$B$10*(K270/100)+Ustawienia!$B$11*(1-L270/100))*(Ustawienia!$B$4-Ustawienia!$B$3))))</f>
        <v/>
      </c>
    </row>
    <row r="271" spans="1:13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tr">
        <f>IF(OR(I271="",J271="",K271="",L271=""),"",MAX(Ustawienia!$B$3,MIN(Ustawienia!$B$4,Ustawienia!$B$3+(Ustawienia!$B$8*(I271/100)+Ustawienia!$B$9*(J271/100)+Ustawienia!$B$10*(K271/100)+Ustawienia!$B$11*(1-L271/100))*(Ustawienia!$B$4-Ustawienia!$B$3))))</f>
        <v/>
      </c>
    </row>
    <row r="272" spans="1:13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 t="str">
        <f>IF(OR(I272="",J272="",K272="",L272=""),"",MAX(Ustawienia!$B$3,MIN(Ustawienia!$B$4,Ustawienia!$B$3+(Ustawienia!$B$8*(I272/100)+Ustawienia!$B$9*(J272/100)+Ustawienia!$B$10*(K272/100)+Ustawienia!$B$11*(1-L272/100))*(Ustawienia!$B$4-Ustawienia!$B$3))))</f>
        <v/>
      </c>
    </row>
    <row r="273" spans="1:13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tr">
        <f>IF(OR(I273="",J273="",K273="",L273=""),"",MAX(Ustawienia!$B$3,MIN(Ustawienia!$B$4,Ustawienia!$B$3+(Ustawienia!$B$8*(I273/100)+Ustawienia!$B$9*(J273/100)+Ustawienia!$B$10*(K273/100)+Ustawienia!$B$11*(1-L273/100))*(Ustawienia!$B$4-Ustawienia!$B$3))))</f>
        <v/>
      </c>
    </row>
    <row r="274" spans="1:13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 t="str">
        <f>IF(OR(I274="",J274="",K274="",L274=""),"",MAX(Ustawienia!$B$3,MIN(Ustawienia!$B$4,Ustawienia!$B$3+(Ustawienia!$B$8*(I274/100)+Ustawienia!$B$9*(J274/100)+Ustawienia!$B$10*(K274/100)+Ustawienia!$B$11*(1-L274/100))*(Ustawienia!$B$4-Ustawienia!$B$3))))</f>
        <v/>
      </c>
    </row>
    <row r="275" spans="1:13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tr">
        <f>IF(OR(I275="",J275="",K275="",L275=""),"",MAX(Ustawienia!$B$3,MIN(Ustawienia!$B$4,Ustawienia!$B$3+(Ustawienia!$B$8*(I275/100)+Ustawienia!$B$9*(J275/100)+Ustawienia!$B$10*(K275/100)+Ustawienia!$B$11*(1-L275/100))*(Ustawienia!$B$4-Ustawienia!$B$3))))</f>
        <v/>
      </c>
    </row>
    <row r="276" spans="1:13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 t="str">
        <f>IF(OR(I276="",J276="",K276="",L276=""),"",MAX(Ustawienia!$B$3,MIN(Ustawienia!$B$4,Ustawienia!$B$3+(Ustawienia!$B$8*(I276/100)+Ustawienia!$B$9*(J276/100)+Ustawienia!$B$10*(K276/100)+Ustawienia!$B$11*(1-L276/100))*(Ustawienia!$B$4-Ustawienia!$B$3))))</f>
        <v/>
      </c>
    </row>
    <row r="277" spans="1:13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tr">
        <f>IF(OR(I277="",J277="",K277="",L277=""),"",MAX(Ustawienia!$B$3,MIN(Ustawienia!$B$4,Ustawienia!$B$3+(Ustawienia!$B$8*(I277/100)+Ustawienia!$B$9*(J277/100)+Ustawienia!$B$10*(K277/100)+Ustawienia!$B$11*(1-L277/100))*(Ustawienia!$B$4-Ustawienia!$B$3))))</f>
        <v/>
      </c>
    </row>
    <row r="278" spans="1:13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 t="str">
        <f>IF(OR(I278="",J278="",K278="",L278=""),"",MAX(Ustawienia!$B$3,MIN(Ustawienia!$B$4,Ustawienia!$B$3+(Ustawienia!$B$8*(I278/100)+Ustawienia!$B$9*(J278/100)+Ustawienia!$B$10*(K278/100)+Ustawienia!$B$11*(1-L278/100))*(Ustawienia!$B$4-Ustawienia!$B$3))))</f>
        <v/>
      </c>
    </row>
    <row r="279" spans="1:13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tr">
        <f>IF(OR(I279="",J279="",K279="",L279=""),"",MAX(Ustawienia!$B$3,MIN(Ustawienia!$B$4,Ustawienia!$B$3+(Ustawienia!$B$8*(I279/100)+Ustawienia!$B$9*(J279/100)+Ustawienia!$B$10*(K279/100)+Ustawienia!$B$11*(1-L279/100))*(Ustawienia!$B$4-Ustawienia!$B$3))))</f>
        <v/>
      </c>
    </row>
    <row r="280" spans="1:13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 t="str">
        <f>IF(OR(I280="",J280="",K280="",L280=""),"",MAX(Ustawienia!$B$3,MIN(Ustawienia!$B$4,Ustawienia!$B$3+(Ustawienia!$B$8*(I280/100)+Ustawienia!$B$9*(J280/100)+Ustawienia!$B$10*(K280/100)+Ustawienia!$B$11*(1-L280/100))*(Ustawienia!$B$4-Ustawienia!$B$3))))</f>
        <v/>
      </c>
    </row>
    <row r="281" spans="1:13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tr">
        <f>IF(OR(I281="",J281="",K281="",L281=""),"",MAX(Ustawienia!$B$3,MIN(Ustawienia!$B$4,Ustawienia!$B$3+(Ustawienia!$B$8*(I281/100)+Ustawienia!$B$9*(J281/100)+Ustawienia!$B$10*(K281/100)+Ustawienia!$B$11*(1-L281/100))*(Ustawienia!$B$4-Ustawienia!$B$3))))</f>
        <v/>
      </c>
    </row>
    <row r="282" spans="1:13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 t="str">
        <f>IF(OR(I282="",J282="",K282="",L282=""),"",MAX(Ustawienia!$B$3,MIN(Ustawienia!$B$4,Ustawienia!$B$3+(Ustawienia!$B$8*(I282/100)+Ustawienia!$B$9*(J282/100)+Ustawienia!$B$10*(K282/100)+Ustawienia!$B$11*(1-L282/100))*(Ustawienia!$B$4-Ustawienia!$B$3))))</f>
        <v/>
      </c>
    </row>
    <row r="283" spans="1:13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tr">
        <f>IF(OR(I283="",J283="",K283="",L283=""),"",MAX(Ustawienia!$B$3,MIN(Ustawienia!$B$4,Ustawienia!$B$3+(Ustawienia!$B$8*(I283/100)+Ustawienia!$B$9*(J283/100)+Ustawienia!$B$10*(K283/100)+Ustawienia!$B$11*(1-L283/100))*(Ustawienia!$B$4-Ustawienia!$B$3))))</f>
        <v/>
      </c>
    </row>
    <row r="284" spans="1:13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 t="str">
        <f>IF(OR(I284="",J284="",K284="",L284=""),"",MAX(Ustawienia!$B$3,MIN(Ustawienia!$B$4,Ustawienia!$B$3+(Ustawienia!$B$8*(I284/100)+Ustawienia!$B$9*(J284/100)+Ustawienia!$B$10*(K284/100)+Ustawienia!$B$11*(1-L284/100))*(Ustawienia!$B$4-Ustawienia!$B$3))))</f>
        <v/>
      </c>
    </row>
    <row r="285" spans="1:13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tr">
        <f>IF(OR(I285="",J285="",K285="",L285=""),"",MAX(Ustawienia!$B$3,MIN(Ustawienia!$B$4,Ustawienia!$B$3+(Ustawienia!$B$8*(I285/100)+Ustawienia!$B$9*(J285/100)+Ustawienia!$B$10*(K285/100)+Ustawienia!$B$11*(1-L285/100))*(Ustawienia!$B$4-Ustawienia!$B$3))))</f>
        <v/>
      </c>
    </row>
    <row r="286" spans="1:13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 t="str">
        <f>IF(OR(I286="",J286="",K286="",L286=""),"",MAX(Ustawienia!$B$3,MIN(Ustawienia!$B$4,Ustawienia!$B$3+(Ustawienia!$B$8*(I286/100)+Ustawienia!$B$9*(J286/100)+Ustawienia!$B$10*(K286/100)+Ustawienia!$B$11*(1-L286/100))*(Ustawienia!$B$4-Ustawienia!$B$3))))</f>
        <v/>
      </c>
    </row>
    <row r="287" spans="1:13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tr">
        <f>IF(OR(I287="",J287="",K287="",L287=""),"",MAX(Ustawienia!$B$3,MIN(Ustawienia!$B$4,Ustawienia!$B$3+(Ustawienia!$B$8*(I287/100)+Ustawienia!$B$9*(J287/100)+Ustawienia!$B$10*(K287/100)+Ustawienia!$B$11*(1-L287/100))*(Ustawienia!$B$4-Ustawienia!$B$3))))</f>
        <v/>
      </c>
    </row>
    <row r="288" spans="1:13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 t="str">
        <f>IF(OR(I288="",J288="",K288="",L288=""),"",MAX(Ustawienia!$B$3,MIN(Ustawienia!$B$4,Ustawienia!$B$3+(Ustawienia!$B$8*(I288/100)+Ustawienia!$B$9*(J288/100)+Ustawienia!$B$10*(K288/100)+Ustawienia!$B$11*(1-L288/100))*(Ustawienia!$B$4-Ustawienia!$B$3))))</f>
        <v/>
      </c>
    </row>
    <row r="289" spans="1:13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tr">
        <f>IF(OR(I289="",J289="",K289="",L289=""),"",MAX(Ustawienia!$B$3,MIN(Ustawienia!$B$4,Ustawienia!$B$3+(Ustawienia!$B$8*(I289/100)+Ustawienia!$B$9*(J289/100)+Ustawienia!$B$10*(K289/100)+Ustawienia!$B$11*(1-L289/100))*(Ustawienia!$B$4-Ustawienia!$B$3))))</f>
        <v/>
      </c>
    </row>
    <row r="290" spans="1:13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 t="str">
        <f>IF(OR(I290="",J290="",K290="",L290=""),"",MAX(Ustawienia!$B$3,MIN(Ustawienia!$B$4,Ustawienia!$B$3+(Ustawienia!$B$8*(I290/100)+Ustawienia!$B$9*(J290/100)+Ustawienia!$B$10*(K290/100)+Ustawienia!$B$11*(1-L290/100))*(Ustawienia!$B$4-Ustawienia!$B$3))))</f>
        <v/>
      </c>
    </row>
    <row r="291" spans="1:13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tr">
        <f>IF(OR(I291="",J291="",K291="",L291=""),"",MAX(Ustawienia!$B$3,MIN(Ustawienia!$B$4,Ustawienia!$B$3+(Ustawienia!$B$8*(I291/100)+Ustawienia!$B$9*(J291/100)+Ustawienia!$B$10*(K291/100)+Ustawienia!$B$11*(1-L291/100))*(Ustawienia!$B$4-Ustawienia!$B$3))))</f>
        <v/>
      </c>
    </row>
    <row r="292" spans="1:13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 t="str">
        <f>IF(OR(I292="",J292="",K292="",L292=""),"",MAX(Ustawienia!$B$3,MIN(Ustawienia!$B$4,Ustawienia!$B$3+(Ustawienia!$B$8*(I292/100)+Ustawienia!$B$9*(J292/100)+Ustawienia!$B$10*(K292/100)+Ustawienia!$B$11*(1-L292/100))*(Ustawienia!$B$4-Ustawienia!$B$3))))</f>
        <v/>
      </c>
    </row>
    <row r="293" spans="1:13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tr">
        <f>IF(OR(I293="",J293="",K293="",L293=""),"",MAX(Ustawienia!$B$3,MIN(Ustawienia!$B$4,Ustawienia!$B$3+(Ustawienia!$B$8*(I293/100)+Ustawienia!$B$9*(J293/100)+Ustawienia!$B$10*(K293/100)+Ustawienia!$B$11*(1-L293/100))*(Ustawienia!$B$4-Ustawienia!$B$3))))</f>
        <v/>
      </c>
    </row>
    <row r="294" spans="1:13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 t="str">
        <f>IF(OR(I294="",J294="",K294="",L294=""),"",MAX(Ustawienia!$B$3,MIN(Ustawienia!$B$4,Ustawienia!$B$3+(Ustawienia!$B$8*(I294/100)+Ustawienia!$B$9*(J294/100)+Ustawienia!$B$10*(K294/100)+Ustawienia!$B$11*(1-L294/100))*(Ustawienia!$B$4-Ustawienia!$B$3))))</f>
        <v/>
      </c>
    </row>
    <row r="295" spans="1:13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tr">
        <f>IF(OR(I295="",J295="",K295="",L295=""),"",MAX(Ustawienia!$B$3,MIN(Ustawienia!$B$4,Ustawienia!$B$3+(Ustawienia!$B$8*(I295/100)+Ustawienia!$B$9*(J295/100)+Ustawienia!$B$10*(K295/100)+Ustawienia!$B$11*(1-L295/100))*(Ustawienia!$B$4-Ustawienia!$B$3))))</f>
        <v/>
      </c>
    </row>
    <row r="296" spans="1:13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 t="str">
        <f>IF(OR(I296="",J296="",K296="",L296=""),"",MAX(Ustawienia!$B$3,MIN(Ustawienia!$B$4,Ustawienia!$B$3+(Ustawienia!$B$8*(I296/100)+Ustawienia!$B$9*(J296/100)+Ustawienia!$B$10*(K296/100)+Ustawienia!$B$11*(1-L296/100))*(Ustawienia!$B$4-Ustawienia!$B$3))))</f>
        <v/>
      </c>
    </row>
    <row r="297" spans="1:13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tr">
        <f>IF(OR(I297="",J297="",K297="",L297=""),"",MAX(Ustawienia!$B$3,MIN(Ustawienia!$B$4,Ustawienia!$B$3+(Ustawienia!$B$8*(I297/100)+Ustawienia!$B$9*(J297/100)+Ustawienia!$B$10*(K297/100)+Ustawienia!$B$11*(1-L297/100))*(Ustawienia!$B$4-Ustawienia!$B$3))))</f>
        <v/>
      </c>
    </row>
    <row r="298" spans="1:13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 t="str">
        <f>IF(OR(I298="",J298="",K298="",L298=""),"",MAX(Ustawienia!$B$3,MIN(Ustawienia!$B$4,Ustawienia!$B$3+(Ustawienia!$B$8*(I298/100)+Ustawienia!$B$9*(J298/100)+Ustawienia!$B$10*(K298/100)+Ustawienia!$B$11*(1-L298/100))*(Ustawienia!$B$4-Ustawienia!$B$3))))</f>
        <v/>
      </c>
    </row>
    <row r="299" spans="1:13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tr">
        <f>IF(OR(I299="",J299="",K299="",L299=""),"",MAX(Ustawienia!$B$3,MIN(Ustawienia!$B$4,Ustawienia!$B$3+(Ustawienia!$B$8*(I299/100)+Ustawienia!$B$9*(J299/100)+Ustawienia!$B$10*(K299/100)+Ustawienia!$B$11*(1-L299/100))*(Ustawienia!$B$4-Ustawienia!$B$3))))</f>
        <v/>
      </c>
    </row>
    <row r="300" spans="1:13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 t="str">
        <f>IF(OR(I300="",J300="",K300="",L300=""),"",MAX(Ustawienia!$B$3,MIN(Ustawienia!$B$4,Ustawienia!$B$3+(Ustawienia!$B$8*(I300/100)+Ustawienia!$B$9*(J300/100)+Ustawienia!$B$10*(K300/100)+Ustawienia!$B$11*(1-L300/100))*(Ustawienia!$B$4-Ustawienia!$B$3))))</f>
        <v/>
      </c>
    </row>
    <row r="301" spans="1:13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tr">
        <f>IF(OR(I301="",J301="",K301="",L301=""),"",MAX(Ustawienia!$B$3,MIN(Ustawienia!$B$4,Ustawienia!$B$3+(Ustawienia!$B$8*(I301/100)+Ustawienia!$B$9*(J301/100)+Ustawienia!$B$10*(K301/100)+Ustawienia!$B$11*(1-L301/100))*(Ustawienia!$B$4-Ustawienia!$B$3))))</f>
        <v/>
      </c>
    </row>
    <row r="302" spans="1:13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 t="str">
        <f>IF(OR(I302="",J302="",K302="",L302=""),"",MAX(Ustawienia!$B$3,MIN(Ustawienia!$B$4,Ustawienia!$B$3+(Ustawienia!$B$8*(I302/100)+Ustawienia!$B$9*(J302/100)+Ustawienia!$B$10*(K302/100)+Ustawienia!$B$11*(1-L302/100))*(Ustawienia!$B$4-Ustawienia!$B$3))))</f>
        <v/>
      </c>
    </row>
    <row r="303" spans="1:13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tr">
        <f>IF(OR(I303="",J303="",K303="",L303=""),"",MAX(Ustawienia!$B$3,MIN(Ustawienia!$B$4,Ustawienia!$B$3+(Ustawienia!$B$8*(I303/100)+Ustawienia!$B$9*(J303/100)+Ustawienia!$B$10*(K303/100)+Ustawienia!$B$11*(1-L303/100))*(Ustawienia!$B$4-Ustawienia!$B$3))))</f>
        <v/>
      </c>
    </row>
    <row r="304" spans="1:13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 t="str">
        <f>IF(OR(I304="",J304="",K304="",L304=""),"",MAX(Ustawienia!$B$3,MIN(Ustawienia!$B$4,Ustawienia!$B$3+(Ustawienia!$B$8*(I304/100)+Ustawienia!$B$9*(J304/100)+Ustawienia!$B$10*(K304/100)+Ustawienia!$B$11*(1-L304/100))*(Ustawienia!$B$4-Ustawienia!$B$3))))</f>
        <v/>
      </c>
    </row>
    <row r="305" spans="1:13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tr">
        <f>IF(OR(I305="",J305="",K305="",L305=""),"",MAX(Ustawienia!$B$3,MIN(Ustawienia!$B$4,Ustawienia!$B$3+(Ustawienia!$B$8*(I305/100)+Ustawienia!$B$9*(J305/100)+Ustawienia!$B$10*(K305/100)+Ustawienia!$B$11*(1-L305/100))*(Ustawienia!$B$4-Ustawienia!$B$3))))</f>
        <v/>
      </c>
    </row>
    <row r="306" spans="1:13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 t="str">
        <f>IF(OR(I306="",J306="",K306="",L306=""),"",MAX(Ustawienia!$B$3,MIN(Ustawienia!$B$4,Ustawienia!$B$3+(Ustawienia!$B$8*(I306/100)+Ustawienia!$B$9*(J306/100)+Ustawienia!$B$10*(K306/100)+Ustawienia!$B$11*(1-L306/100))*(Ustawienia!$B$4-Ustawienia!$B$3))))</f>
        <v/>
      </c>
    </row>
    <row r="307" spans="1:13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tr">
        <f>IF(OR(I307="",J307="",K307="",L307=""),"",MAX(Ustawienia!$B$3,MIN(Ustawienia!$B$4,Ustawienia!$B$3+(Ustawienia!$B$8*(I307/100)+Ustawienia!$B$9*(J307/100)+Ustawienia!$B$10*(K307/100)+Ustawienia!$B$11*(1-L307/100))*(Ustawienia!$B$4-Ustawienia!$B$3))))</f>
        <v/>
      </c>
    </row>
    <row r="308" spans="1:13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 t="str">
        <f>IF(OR(I308="",J308="",K308="",L308=""),"",MAX(Ustawienia!$B$3,MIN(Ustawienia!$B$4,Ustawienia!$B$3+(Ustawienia!$B$8*(I308/100)+Ustawienia!$B$9*(J308/100)+Ustawienia!$B$10*(K308/100)+Ustawienia!$B$11*(1-L308/100))*(Ustawienia!$B$4-Ustawienia!$B$3))))</f>
        <v/>
      </c>
    </row>
    <row r="309" spans="1:13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tr">
        <f>IF(OR(I309="",J309="",K309="",L309=""),"",MAX(Ustawienia!$B$3,MIN(Ustawienia!$B$4,Ustawienia!$B$3+(Ustawienia!$B$8*(I309/100)+Ustawienia!$B$9*(J309/100)+Ustawienia!$B$10*(K309/100)+Ustawienia!$B$11*(1-L309/100))*(Ustawienia!$B$4-Ustawienia!$B$3))))</f>
        <v/>
      </c>
    </row>
    <row r="310" spans="1:13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 t="str">
        <f>IF(OR(I310="",J310="",K310="",L310=""),"",MAX(Ustawienia!$B$3,MIN(Ustawienia!$B$4,Ustawienia!$B$3+(Ustawienia!$B$8*(I310/100)+Ustawienia!$B$9*(J310/100)+Ustawienia!$B$10*(K310/100)+Ustawienia!$B$11*(1-L310/100))*(Ustawienia!$B$4-Ustawienia!$B$3))))</f>
        <v/>
      </c>
    </row>
    <row r="311" spans="1:13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tr">
        <f>IF(OR(I311="",J311="",K311="",L311=""),"",MAX(Ustawienia!$B$3,MIN(Ustawienia!$B$4,Ustawienia!$B$3+(Ustawienia!$B$8*(I311/100)+Ustawienia!$B$9*(J311/100)+Ustawienia!$B$10*(K311/100)+Ustawienia!$B$11*(1-L311/100))*(Ustawienia!$B$4-Ustawienia!$B$3))))</f>
        <v/>
      </c>
    </row>
    <row r="312" spans="1:13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 t="str">
        <f>IF(OR(I312="",J312="",K312="",L312=""),"",MAX(Ustawienia!$B$3,MIN(Ustawienia!$B$4,Ustawienia!$B$3+(Ustawienia!$B$8*(I312/100)+Ustawienia!$B$9*(J312/100)+Ustawienia!$B$10*(K312/100)+Ustawienia!$B$11*(1-L312/100))*(Ustawienia!$B$4-Ustawienia!$B$3))))</f>
        <v/>
      </c>
    </row>
    <row r="313" spans="1:13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tr">
        <f>IF(OR(I313="",J313="",K313="",L313=""),"",MAX(Ustawienia!$B$3,MIN(Ustawienia!$B$4,Ustawienia!$B$3+(Ustawienia!$B$8*(I313/100)+Ustawienia!$B$9*(J313/100)+Ustawienia!$B$10*(K313/100)+Ustawienia!$B$11*(1-L313/100))*(Ustawienia!$B$4-Ustawienia!$B$3))))</f>
        <v/>
      </c>
    </row>
    <row r="314" spans="1:13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 t="str">
        <f>IF(OR(I314="",J314="",K314="",L314=""),"",MAX(Ustawienia!$B$3,MIN(Ustawienia!$B$4,Ustawienia!$B$3+(Ustawienia!$B$8*(I314/100)+Ustawienia!$B$9*(J314/100)+Ustawienia!$B$10*(K314/100)+Ustawienia!$B$11*(1-L314/100))*(Ustawienia!$B$4-Ustawienia!$B$3))))</f>
        <v/>
      </c>
    </row>
    <row r="315" spans="1:13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tr">
        <f>IF(OR(I315="",J315="",K315="",L315=""),"",MAX(Ustawienia!$B$3,MIN(Ustawienia!$B$4,Ustawienia!$B$3+(Ustawienia!$B$8*(I315/100)+Ustawienia!$B$9*(J315/100)+Ustawienia!$B$10*(K315/100)+Ustawienia!$B$11*(1-L315/100))*(Ustawienia!$B$4-Ustawienia!$B$3))))</f>
        <v/>
      </c>
    </row>
    <row r="316" spans="1:13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 t="str">
        <f>IF(OR(I316="",J316="",K316="",L316=""),"",MAX(Ustawienia!$B$3,MIN(Ustawienia!$B$4,Ustawienia!$B$3+(Ustawienia!$B$8*(I316/100)+Ustawienia!$B$9*(J316/100)+Ustawienia!$B$10*(K316/100)+Ustawienia!$B$11*(1-L316/100))*(Ustawienia!$B$4-Ustawienia!$B$3))))</f>
        <v/>
      </c>
    </row>
    <row r="317" spans="1:13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tr">
        <f>IF(OR(I317="",J317="",K317="",L317=""),"",MAX(Ustawienia!$B$3,MIN(Ustawienia!$B$4,Ustawienia!$B$3+(Ustawienia!$B$8*(I317/100)+Ustawienia!$B$9*(J317/100)+Ustawienia!$B$10*(K317/100)+Ustawienia!$B$11*(1-L317/100))*(Ustawienia!$B$4-Ustawienia!$B$3))))</f>
        <v/>
      </c>
    </row>
    <row r="318" spans="1:13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 t="str">
        <f>IF(OR(I318="",J318="",K318="",L318=""),"",MAX(Ustawienia!$B$3,MIN(Ustawienia!$B$4,Ustawienia!$B$3+(Ustawienia!$B$8*(I318/100)+Ustawienia!$B$9*(J318/100)+Ustawienia!$B$10*(K318/100)+Ustawienia!$B$11*(1-L318/100))*(Ustawienia!$B$4-Ustawienia!$B$3))))</f>
        <v/>
      </c>
    </row>
    <row r="319" spans="1:13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tr">
        <f>IF(OR(I319="",J319="",K319="",L319=""),"",MAX(Ustawienia!$B$3,MIN(Ustawienia!$B$4,Ustawienia!$B$3+(Ustawienia!$B$8*(I319/100)+Ustawienia!$B$9*(J319/100)+Ustawienia!$B$10*(K319/100)+Ustawienia!$B$11*(1-L319/100))*(Ustawienia!$B$4-Ustawienia!$B$3))))</f>
        <v/>
      </c>
    </row>
    <row r="320" spans="1:13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 t="str">
        <f>IF(OR(I320="",J320="",K320="",L320=""),"",MAX(Ustawienia!$B$3,MIN(Ustawienia!$B$4,Ustawienia!$B$3+(Ustawienia!$B$8*(I320/100)+Ustawienia!$B$9*(J320/100)+Ustawienia!$B$10*(K320/100)+Ustawienia!$B$11*(1-L320/100))*(Ustawienia!$B$4-Ustawienia!$B$3))))</f>
        <v/>
      </c>
    </row>
    <row r="321" spans="1:13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tr">
        <f>IF(OR(I321="",J321="",K321="",L321=""),"",MAX(Ustawienia!$B$3,MIN(Ustawienia!$B$4,Ustawienia!$B$3+(Ustawienia!$B$8*(I321/100)+Ustawienia!$B$9*(J321/100)+Ustawienia!$B$10*(K321/100)+Ustawienia!$B$11*(1-L321/100))*(Ustawienia!$B$4-Ustawienia!$B$3))))</f>
        <v/>
      </c>
    </row>
    <row r="322" spans="1:13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 t="str">
        <f>IF(OR(I322="",J322="",K322="",L322=""),"",MAX(Ustawienia!$B$3,MIN(Ustawienia!$B$4,Ustawienia!$B$3+(Ustawienia!$B$8*(I322/100)+Ustawienia!$B$9*(J322/100)+Ustawienia!$B$10*(K322/100)+Ustawienia!$B$11*(1-L322/100))*(Ustawienia!$B$4-Ustawienia!$B$3))))</f>
        <v/>
      </c>
    </row>
    <row r="323" spans="1:13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tr">
        <f>IF(OR(I323="",J323="",K323="",L323=""),"",MAX(Ustawienia!$B$3,MIN(Ustawienia!$B$4,Ustawienia!$B$3+(Ustawienia!$B$8*(I323/100)+Ustawienia!$B$9*(J323/100)+Ustawienia!$B$10*(K323/100)+Ustawienia!$B$11*(1-L323/100))*(Ustawienia!$B$4-Ustawienia!$B$3))))</f>
        <v/>
      </c>
    </row>
    <row r="324" spans="1:13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 t="str">
        <f>IF(OR(I324="",J324="",K324="",L324=""),"",MAX(Ustawienia!$B$3,MIN(Ustawienia!$B$4,Ustawienia!$B$3+(Ustawienia!$B$8*(I324/100)+Ustawienia!$B$9*(J324/100)+Ustawienia!$B$10*(K324/100)+Ustawienia!$B$11*(1-L324/100))*(Ustawienia!$B$4-Ustawienia!$B$3))))</f>
        <v/>
      </c>
    </row>
    <row r="325" spans="1:13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tr">
        <f>IF(OR(I325="",J325="",K325="",L325=""),"",MAX(Ustawienia!$B$3,MIN(Ustawienia!$B$4,Ustawienia!$B$3+(Ustawienia!$B$8*(I325/100)+Ustawienia!$B$9*(J325/100)+Ustawienia!$B$10*(K325/100)+Ustawienia!$B$11*(1-L325/100))*(Ustawienia!$B$4-Ustawienia!$B$3))))</f>
        <v/>
      </c>
    </row>
    <row r="326" spans="1:13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 t="str">
        <f>IF(OR(I326="",J326="",K326="",L326=""),"",MAX(Ustawienia!$B$3,MIN(Ustawienia!$B$4,Ustawienia!$B$3+(Ustawienia!$B$8*(I326/100)+Ustawienia!$B$9*(J326/100)+Ustawienia!$B$10*(K326/100)+Ustawienia!$B$11*(1-L326/100))*(Ustawienia!$B$4-Ustawienia!$B$3))))</f>
        <v/>
      </c>
    </row>
    <row r="327" spans="1:13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tr">
        <f>IF(OR(I327="",J327="",K327="",L327=""),"",MAX(Ustawienia!$B$3,MIN(Ustawienia!$B$4,Ustawienia!$B$3+(Ustawienia!$B$8*(I327/100)+Ustawienia!$B$9*(J327/100)+Ustawienia!$B$10*(K327/100)+Ustawienia!$B$11*(1-L327/100))*(Ustawienia!$B$4-Ustawienia!$B$3))))</f>
        <v/>
      </c>
    </row>
    <row r="328" spans="1:13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 t="str">
        <f>IF(OR(I328="",J328="",K328="",L328=""),"",MAX(Ustawienia!$B$3,MIN(Ustawienia!$B$4,Ustawienia!$B$3+(Ustawienia!$B$8*(I328/100)+Ustawienia!$B$9*(J328/100)+Ustawienia!$B$10*(K328/100)+Ustawienia!$B$11*(1-L328/100))*(Ustawienia!$B$4-Ustawienia!$B$3))))</f>
        <v/>
      </c>
    </row>
    <row r="329" spans="1:13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tr">
        <f>IF(OR(I329="",J329="",K329="",L329=""),"",MAX(Ustawienia!$B$3,MIN(Ustawienia!$B$4,Ustawienia!$B$3+(Ustawienia!$B$8*(I329/100)+Ustawienia!$B$9*(J329/100)+Ustawienia!$B$10*(K329/100)+Ustawienia!$B$11*(1-L329/100))*(Ustawienia!$B$4-Ustawienia!$B$3))))</f>
        <v/>
      </c>
    </row>
    <row r="330" spans="1:13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 t="str">
        <f>IF(OR(I330="",J330="",K330="",L330=""),"",MAX(Ustawienia!$B$3,MIN(Ustawienia!$B$4,Ustawienia!$B$3+(Ustawienia!$B$8*(I330/100)+Ustawienia!$B$9*(J330/100)+Ustawienia!$B$10*(K330/100)+Ustawienia!$B$11*(1-L330/100))*(Ustawienia!$B$4-Ustawienia!$B$3))))</f>
        <v/>
      </c>
    </row>
    <row r="331" spans="1:13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tr">
        <f>IF(OR(I331="",J331="",K331="",L331=""),"",MAX(Ustawienia!$B$3,MIN(Ustawienia!$B$4,Ustawienia!$B$3+(Ustawienia!$B$8*(I331/100)+Ustawienia!$B$9*(J331/100)+Ustawienia!$B$10*(K331/100)+Ustawienia!$B$11*(1-L331/100))*(Ustawienia!$B$4-Ustawienia!$B$3))))</f>
        <v/>
      </c>
    </row>
    <row r="332" spans="1:13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 t="str">
        <f>IF(OR(I332="",J332="",K332="",L332=""),"",MAX(Ustawienia!$B$3,MIN(Ustawienia!$B$4,Ustawienia!$B$3+(Ustawienia!$B$8*(I332/100)+Ustawienia!$B$9*(J332/100)+Ustawienia!$B$10*(K332/100)+Ustawienia!$B$11*(1-L332/100))*(Ustawienia!$B$4-Ustawienia!$B$3))))</f>
        <v/>
      </c>
    </row>
    <row r="333" spans="1:13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tr">
        <f>IF(OR(I333="",J333="",K333="",L333=""),"",MAX(Ustawienia!$B$3,MIN(Ustawienia!$B$4,Ustawienia!$B$3+(Ustawienia!$B$8*(I333/100)+Ustawienia!$B$9*(J333/100)+Ustawienia!$B$10*(K333/100)+Ustawienia!$B$11*(1-L333/100))*(Ustawienia!$B$4-Ustawienia!$B$3))))</f>
        <v/>
      </c>
    </row>
    <row r="334" spans="1:13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 t="str">
        <f>IF(OR(I334="",J334="",K334="",L334=""),"",MAX(Ustawienia!$B$3,MIN(Ustawienia!$B$4,Ustawienia!$B$3+(Ustawienia!$B$8*(I334/100)+Ustawienia!$B$9*(J334/100)+Ustawienia!$B$10*(K334/100)+Ustawienia!$B$11*(1-L334/100))*(Ustawienia!$B$4-Ustawienia!$B$3))))</f>
        <v/>
      </c>
    </row>
    <row r="335" spans="1:13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tr">
        <f>IF(OR(I335="",J335="",K335="",L335=""),"",MAX(Ustawienia!$B$3,MIN(Ustawienia!$B$4,Ustawienia!$B$3+(Ustawienia!$B$8*(I335/100)+Ustawienia!$B$9*(J335/100)+Ustawienia!$B$10*(K335/100)+Ustawienia!$B$11*(1-L335/100))*(Ustawienia!$B$4-Ustawienia!$B$3))))</f>
        <v/>
      </c>
    </row>
    <row r="336" spans="1:13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 t="str">
        <f>IF(OR(I336="",J336="",K336="",L336=""),"",MAX(Ustawienia!$B$3,MIN(Ustawienia!$B$4,Ustawienia!$B$3+(Ustawienia!$B$8*(I336/100)+Ustawienia!$B$9*(J336/100)+Ustawienia!$B$10*(K336/100)+Ustawienia!$B$11*(1-L336/100))*(Ustawienia!$B$4-Ustawienia!$B$3))))</f>
        <v/>
      </c>
    </row>
    <row r="337" spans="1:13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tr">
        <f>IF(OR(I337="",J337="",K337="",L337=""),"",MAX(Ustawienia!$B$3,MIN(Ustawienia!$B$4,Ustawienia!$B$3+(Ustawienia!$B$8*(I337/100)+Ustawienia!$B$9*(J337/100)+Ustawienia!$B$10*(K337/100)+Ustawienia!$B$11*(1-L337/100))*(Ustawienia!$B$4-Ustawienia!$B$3))))</f>
        <v/>
      </c>
    </row>
    <row r="338" spans="1:13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 t="str">
        <f>IF(OR(I338="",J338="",K338="",L338=""),"",MAX(Ustawienia!$B$3,MIN(Ustawienia!$B$4,Ustawienia!$B$3+(Ustawienia!$B$8*(I338/100)+Ustawienia!$B$9*(J338/100)+Ustawienia!$B$10*(K338/100)+Ustawienia!$B$11*(1-L338/100))*(Ustawienia!$B$4-Ustawienia!$B$3))))</f>
        <v/>
      </c>
    </row>
    <row r="339" spans="1:13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tr">
        <f>IF(OR(I339="",J339="",K339="",L339=""),"",MAX(Ustawienia!$B$3,MIN(Ustawienia!$B$4,Ustawienia!$B$3+(Ustawienia!$B$8*(I339/100)+Ustawienia!$B$9*(J339/100)+Ustawienia!$B$10*(K339/100)+Ustawienia!$B$11*(1-L339/100))*(Ustawienia!$B$4-Ustawienia!$B$3))))</f>
        <v/>
      </c>
    </row>
    <row r="340" spans="1:13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 t="str">
        <f>IF(OR(I340="",J340="",K340="",L340=""),"",MAX(Ustawienia!$B$3,MIN(Ustawienia!$B$4,Ustawienia!$B$3+(Ustawienia!$B$8*(I340/100)+Ustawienia!$B$9*(J340/100)+Ustawienia!$B$10*(K340/100)+Ustawienia!$B$11*(1-L340/100))*(Ustawienia!$B$4-Ustawienia!$B$3))))</f>
        <v/>
      </c>
    </row>
    <row r="341" spans="1:13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tr">
        <f>IF(OR(I341="",J341="",K341="",L341=""),"",MAX(Ustawienia!$B$3,MIN(Ustawienia!$B$4,Ustawienia!$B$3+(Ustawienia!$B$8*(I341/100)+Ustawienia!$B$9*(J341/100)+Ustawienia!$B$10*(K341/100)+Ustawienia!$B$11*(1-L341/100))*(Ustawienia!$B$4-Ustawienia!$B$3))))</f>
        <v/>
      </c>
    </row>
    <row r="342" spans="1:13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 t="str">
        <f>IF(OR(I342="",J342="",K342="",L342=""),"",MAX(Ustawienia!$B$3,MIN(Ustawienia!$B$4,Ustawienia!$B$3+(Ustawienia!$B$8*(I342/100)+Ustawienia!$B$9*(J342/100)+Ustawienia!$B$10*(K342/100)+Ustawienia!$B$11*(1-L342/100))*(Ustawienia!$B$4-Ustawienia!$B$3))))</f>
        <v/>
      </c>
    </row>
    <row r="343" spans="1:13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tr">
        <f>IF(OR(I343="",J343="",K343="",L343=""),"",MAX(Ustawienia!$B$3,MIN(Ustawienia!$B$4,Ustawienia!$B$3+(Ustawienia!$B$8*(I343/100)+Ustawienia!$B$9*(J343/100)+Ustawienia!$B$10*(K343/100)+Ustawienia!$B$11*(1-L343/100))*(Ustawienia!$B$4-Ustawienia!$B$3))))</f>
        <v/>
      </c>
    </row>
    <row r="344" spans="1:13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 t="str">
        <f>IF(OR(I344="",J344="",K344="",L344=""),"",MAX(Ustawienia!$B$3,MIN(Ustawienia!$B$4,Ustawienia!$B$3+(Ustawienia!$B$8*(I344/100)+Ustawienia!$B$9*(J344/100)+Ustawienia!$B$10*(K344/100)+Ustawienia!$B$11*(1-L344/100))*(Ustawienia!$B$4-Ustawienia!$B$3))))</f>
        <v/>
      </c>
    </row>
    <row r="345" spans="1:13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tr">
        <f>IF(OR(I345="",J345="",K345="",L345=""),"",MAX(Ustawienia!$B$3,MIN(Ustawienia!$B$4,Ustawienia!$B$3+(Ustawienia!$B$8*(I345/100)+Ustawienia!$B$9*(J345/100)+Ustawienia!$B$10*(K345/100)+Ustawienia!$B$11*(1-L345/100))*(Ustawienia!$B$4-Ustawienia!$B$3))))</f>
        <v/>
      </c>
    </row>
    <row r="346" spans="1:13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 t="str">
        <f>IF(OR(I346="",J346="",K346="",L346=""),"",MAX(Ustawienia!$B$3,MIN(Ustawienia!$B$4,Ustawienia!$B$3+(Ustawienia!$B$8*(I346/100)+Ustawienia!$B$9*(J346/100)+Ustawienia!$B$10*(K346/100)+Ustawienia!$B$11*(1-L346/100))*(Ustawienia!$B$4-Ustawienia!$B$3))))</f>
        <v/>
      </c>
    </row>
    <row r="347" spans="1:13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tr">
        <f>IF(OR(I347="",J347="",K347="",L347=""),"",MAX(Ustawienia!$B$3,MIN(Ustawienia!$B$4,Ustawienia!$B$3+(Ustawienia!$B$8*(I347/100)+Ustawienia!$B$9*(J347/100)+Ustawienia!$B$10*(K347/100)+Ustawienia!$B$11*(1-L347/100))*(Ustawienia!$B$4-Ustawienia!$B$3))))</f>
        <v/>
      </c>
    </row>
    <row r="348" spans="1:13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 t="str">
        <f>IF(OR(I348="",J348="",K348="",L348=""),"",MAX(Ustawienia!$B$3,MIN(Ustawienia!$B$4,Ustawienia!$B$3+(Ustawienia!$B$8*(I348/100)+Ustawienia!$B$9*(J348/100)+Ustawienia!$B$10*(K348/100)+Ustawienia!$B$11*(1-L348/100))*(Ustawienia!$B$4-Ustawienia!$B$3))))</f>
        <v/>
      </c>
    </row>
    <row r="349" spans="1:13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tr">
        <f>IF(OR(I349="",J349="",K349="",L349=""),"",MAX(Ustawienia!$B$3,MIN(Ustawienia!$B$4,Ustawienia!$B$3+(Ustawienia!$B$8*(I349/100)+Ustawienia!$B$9*(J349/100)+Ustawienia!$B$10*(K349/100)+Ustawienia!$B$11*(1-L349/100))*(Ustawienia!$B$4-Ustawienia!$B$3))))</f>
        <v/>
      </c>
    </row>
    <row r="350" spans="1:13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 t="str">
        <f>IF(OR(I350="",J350="",K350="",L350=""),"",MAX(Ustawienia!$B$3,MIN(Ustawienia!$B$4,Ustawienia!$B$3+(Ustawienia!$B$8*(I350/100)+Ustawienia!$B$9*(J350/100)+Ustawienia!$B$10*(K350/100)+Ustawienia!$B$11*(1-L350/100))*(Ustawienia!$B$4-Ustawienia!$B$3))))</f>
        <v/>
      </c>
    </row>
    <row r="351" spans="1:13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tr">
        <f>IF(OR(I351="",J351="",K351="",L351=""),"",MAX(Ustawienia!$B$3,MIN(Ustawienia!$B$4,Ustawienia!$B$3+(Ustawienia!$B$8*(I351/100)+Ustawienia!$B$9*(J351/100)+Ustawienia!$B$10*(K351/100)+Ustawienia!$B$11*(1-L351/100))*(Ustawienia!$B$4-Ustawienia!$B$3))))</f>
        <v/>
      </c>
    </row>
    <row r="352" spans="1:13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 t="str">
        <f>IF(OR(I352="",J352="",K352="",L352=""),"",MAX(Ustawienia!$B$3,MIN(Ustawienia!$B$4,Ustawienia!$B$3+(Ustawienia!$B$8*(I352/100)+Ustawienia!$B$9*(J352/100)+Ustawienia!$B$10*(K352/100)+Ustawienia!$B$11*(1-L352/100))*(Ustawienia!$B$4-Ustawienia!$B$3))))</f>
        <v/>
      </c>
    </row>
    <row r="353" spans="1:13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tr">
        <f>IF(OR(I353="",J353="",K353="",L353=""),"",MAX(Ustawienia!$B$3,MIN(Ustawienia!$B$4,Ustawienia!$B$3+(Ustawienia!$B$8*(I353/100)+Ustawienia!$B$9*(J353/100)+Ustawienia!$B$10*(K353/100)+Ustawienia!$B$11*(1-L353/100))*(Ustawienia!$B$4-Ustawienia!$B$3))))</f>
        <v/>
      </c>
    </row>
    <row r="354" spans="1:13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 t="str">
        <f>IF(OR(I354="",J354="",K354="",L354=""),"",MAX(Ustawienia!$B$3,MIN(Ustawienia!$B$4,Ustawienia!$B$3+(Ustawienia!$B$8*(I354/100)+Ustawienia!$B$9*(J354/100)+Ustawienia!$B$10*(K354/100)+Ustawienia!$B$11*(1-L354/100))*(Ustawienia!$B$4-Ustawienia!$B$3))))</f>
        <v/>
      </c>
    </row>
    <row r="355" spans="1:13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tr">
        <f>IF(OR(I355="",J355="",K355="",L355=""),"",MAX(Ustawienia!$B$3,MIN(Ustawienia!$B$4,Ustawienia!$B$3+(Ustawienia!$B$8*(I355/100)+Ustawienia!$B$9*(J355/100)+Ustawienia!$B$10*(K355/100)+Ustawienia!$B$11*(1-L355/100))*(Ustawienia!$B$4-Ustawienia!$B$3))))</f>
        <v/>
      </c>
    </row>
    <row r="356" spans="1:13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 t="str">
        <f>IF(OR(I356="",J356="",K356="",L356=""),"",MAX(Ustawienia!$B$3,MIN(Ustawienia!$B$4,Ustawienia!$B$3+(Ustawienia!$B$8*(I356/100)+Ustawienia!$B$9*(J356/100)+Ustawienia!$B$10*(K356/100)+Ustawienia!$B$11*(1-L356/100))*(Ustawienia!$B$4-Ustawienia!$B$3))))</f>
        <v/>
      </c>
    </row>
    <row r="357" spans="1:13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tr">
        <f>IF(OR(I357="",J357="",K357="",L357=""),"",MAX(Ustawienia!$B$3,MIN(Ustawienia!$B$4,Ustawienia!$B$3+(Ustawienia!$B$8*(I357/100)+Ustawienia!$B$9*(J357/100)+Ustawienia!$B$10*(K357/100)+Ustawienia!$B$11*(1-L357/100))*(Ustawienia!$B$4-Ustawienia!$B$3))))</f>
        <v/>
      </c>
    </row>
    <row r="358" spans="1:13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 t="str">
        <f>IF(OR(I358="",J358="",K358="",L358=""),"",MAX(Ustawienia!$B$3,MIN(Ustawienia!$B$4,Ustawienia!$B$3+(Ustawienia!$B$8*(I358/100)+Ustawienia!$B$9*(J358/100)+Ustawienia!$B$10*(K358/100)+Ustawienia!$B$11*(1-L358/100))*(Ustawienia!$B$4-Ustawienia!$B$3))))</f>
        <v/>
      </c>
    </row>
    <row r="359" spans="1:13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tr">
        <f>IF(OR(I359="",J359="",K359="",L359=""),"",MAX(Ustawienia!$B$3,MIN(Ustawienia!$B$4,Ustawienia!$B$3+(Ustawienia!$B$8*(I359/100)+Ustawienia!$B$9*(J359/100)+Ustawienia!$B$10*(K359/100)+Ustawienia!$B$11*(1-L359/100))*(Ustawienia!$B$4-Ustawienia!$B$3))))</f>
        <v/>
      </c>
    </row>
    <row r="360" spans="1:13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 t="str">
        <f>IF(OR(I360="",J360="",K360="",L360=""),"",MAX(Ustawienia!$B$3,MIN(Ustawienia!$B$4,Ustawienia!$B$3+(Ustawienia!$B$8*(I360/100)+Ustawienia!$B$9*(J360/100)+Ustawienia!$B$10*(K360/100)+Ustawienia!$B$11*(1-L360/100))*(Ustawienia!$B$4-Ustawienia!$B$3))))</f>
        <v/>
      </c>
    </row>
    <row r="361" spans="1:13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tr">
        <f>IF(OR(I361="",J361="",K361="",L361=""),"",MAX(Ustawienia!$B$3,MIN(Ustawienia!$B$4,Ustawienia!$B$3+(Ustawienia!$B$8*(I361/100)+Ustawienia!$B$9*(J361/100)+Ustawienia!$B$10*(K361/100)+Ustawienia!$B$11*(1-L361/100))*(Ustawienia!$B$4-Ustawienia!$B$3))))</f>
        <v/>
      </c>
    </row>
    <row r="362" spans="1:13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 t="str">
        <f>IF(OR(I362="",J362="",K362="",L362=""),"",MAX(Ustawienia!$B$3,MIN(Ustawienia!$B$4,Ustawienia!$B$3+(Ustawienia!$B$8*(I362/100)+Ustawienia!$B$9*(J362/100)+Ustawienia!$B$10*(K362/100)+Ustawienia!$B$11*(1-L362/100))*(Ustawienia!$B$4-Ustawienia!$B$3))))</f>
        <v/>
      </c>
    </row>
    <row r="363" spans="1:13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tr">
        <f>IF(OR(I363="",J363="",K363="",L363=""),"",MAX(Ustawienia!$B$3,MIN(Ustawienia!$B$4,Ustawienia!$B$3+(Ustawienia!$B$8*(I363/100)+Ustawienia!$B$9*(J363/100)+Ustawienia!$B$10*(K363/100)+Ustawienia!$B$11*(1-L363/100))*(Ustawienia!$B$4-Ustawienia!$B$3))))</f>
        <v/>
      </c>
    </row>
    <row r="364" spans="1:13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 t="str">
        <f>IF(OR(I364="",J364="",K364="",L364=""),"",MAX(Ustawienia!$B$3,MIN(Ustawienia!$B$4,Ustawienia!$B$3+(Ustawienia!$B$8*(I364/100)+Ustawienia!$B$9*(J364/100)+Ustawienia!$B$10*(K364/100)+Ustawienia!$B$11*(1-L364/100))*(Ustawienia!$B$4-Ustawienia!$B$3))))</f>
        <v/>
      </c>
    </row>
    <row r="365" spans="1:13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tr">
        <f>IF(OR(I365="",J365="",K365="",L365=""),"",MAX(Ustawienia!$B$3,MIN(Ustawienia!$B$4,Ustawienia!$B$3+(Ustawienia!$B$8*(I365/100)+Ustawienia!$B$9*(J365/100)+Ustawienia!$B$10*(K365/100)+Ustawienia!$B$11*(1-L365/100))*(Ustawienia!$B$4-Ustawienia!$B$3))))</f>
        <v/>
      </c>
    </row>
    <row r="366" spans="1:13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 t="str">
        <f>IF(OR(I366="",J366="",K366="",L366=""),"",MAX(Ustawienia!$B$3,MIN(Ustawienia!$B$4,Ustawienia!$B$3+(Ustawienia!$B$8*(I366/100)+Ustawienia!$B$9*(J366/100)+Ustawienia!$B$10*(K366/100)+Ustawienia!$B$11*(1-L366/100))*(Ustawienia!$B$4-Ustawienia!$B$3))))</f>
        <v/>
      </c>
    </row>
    <row r="367" spans="1:13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tr">
        <f>IF(OR(I367="",J367="",K367="",L367=""),"",MAX(Ustawienia!$B$3,MIN(Ustawienia!$B$4,Ustawienia!$B$3+(Ustawienia!$B$8*(I367/100)+Ustawienia!$B$9*(J367/100)+Ustawienia!$B$10*(K367/100)+Ustawienia!$B$11*(1-L367/100))*(Ustawienia!$B$4-Ustawienia!$B$3))))</f>
        <v/>
      </c>
    </row>
    <row r="368" spans="1:13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 t="str">
        <f>IF(OR(I368="",J368="",K368="",L368=""),"",MAX(Ustawienia!$B$3,MIN(Ustawienia!$B$4,Ustawienia!$B$3+(Ustawienia!$B$8*(I368/100)+Ustawienia!$B$9*(J368/100)+Ustawienia!$B$10*(K368/100)+Ustawienia!$B$11*(1-L368/100))*(Ustawienia!$B$4-Ustawienia!$B$3))))</f>
        <v/>
      </c>
    </row>
    <row r="369" spans="1:13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tr">
        <f>IF(OR(I369="",J369="",K369="",L369=""),"",MAX(Ustawienia!$B$3,MIN(Ustawienia!$B$4,Ustawienia!$B$3+(Ustawienia!$B$8*(I369/100)+Ustawienia!$B$9*(J369/100)+Ustawienia!$B$10*(K369/100)+Ustawienia!$B$11*(1-L369/100))*(Ustawienia!$B$4-Ustawienia!$B$3))))</f>
        <v/>
      </c>
    </row>
    <row r="370" spans="1:13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 t="str">
        <f>IF(OR(I370="",J370="",K370="",L370=""),"",MAX(Ustawienia!$B$3,MIN(Ustawienia!$B$4,Ustawienia!$B$3+(Ustawienia!$B$8*(I370/100)+Ustawienia!$B$9*(J370/100)+Ustawienia!$B$10*(K370/100)+Ustawienia!$B$11*(1-L370/100))*(Ustawienia!$B$4-Ustawienia!$B$3))))</f>
        <v/>
      </c>
    </row>
    <row r="371" spans="1:13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tr">
        <f>IF(OR(I371="",J371="",K371="",L371=""),"",MAX(Ustawienia!$B$3,MIN(Ustawienia!$B$4,Ustawienia!$B$3+(Ustawienia!$B$8*(I371/100)+Ustawienia!$B$9*(J371/100)+Ustawienia!$B$10*(K371/100)+Ustawienia!$B$11*(1-L371/100))*(Ustawienia!$B$4-Ustawienia!$B$3))))</f>
        <v/>
      </c>
    </row>
    <row r="372" spans="1:13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 t="str">
        <f>IF(OR(I372="",J372="",K372="",L372=""),"",MAX(Ustawienia!$B$3,MIN(Ustawienia!$B$4,Ustawienia!$B$3+(Ustawienia!$B$8*(I372/100)+Ustawienia!$B$9*(J372/100)+Ustawienia!$B$10*(K372/100)+Ustawienia!$B$11*(1-L372/100))*(Ustawienia!$B$4-Ustawienia!$B$3))))</f>
        <v/>
      </c>
    </row>
    <row r="373" spans="1:13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tr">
        <f>IF(OR(I373="",J373="",K373="",L373=""),"",MAX(Ustawienia!$B$3,MIN(Ustawienia!$B$4,Ustawienia!$B$3+(Ustawienia!$B$8*(I373/100)+Ustawienia!$B$9*(J373/100)+Ustawienia!$B$10*(K373/100)+Ustawienia!$B$11*(1-L373/100))*(Ustawienia!$B$4-Ustawienia!$B$3))))</f>
        <v/>
      </c>
    </row>
    <row r="374" spans="1:13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 t="str">
        <f>IF(OR(I374="",J374="",K374="",L374=""),"",MAX(Ustawienia!$B$3,MIN(Ustawienia!$B$4,Ustawienia!$B$3+(Ustawienia!$B$8*(I374/100)+Ustawienia!$B$9*(J374/100)+Ustawienia!$B$10*(K374/100)+Ustawienia!$B$11*(1-L374/100))*(Ustawienia!$B$4-Ustawienia!$B$3))))</f>
        <v/>
      </c>
    </row>
    <row r="375" spans="1:13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tr">
        <f>IF(OR(I375="",J375="",K375="",L375=""),"",MAX(Ustawienia!$B$3,MIN(Ustawienia!$B$4,Ustawienia!$B$3+(Ustawienia!$B$8*(I375/100)+Ustawienia!$B$9*(J375/100)+Ustawienia!$B$10*(K375/100)+Ustawienia!$B$11*(1-L375/100))*(Ustawienia!$B$4-Ustawienia!$B$3))))</f>
        <v/>
      </c>
    </row>
    <row r="376" spans="1:13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 t="str">
        <f>IF(OR(I376="",J376="",K376="",L376=""),"",MAX(Ustawienia!$B$3,MIN(Ustawienia!$B$4,Ustawienia!$B$3+(Ustawienia!$B$8*(I376/100)+Ustawienia!$B$9*(J376/100)+Ustawienia!$B$10*(K376/100)+Ustawienia!$B$11*(1-L376/100))*(Ustawienia!$B$4-Ustawienia!$B$3))))</f>
        <v/>
      </c>
    </row>
    <row r="377" spans="1:13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tr">
        <f>IF(OR(I377="",J377="",K377="",L377=""),"",MAX(Ustawienia!$B$3,MIN(Ustawienia!$B$4,Ustawienia!$B$3+(Ustawienia!$B$8*(I377/100)+Ustawienia!$B$9*(J377/100)+Ustawienia!$B$10*(K377/100)+Ustawienia!$B$11*(1-L377/100))*(Ustawienia!$B$4-Ustawienia!$B$3))))</f>
        <v/>
      </c>
    </row>
    <row r="378" spans="1:13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 t="str">
        <f>IF(OR(I378="",J378="",K378="",L378=""),"",MAX(Ustawienia!$B$3,MIN(Ustawienia!$B$4,Ustawienia!$B$3+(Ustawienia!$B$8*(I378/100)+Ustawienia!$B$9*(J378/100)+Ustawienia!$B$10*(K378/100)+Ustawienia!$B$11*(1-L378/100))*(Ustawienia!$B$4-Ustawienia!$B$3))))</f>
        <v/>
      </c>
    </row>
    <row r="379" spans="1:13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tr">
        <f>IF(OR(I379="",J379="",K379="",L379=""),"",MAX(Ustawienia!$B$3,MIN(Ustawienia!$B$4,Ustawienia!$B$3+(Ustawienia!$B$8*(I379/100)+Ustawienia!$B$9*(J379/100)+Ustawienia!$B$10*(K379/100)+Ustawienia!$B$11*(1-L379/100))*(Ustawienia!$B$4-Ustawienia!$B$3))))</f>
        <v/>
      </c>
    </row>
    <row r="380" spans="1:13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 t="str">
        <f>IF(OR(I380="",J380="",K380="",L380=""),"",MAX(Ustawienia!$B$3,MIN(Ustawienia!$B$4,Ustawienia!$B$3+(Ustawienia!$B$8*(I380/100)+Ustawienia!$B$9*(J380/100)+Ustawienia!$B$10*(K380/100)+Ustawienia!$B$11*(1-L380/100))*(Ustawienia!$B$4-Ustawienia!$B$3))))</f>
        <v/>
      </c>
    </row>
    <row r="381" spans="1:13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tr">
        <f>IF(OR(I381="",J381="",K381="",L381=""),"",MAX(Ustawienia!$B$3,MIN(Ustawienia!$B$4,Ustawienia!$B$3+(Ustawienia!$B$8*(I381/100)+Ustawienia!$B$9*(J381/100)+Ustawienia!$B$10*(K381/100)+Ustawienia!$B$11*(1-L381/100))*(Ustawienia!$B$4-Ustawienia!$B$3))))</f>
        <v/>
      </c>
    </row>
    <row r="382" spans="1:13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 t="str">
        <f>IF(OR(I382="",J382="",K382="",L382=""),"",MAX(Ustawienia!$B$3,MIN(Ustawienia!$B$4,Ustawienia!$B$3+(Ustawienia!$B$8*(I382/100)+Ustawienia!$B$9*(J382/100)+Ustawienia!$B$10*(K382/100)+Ustawienia!$B$11*(1-L382/100))*(Ustawienia!$B$4-Ustawienia!$B$3))))</f>
        <v/>
      </c>
    </row>
    <row r="383" spans="1:13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tr">
        <f>IF(OR(I383="",J383="",K383="",L383=""),"",MAX(Ustawienia!$B$3,MIN(Ustawienia!$B$4,Ustawienia!$B$3+(Ustawienia!$B$8*(I383/100)+Ustawienia!$B$9*(J383/100)+Ustawienia!$B$10*(K383/100)+Ustawienia!$B$11*(1-L383/100))*(Ustawienia!$B$4-Ustawienia!$B$3))))</f>
        <v/>
      </c>
    </row>
    <row r="384" spans="1:13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 t="str">
        <f>IF(OR(I384="",J384="",K384="",L384=""),"",MAX(Ustawienia!$B$3,MIN(Ustawienia!$B$4,Ustawienia!$B$3+(Ustawienia!$B$8*(I384/100)+Ustawienia!$B$9*(J384/100)+Ustawienia!$B$10*(K384/100)+Ustawienia!$B$11*(1-L384/100))*(Ustawienia!$B$4-Ustawienia!$B$3))))</f>
        <v/>
      </c>
    </row>
    <row r="385" spans="1:13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tr">
        <f>IF(OR(I385="",J385="",K385="",L385=""),"",MAX(Ustawienia!$B$3,MIN(Ustawienia!$B$4,Ustawienia!$B$3+(Ustawienia!$B$8*(I385/100)+Ustawienia!$B$9*(J385/100)+Ustawienia!$B$10*(K385/100)+Ustawienia!$B$11*(1-L385/100))*(Ustawienia!$B$4-Ustawienia!$B$3))))</f>
        <v/>
      </c>
    </row>
    <row r="386" spans="1:13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 t="str">
        <f>IF(OR(I386="",J386="",K386="",L386=""),"",MAX(Ustawienia!$B$3,MIN(Ustawienia!$B$4,Ustawienia!$B$3+(Ustawienia!$B$8*(I386/100)+Ustawienia!$B$9*(J386/100)+Ustawienia!$B$10*(K386/100)+Ustawienia!$B$11*(1-L386/100))*(Ustawienia!$B$4-Ustawienia!$B$3))))</f>
        <v/>
      </c>
    </row>
    <row r="387" spans="1:13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tr">
        <f>IF(OR(I387="",J387="",K387="",L387=""),"",MAX(Ustawienia!$B$3,MIN(Ustawienia!$B$4,Ustawienia!$B$3+(Ustawienia!$B$8*(I387/100)+Ustawienia!$B$9*(J387/100)+Ustawienia!$B$10*(K387/100)+Ustawienia!$B$11*(1-L387/100))*(Ustawienia!$B$4-Ustawienia!$B$3))))</f>
        <v/>
      </c>
    </row>
    <row r="388" spans="1:13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 t="str">
        <f>IF(OR(I388="",J388="",K388="",L388=""),"",MAX(Ustawienia!$B$3,MIN(Ustawienia!$B$4,Ustawienia!$B$3+(Ustawienia!$B$8*(I388/100)+Ustawienia!$B$9*(J388/100)+Ustawienia!$B$10*(K388/100)+Ustawienia!$B$11*(1-L388/100))*(Ustawienia!$B$4-Ustawienia!$B$3))))</f>
        <v/>
      </c>
    </row>
    <row r="389" spans="1:13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tr">
        <f>IF(OR(I389="",J389="",K389="",L389=""),"",MAX(Ustawienia!$B$3,MIN(Ustawienia!$B$4,Ustawienia!$B$3+(Ustawienia!$B$8*(I389/100)+Ustawienia!$B$9*(J389/100)+Ustawienia!$B$10*(K389/100)+Ustawienia!$B$11*(1-L389/100))*(Ustawienia!$B$4-Ustawienia!$B$3))))</f>
        <v/>
      </c>
    </row>
    <row r="390" spans="1:13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 t="str">
        <f>IF(OR(I390="",J390="",K390="",L390=""),"",MAX(Ustawienia!$B$3,MIN(Ustawienia!$B$4,Ustawienia!$B$3+(Ustawienia!$B$8*(I390/100)+Ustawienia!$B$9*(J390/100)+Ustawienia!$B$10*(K390/100)+Ustawienia!$B$11*(1-L390/100))*(Ustawienia!$B$4-Ustawienia!$B$3))))</f>
        <v/>
      </c>
    </row>
    <row r="391" spans="1:13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tr">
        <f>IF(OR(I391="",J391="",K391="",L391=""),"",MAX(Ustawienia!$B$3,MIN(Ustawienia!$B$4,Ustawienia!$B$3+(Ustawienia!$B$8*(I391/100)+Ustawienia!$B$9*(J391/100)+Ustawienia!$B$10*(K391/100)+Ustawienia!$B$11*(1-L391/100))*(Ustawienia!$B$4-Ustawienia!$B$3))))</f>
        <v/>
      </c>
    </row>
    <row r="392" spans="1:13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 t="str">
        <f>IF(OR(I392="",J392="",K392="",L392=""),"",MAX(Ustawienia!$B$3,MIN(Ustawienia!$B$4,Ustawienia!$B$3+(Ustawienia!$B$8*(I392/100)+Ustawienia!$B$9*(J392/100)+Ustawienia!$B$10*(K392/100)+Ustawienia!$B$11*(1-L392/100))*(Ustawienia!$B$4-Ustawienia!$B$3))))</f>
        <v/>
      </c>
    </row>
    <row r="393" spans="1:13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tr">
        <f>IF(OR(I393="",J393="",K393="",L393=""),"",MAX(Ustawienia!$B$3,MIN(Ustawienia!$B$4,Ustawienia!$B$3+(Ustawienia!$B$8*(I393/100)+Ustawienia!$B$9*(J393/100)+Ustawienia!$B$10*(K393/100)+Ustawienia!$B$11*(1-L393/100))*(Ustawienia!$B$4-Ustawienia!$B$3))))</f>
        <v/>
      </c>
    </row>
    <row r="394" spans="1:13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 t="str">
        <f>IF(OR(I394="",J394="",K394="",L394=""),"",MAX(Ustawienia!$B$3,MIN(Ustawienia!$B$4,Ustawienia!$B$3+(Ustawienia!$B$8*(I394/100)+Ustawienia!$B$9*(J394/100)+Ustawienia!$B$10*(K394/100)+Ustawienia!$B$11*(1-L394/100))*(Ustawienia!$B$4-Ustawienia!$B$3))))</f>
        <v/>
      </c>
    </row>
    <row r="395" spans="1:13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tr">
        <f>IF(OR(I395="",J395="",K395="",L395=""),"",MAX(Ustawienia!$B$3,MIN(Ustawienia!$B$4,Ustawienia!$B$3+(Ustawienia!$B$8*(I395/100)+Ustawienia!$B$9*(J395/100)+Ustawienia!$B$10*(K395/100)+Ustawienia!$B$11*(1-L395/100))*(Ustawienia!$B$4-Ustawienia!$B$3))))</f>
        <v/>
      </c>
    </row>
    <row r="396" spans="1:13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 t="str">
        <f>IF(OR(I396="",J396="",K396="",L396=""),"",MAX(Ustawienia!$B$3,MIN(Ustawienia!$B$4,Ustawienia!$B$3+(Ustawienia!$B$8*(I396/100)+Ustawienia!$B$9*(J396/100)+Ustawienia!$B$10*(K396/100)+Ustawienia!$B$11*(1-L396/100))*(Ustawienia!$B$4-Ustawienia!$B$3))))</f>
        <v/>
      </c>
    </row>
    <row r="397" spans="1:13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tr">
        <f>IF(OR(I397="",J397="",K397="",L397=""),"",MAX(Ustawienia!$B$3,MIN(Ustawienia!$B$4,Ustawienia!$B$3+(Ustawienia!$B$8*(I397/100)+Ustawienia!$B$9*(J397/100)+Ustawienia!$B$10*(K397/100)+Ustawienia!$B$11*(1-L397/100))*(Ustawienia!$B$4-Ustawienia!$B$3))))</f>
        <v/>
      </c>
    </row>
    <row r="398" spans="1:13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 t="str">
        <f>IF(OR(I398="",J398="",K398="",L398=""),"",MAX(Ustawienia!$B$3,MIN(Ustawienia!$B$4,Ustawienia!$B$3+(Ustawienia!$B$8*(I398/100)+Ustawienia!$B$9*(J398/100)+Ustawienia!$B$10*(K398/100)+Ustawienia!$B$11*(1-L398/100))*(Ustawienia!$B$4-Ustawienia!$B$3))))</f>
        <v/>
      </c>
    </row>
    <row r="399" spans="1:13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tr">
        <f>IF(OR(I399="",J399="",K399="",L399=""),"",MAX(Ustawienia!$B$3,MIN(Ustawienia!$B$4,Ustawienia!$B$3+(Ustawienia!$B$8*(I399/100)+Ustawienia!$B$9*(J399/100)+Ustawienia!$B$10*(K399/100)+Ustawienia!$B$11*(1-L399/100))*(Ustawienia!$B$4-Ustawienia!$B$3))))</f>
        <v/>
      </c>
    </row>
    <row r="400" spans="1:13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 t="str">
        <f>IF(OR(I400="",J400="",K400="",L400=""),"",MAX(Ustawienia!$B$3,MIN(Ustawienia!$B$4,Ustawienia!$B$3+(Ustawienia!$B$8*(I400/100)+Ustawienia!$B$9*(J400/100)+Ustawienia!$B$10*(K400/100)+Ustawienia!$B$11*(1-L400/100))*(Ustawienia!$B$4-Ustawienia!$B$3))))</f>
        <v/>
      </c>
    </row>
    <row r="401" spans="1:13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tr">
        <f>IF(OR(I401="",J401="",K401="",L401=""),"",MAX(Ustawienia!$B$3,MIN(Ustawienia!$B$4,Ustawienia!$B$3+(Ustawienia!$B$8*(I401/100)+Ustawienia!$B$9*(J401/100)+Ustawienia!$B$10*(K401/100)+Ustawienia!$B$11*(1-L401/100))*(Ustawienia!$B$4-Ustawienia!$B$3))))</f>
        <v/>
      </c>
    </row>
    <row r="402" spans="1:13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 t="str">
        <f>IF(OR(I402="",J402="",K402="",L402=""),"",MAX(Ustawienia!$B$3,MIN(Ustawienia!$B$4,Ustawienia!$B$3+(Ustawienia!$B$8*(I402/100)+Ustawienia!$B$9*(J402/100)+Ustawienia!$B$10*(K402/100)+Ustawienia!$B$11*(1-L402/100))*(Ustawienia!$B$4-Ustawienia!$B$3))))</f>
        <v/>
      </c>
    </row>
    <row r="403" spans="1:13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tr">
        <f>IF(OR(I403="",J403="",K403="",L403=""),"",MAX(Ustawienia!$B$3,MIN(Ustawienia!$B$4,Ustawienia!$B$3+(Ustawienia!$B$8*(I403/100)+Ustawienia!$B$9*(J403/100)+Ustawienia!$B$10*(K403/100)+Ustawienia!$B$11*(1-L403/100))*(Ustawienia!$B$4-Ustawienia!$B$3))))</f>
        <v/>
      </c>
    </row>
    <row r="404" spans="1:13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 t="str">
        <f>IF(OR(I404="",J404="",K404="",L404=""),"",MAX(Ustawienia!$B$3,MIN(Ustawienia!$B$4,Ustawienia!$B$3+(Ustawienia!$B$8*(I404/100)+Ustawienia!$B$9*(J404/100)+Ustawienia!$B$10*(K404/100)+Ustawienia!$B$11*(1-L404/100))*(Ustawienia!$B$4-Ustawienia!$B$3))))</f>
        <v/>
      </c>
    </row>
    <row r="405" spans="1:13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tr">
        <f>IF(OR(I405="",J405="",K405="",L405=""),"",MAX(Ustawienia!$B$3,MIN(Ustawienia!$B$4,Ustawienia!$B$3+(Ustawienia!$B$8*(I405/100)+Ustawienia!$B$9*(J405/100)+Ustawienia!$B$10*(K405/100)+Ustawienia!$B$11*(1-L405/100))*(Ustawienia!$B$4-Ustawienia!$B$3))))</f>
        <v/>
      </c>
    </row>
    <row r="406" spans="1:13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 t="str">
        <f>IF(OR(I406="",J406="",K406="",L406=""),"",MAX(Ustawienia!$B$3,MIN(Ustawienia!$B$4,Ustawienia!$B$3+(Ustawienia!$B$8*(I406/100)+Ustawienia!$B$9*(J406/100)+Ustawienia!$B$10*(K406/100)+Ustawienia!$B$11*(1-L406/100))*(Ustawienia!$B$4-Ustawienia!$B$3))))</f>
        <v/>
      </c>
    </row>
    <row r="407" spans="1:13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tr">
        <f>IF(OR(I407="",J407="",K407="",L407=""),"",MAX(Ustawienia!$B$3,MIN(Ustawienia!$B$4,Ustawienia!$B$3+(Ustawienia!$B$8*(I407/100)+Ustawienia!$B$9*(J407/100)+Ustawienia!$B$10*(K407/100)+Ustawienia!$B$11*(1-L407/100))*(Ustawienia!$B$4-Ustawienia!$B$3))))</f>
        <v/>
      </c>
    </row>
    <row r="408" spans="1:13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 t="str">
        <f>IF(OR(I408="",J408="",K408="",L408=""),"",MAX(Ustawienia!$B$3,MIN(Ustawienia!$B$4,Ustawienia!$B$3+(Ustawienia!$B$8*(I408/100)+Ustawienia!$B$9*(J408/100)+Ustawienia!$B$10*(K408/100)+Ustawienia!$B$11*(1-L408/100))*(Ustawienia!$B$4-Ustawienia!$B$3))))</f>
        <v/>
      </c>
    </row>
    <row r="409" spans="1:13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tr">
        <f>IF(OR(I409="",J409="",K409="",L409=""),"",MAX(Ustawienia!$B$3,MIN(Ustawienia!$B$4,Ustawienia!$B$3+(Ustawienia!$B$8*(I409/100)+Ustawienia!$B$9*(J409/100)+Ustawienia!$B$10*(K409/100)+Ustawienia!$B$11*(1-L409/100))*(Ustawienia!$B$4-Ustawienia!$B$3))))</f>
        <v/>
      </c>
    </row>
    <row r="410" spans="1:13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 t="str">
        <f>IF(OR(I410="",J410="",K410="",L410=""),"",MAX(Ustawienia!$B$3,MIN(Ustawienia!$B$4,Ustawienia!$B$3+(Ustawienia!$B$8*(I410/100)+Ustawienia!$B$9*(J410/100)+Ustawienia!$B$10*(K410/100)+Ustawienia!$B$11*(1-L410/100))*(Ustawienia!$B$4-Ustawienia!$B$3))))</f>
        <v/>
      </c>
    </row>
    <row r="411" spans="1:13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tr">
        <f>IF(OR(I411="",J411="",K411="",L411=""),"",MAX(Ustawienia!$B$3,MIN(Ustawienia!$B$4,Ustawienia!$B$3+(Ustawienia!$B$8*(I411/100)+Ustawienia!$B$9*(J411/100)+Ustawienia!$B$10*(K411/100)+Ustawienia!$B$11*(1-L411/100))*(Ustawienia!$B$4-Ustawienia!$B$3))))</f>
        <v/>
      </c>
    </row>
    <row r="412" spans="1:13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 t="str">
        <f>IF(OR(I412="",J412="",K412="",L412=""),"",MAX(Ustawienia!$B$3,MIN(Ustawienia!$B$4,Ustawienia!$B$3+(Ustawienia!$B$8*(I412/100)+Ustawienia!$B$9*(J412/100)+Ustawienia!$B$10*(K412/100)+Ustawienia!$B$11*(1-L412/100))*(Ustawienia!$B$4-Ustawienia!$B$3))))</f>
        <v/>
      </c>
    </row>
    <row r="413" spans="1:13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tr">
        <f>IF(OR(I413="",J413="",K413="",L413=""),"",MAX(Ustawienia!$B$3,MIN(Ustawienia!$B$4,Ustawienia!$B$3+(Ustawienia!$B$8*(I413/100)+Ustawienia!$B$9*(J413/100)+Ustawienia!$B$10*(K413/100)+Ustawienia!$B$11*(1-L413/100))*(Ustawienia!$B$4-Ustawienia!$B$3))))</f>
        <v/>
      </c>
    </row>
    <row r="414" spans="1:13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 t="str">
        <f>IF(OR(I414="",J414="",K414="",L414=""),"",MAX(Ustawienia!$B$3,MIN(Ustawienia!$B$4,Ustawienia!$B$3+(Ustawienia!$B$8*(I414/100)+Ustawienia!$B$9*(J414/100)+Ustawienia!$B$10*(K414/100)+Ustawienia!$B$11*(1-L414/100))*(Ustawienia!$B$4-Ustawienia!$B$3))))</f>
        <v/>
      </c>
    </row>
    <row r="415" spans="1:13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tr">
        <f>IF(OR(I415="",J415="",K415="",L415=""),"",MAX(Ustawienia!$B$3,MIN(Ustawienia!$B$4,Ustawienia!$B$3+(Ustawienia!$B$8*(I415/100)+Ustawienia!$B$9*(J415/100)+Ustawienia!$B$10*(K415/100)+Ustawienia!$B$11*(1-L415/100))*(Ustawienia!$B$4-Ustawienia!$B$3))))</f>
        <v/>
      </c>
    </row>
    <row r="416" spans="1:13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 t="str">
        <f>IF(OR(I416="",J416="",K416="",L416=""),"",MAX(Ustawienia!$B$3,MIN(Ustawienia!$B$4,Ustawienia!$B$3+(Ustawienia!$B$8*(I416/100)+Ustawienia!$B$9*(J416/100)+Ustawienia!$B$10*(K416/100)+Ustawienia!$B$11*(1-L416/100))*(Ustawienia!$B$4-Ustawienia!$B$3))))</f>
        <v/>
      </c>
    </row>
    <row r="417" spans="1:13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tr">
        <f>IF(OR(I417="",J417="",K417="",L417=""),"",MAX(Ustawienia!$B$3,MIN(Ustawienia!$B$4,Ustawienia!$B$3+(Ustawienia!$B$8*(I417/100)+Ustawienia!$B$9*(J417/100)+Ustawienia!$B$10*(K417/100)+Ustawienia!$B$11*(1-L417/100))*(Ustawienia!$B$4-Ustawienia!$B$3))))</f>
        <v/>
      </c>
    </row>
    <row r="418" spans="1:13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 t="str">
        <f>IF(OR(I418="",J418="",K418="",L418=""),"",MAX(Ustawienia!$B$3,MIN(Ustawienia!$B$4,Ustawienia!$B$3+(Ustawienia!$B$8*(I418/100)+Ustawienia!$B$9*(J418/100)+Ustawienia!$B$10*(K418/100)+Ustawienia!$B$11*(1-L418/100))*(Ustawienia!$B$4-Ustawienia!$B$3))))</f>
        <v/>
      </c>
    </row>
    <row r="419" spans="1:13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tr">
        <f>IF(OR(I419="",J419="",K419="",L419=""),"",MAX(Ustawienia!$B$3,MIN(Ustawienia!$B$4,Ustawienia!$B$3+(Ustawienia!$B$8*(I419/100)+Ustawienia!$B$9*(J419/100)+Ustawienia!$B$10*(K419/100)+Ustawienia!$B$11*(1-L419/100))*(Ustawienia!$B$4-Ustawienia!$B$3))))</f>
        <v/>
      </c>
    </row>
    <row r="420" spans="1:13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 t="str">
        <f>IF(OR(I420="",J420="",K420="",L420=""),"",MAX(Ustawienia!$B$3,MIN(Ustawienia!$B$4,Ustawienia!$B$3+(Ustawienia!$B$8*(I420/100)+Ustawienia!$B$9*(J420/100)+Ustawienia!$B$10*(K420/100)+Ustawienia!$B$11*(1-L420/100))*(Ustawienia!$B$4-Ustawienia!$B$3))))</f>
        <v/>
      </c>
    </row>
    <row r="421" spans="1:13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tr">
        <f>IF(OR(I421="",J421="",K421="",L421=""),"",MAX(Ustawienia!$B$3,MIN(Ustawienia!$B$4,Ustawienia!$B$3+(Ustawienia!$B$8*(I421/100)+Ustawienia!$B$9*(J421/100)+Ustawienia!$B$10*(K421/100)+Ustawienia!$B$11*(1-L421/100))*(Ustawienia!$B$4-Ustawienia!$B$3))))</f>
        <v/>
      </c>
    </row>
    <row r="422" spans="1:13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 t="str">
        <f>IF(OR(I422="",J422="",K422="",L422=""),"",MAX(Ustawienia!$B$3,MIN(Ustawienia!$B$4,Ustawienia!$B$3+(Ustawienia!$B$8*(I422/100)+Ustawienia!$B$9*(J422/100)+Ustawienia!$B$10*(K422/100)+Ustawienia!$B$11*(1-L422/100))*(Ustawienia!$B$4-Ustawienia!$B$3))))</f>
        <v/>
      </c>
    </row>
    <row r="423" spans="1:13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tr">
        <f>IF(OR(I423="",J423="",K423="",L423=""),"",MAX(Ustawienia!$B$3,MIN(Ustawienia!$B$4,Ustawienia!$B$3+(Ustawienia!$B$8*(I423/100)+Ustawienia!$B$9*(J423/100)+Ustawienia!$B$10*(K423/100)+Ustawienia!$B$11*(1-L423/100))*(Ustawienia!$B$4-Ustawienia!$B$3))))</f>
        <v/>
      </c>
    </row>
    <row r="424" spans="1:13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 t="str">
        <f>IF(OR(I424="",J424="",K424="",L424=""),"",MAX(Ustawienia!$B$3,MIN(Ustawienia!$B$4,Ustawienia!$B$3+(Ustawienia!$B$8*(I424/100)+Ustawienia!$B$9*(J424/100)+Ustawienia!$B$10*(K424/100)+Ustawienia!$B$11*(1-L424/100))*(Ustawienia!$B$4-Ustawienia!$B$3))))</f>
        <v/>
      </c>
    </row>
    <row r="425" spans="1:13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tr">
        <f>IF(OR(I425="",J425="",K425="",L425=""),"",MAX(Ustawienia!$B$3,MIN(Ustawienia!$B$4,Ustawienia!$B$3+(Ustawienia!$B$8*(I425/100)+Ustawienia!$B$9*(J425/100)+Ustawienia!$B$10*(K425/100)+Ustawienia!$B$11*(1-L425/100))*(Ustawienia!$B$4-Ustawienia!$B$3))))</f>
        <v/>
      </c>
    </row>
    <row r="426" spans="1:13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 t="str">
        <f>IF(OR(I426="",J426="",K426="",L426=""),"",MAX(Ustawienia!$B$3,MIN(Ustawienia!$B$4,Ustawienia!$B$3+(Ustawienia!$B$8*(I426/100)+Ustawienia!$B$9*(J426/100)+Ustawienia!$B$10*(K426/100)+Ustawienia!$B$11*(1-L426/100))*(Ustawienia!$B$4-Ustawienia!$B$3))))</f>
        <v/>
      </c>
    </row>
    <row r="427" spans="1:13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tr">
        <f>IF(OR(I427="",J427="",K427="",L427=""),"",MAX(Ustawienia!$B$3,MIN(Ustawienia!$B$4,Ustawienia!$B$3+(Ustawienia!$B$8*(I427/100)+Ustawienia!$B$9*(J427/100)+Ustawienia!$B$10*(K427/100)+Ustawienia!$B$11*(1-L427/100))*(Ustawienia!$B$4-Ustawienia!$B$3))))</f>
        <v/>
      </c>
    </row>
    <row r="428" spans="1:13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 t="str">
        <f>IF(OR(I428="",J428="",K428="",L428=""),"",MAX(Ustawienia!$B$3,MIN(Ustawienia!$B$4,Ustawienia!$B$3+(Ustawienia!$B$8*(I428/100)+Ustawienia!$B$9*(J428/100)+Ustawienia!$B$10*(K428/100)+Ustawienia!$B$11*(1-L428/100))*(Ustawienia!$B$4-Ustawienia!$B$3))))</f>
        <v/>
      </c>
    </row>
    <row r="429" spans="1:13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tr">
        <f>IF(OR(I429="",J429="",K429="",L429=""),"",MAX(Ustawienia!$B$3,MIN(Ustawienia!$B$4,Ustawienia!$B$3+(Ustawienia!$B$8*(I429/100)+Ustawienia!$B$9*(J429/100)+Ustawienia!$B$10*(K429/100)+Ustawienia!$B$11*(1-L429/100))*(Ustawienia!$B$4-Ustawienia!$B$3))))</f>
        <v/>
      </c>
    </row>
    <row r="430" spans="1:13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 t="str">
        <f>IF(OR(I430="",J430="",K430="",L430=""),"",MAX(Ustawienia!$B$3,MIN(Ustawienia!$B$4,Ustawienia!$B$3+(Ustawienia!$B$8*(I430/100)+Ustawienia!$B$9*(J430/100)+Ustawienia!$B$10*(K430/100)+Ustawienia!$B$11*(1-L430/100))*(Ustawienia!$B$4-Ustawienia!$B$3))))</f>
        <v/>
      </c>
    </row>
    <row r="431" spans="1:13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tr">
        <f>IF(OR(I431="",J431="",K431="",L431=""),"",MAX(Ustawienia!$B$3,MIN(Ustawienia!$B$4,Ustawienia!$B$3+(Ustawienia!$B$8*(I431/100)+Ustawienia!$B$9*(J431/100)+Ustawienia!$B$10*(K431/100)+Ustawienia!$B$11*(1-L431/100))*(Ustawienia!$B$4-Ustawienia!$B$3))))</f>
        <v/>
      </c>
    </row>
    <row r="432" spans="1:13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 t="str">
        <f>IF(OR(I432="",J432="",K432="",L432=""),"",MAX(Ustawienia!$B$3,MIN(Ustawienia!$B$4,Ustawienia!$B$3+(Ustawienia!$B$8*(I432/100)+Ustawienia!$B$9*(J432/100)+Ustawienia!$B$10*(K432/100)+Ustawienia!$B$11*(1-L432/100))*(Ustawienia!$B$4-Ustawienia!$B$3))))</f>
        <v/>
      </c>
    </row>
    <row r="433" spans="1:13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tr">
        <f>IF(OR(I433="",J433="",K433="",L433=""),"",MAX(Ustawienia!$B$3,MIN(Ustawienia!$B$4,Ustawienia!$B$3+(Ustawienia!$B$8*(I433/100)+Ustawienia!$B$9*(J433/100)+Ustawienia!$B$10*(K433/100)+Ustawienia!$B$11*(1-L433/100))*(Ustawienia!$B$4-Ustawienia!$B$3))))</f>
        <v/>
      </c>
    </row>
    <row r="434" spans="1:13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 t="str">
        <f>IF(OR(I434="",J434="",K434="",L434=""),"",MAX(Ustawienia!$B$3,MIN(Ustawienia!$B$4,Ustawienia!$B$3+(Ustawienia!$B$8*(I434/100)+Ustawienia!$B$9*(J434/100)+Ustawienia!$B$10*(K434/100)+Ustawienia!$B$11*(1-L434/100))*(Ustawienia!$B$4-Ustawienia!$B$3))))</f>
        <v/>
      </c>
    </row>
    <row r="435" spans="1:13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tr">
        <f>IF(OR(I435="",J435="",K435="",L435=""),"",MAX(Ustawienia!$B$3,MIN(Ustawienia!$B$4,Ustawienia!$B$3+(Ustawienia!$B$8*(I435/100)+Ustawienia!$B$9*(J435/100)+Ustawienia!$B$10*(K435/100)+Ustawienia!$B$11*(1-L435/100))*(Ustawienia!$B$4-Ustawienia!$B$3))))</f>
        <v/>
      </c>
    </row>
    <row r="436" spans="1:13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 t="str">
        <f>IF(OR(I436="",J436="",K436="",L436=""),"",MAX(Ustawienia!$B$3,MIN(Ustawienia!$B$4,Ustawienia!$B$3+(Ustawienia!$B$8*(I436/100)+Ustawienia!$B$9*(J436/100)+Ustawienia!$B$10*(K436/100)+Ustawienia!$B$11*(1-L436/100))*(Ustawienia!$B$4-Ustawienia!$B$3))))</f>
        <v/>
      </c>
    </row>
    <row r="437" spans="1:13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tr">
        <f>IF(OR(I437="",J437="",K437="",L437=""),"",MAX(Ustawienia!$B$3,MIN(Ustawienia!$B$4,Ustawienia!$B$3+(Ustawienia!$B$8*(I437/100)+Ustawienia!$B$9*(J437/100)+Ustawienia!$B$10*(K437/100)+Ustawienia!$B$11*(1-L437/100))*(Ustawienia!$B$4-Ustawienia!$B$3))))</f>
        <v/>
      </c>
    </row>
    <row r="438" spans="1:13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 t="str">
        <f>IF(OR(I438="",J438="",K438="",L438=""),"",MAX(Ustawienia!$B$3,MIN(Ustawienia!$B$4,Ustawienia!$B$3+(Ustawienia!$B$8*(I438/100)+Ustawienia!$B$9*(J438/100)+Ustawienia!$B$10*(K438/100)+Ustawienia!$B$11*(1-L438/100))*(Ustawienia!$B$4-Ustawienia!$B$3))))</f>
        <v/>
      </c>
    </row>
    <row r="439" spans="1:13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tr">
        <f>IF(OR(I439="",J439="",K439="",L439=""),"",MAX(Ustawienia!$B$3,MIN(Ustawienia!$B$4,Ustawienia!$B$3+(Ustawienia!$B$8*(I439/100)+Ustawienia!$B$9*(J439/100)+Ustawienia!$B$10*(K439/100)+Ustawienia!$B$11*(1-L439/100))*(Ustawienia!$B$4-Ustawienia!$B$3))))</f>
        <v/>
      </c>
    </row>
    <row r="440" spans="1:13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 t="str">
        <f>IF(OR(I440="",J440="",K440="",L440=""),"",MAX(Ustawienia!$B$3,MIN(Ustawienia!$B$4,Ustawienia!$B$3+(Ustawienia!$B$8*(I440/100)+Ustawienia!$B$9*(J440/100)+Ustawienia!$B$10*(K440/100)+Ustawienia!$B$11*(1-L440/100))*(Ustawienia!$B$4-Ustawienia!$B$3))))</f>
        <v/>
      </c>
    </row>
    <row r="441" spans="1:13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tr">
        <f>IF(OR(I441="",J441="",K441="",L441=""),"",MAX(Ustawienia!$B$3,MIN(Ustawienia!$B$4,Ustawienia!$B$3+(Ustawienia!$B$8*(I441/100)+Ustawienia!$B$9*(J441/100)+Ustawienia!$B$10*(K441/100)+Ustawienia!$B$11*(1-L441/100))*(Ustawienia!$B$4-Ustawienia!$B$3))))</f>
        <v/>
      </c>
    </row>
    <row r="442" spans="1:13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 t="str">
        <f>IF(OR(I442="",J442="",K442="",L442=""),"",MAX(Ustawienia!$B$3,MIN(Ustawienia!$B$4,Ustawienia!$B$3+(Ustawienia!$B$8*(I442/100)+Ustawienia!$B$9*(J442/100)+Ustawienia!$B$10*(K442/100)+Ustawienia!$B$11*(1-L442/100))*(Ustawienia!$B$4-Ustawienia!$B$3))))</f>
        <v/>
      </c>
    </row>
    <row r="443" spans="1:13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tr">
        <f>IF(OR(I443="",J443="",K443="",L443=""),"",MAX(Ustawienia!$B$3,MIN(Ustawienia!$B$4,Ustawienia!$B$3+(Ustawienia!$B$8*(I443/100)+Ustawienia!$B$9*(J443/100)+Ustawienia!$B$10*(K443/100)+Ustawienia!$B$11*(1-L443/100))*(Ustawienia!$B$4-Ustawienia!$B$3))))</f>
        <v/>
      </c>
    </row>
    <row r="444" spans="1:13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 t="str">
        <f>IF(OR(I444="",J444="",K444="",L444=""),"",MAX(Ustawienia!$B$3,MIN(Ustawienia!$B$4,Ustawienia!$B$3+(Ustawienia!$B$8*(I444/100)+Ustawienia!$B$9*(J444/100)+Ustawienia!$B$10*(K444/100)+Ustawienia!$B$11*(1-L444/100))*(Ustawienia!$B$4-Ustawienia!$B$3))))</f>
        <v/>
      </c>
    </row>
    <row r="445" spans="1:13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tr">
        <f>IF(OR(I445="",J445="",K445="",L445=""),"",MAX(Ustawienia!$B$3,MIN(Ustawienia!$B$4,Ustawienia!$B$3+(Ustawienia!$B$8*(I445/100)+Ustawienia!$B$9*(J445/100)+Ustawienia!$B$10*(K445/100)+Ustawienia!$B$11*(1-L445/100))*(Ustawienia!$B$4-Ustawienia!$B$3))))</f>
        <v/>
      </c>
    </row>
    <row r="446" spans="1:13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 t="str">
        <f>IF(OR(I446="",J446="",K446="",L446=""),"",MAX(Ustawienia!$B$3,MIN(Ustawienia!$B$4,Ustawienia!$B$3+(Ustawienia!$B$8*(I446/100)+Ustawienia!$B$9*(J446/100)+Ustawienia!$B$10*(K446/100)+Ustawienia!$B$11*(1-L446/100))*(Ustawienia!$B$4-Ustawienia!$B$3))))</f>
        <v/>
      </c>
    </row>
    <row r="447" spans="1:13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tr">
        <f>IF(OR(I447="",J447="",K447="",L447=""),"",MAX(Ustawienia!$B$3,MIN(Ustawienia!$B$4,Ustawienia!$B$3+(Ustawienia!$B$8*(I447/100)+Ustawienia!$B$9*(J447/100)+Ustawienia!$B$10*(K447/100)+Ustawienia!$B$11*(1-L447/100))*(Ustawienia!$B$4-Ustawienia!$B$3))))</f>
        <v/>
      </c>
    </row>
    <row r="448" spans="1:13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 t="str">
        <f>IF(OR(I448="",J448="",K448="",L448=""),"",MAX(Ustawienia!$B$3,MIN(Ustawienia!$B$4,Ustawienia!$B$3+(Ustawienia!$B$8*(I448/100)+Ustawienia!$B$9*(J448/100)+Ustawienia!$B$10*(K448/100)+Ustawienia!$B$11*(1-L448/100))*(Ustawienia!$B$4-Ustawienia!$B$3))))</f>
        <v/>
      </c>
    </row>
    <row r="449" spans="1:13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tr">
        <f>IF(OR(I449="",J449="",K449="",L449=""),"",MAX(Ustawienia!$B$3,MIN(Ustawienia!$B$4,Ustawienia!$B$3+(Ustawienia!$B$8*(I449/100)+Ustawienia!$B$9*(J449/100)+Ustawienia!$B$10*(K449/100)+Ustawienia!$B$11*(1-L449/100))*(Ustawienia!$B$4-Ustawienia!$B$3))))</f>
        <v/>
      </c>
    </row>
    <row r="450" spans="1:13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 t="str">
        <f>IF(OR(I450="",J450="",K450="",L450=""),"",MAX(Ustawienia!$B$3,MIN(Ustawienia!$B$4,Ustawienia!$B$3+(Ustawienia!$B$8*(I450/100)+Ustawienia!$B$9*(J450/100)+Ustawienia!$B$10*(K450/100)+Ustawienia!$B$11*(1-L450/100))*(Ustawienia!$B$4-Ustawienia!$B$3))))</f>
        <v/>
      </c>
    </row>
    <row r="451" spans="1:13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tr">
        <f>IF(OR(I451="",J451="",K451="",L451=""),"",MAX(Ustawienia!$B$3,MIN(Ustawienia!$B$4,Ustawienia!$B$3+(Ustawienia!$B$8*(I451/100)+Ustawienia!$B$9*(J451/100)+Ustawienia!$B$10*(K451/100)+Ustawienia!$B$11*(1-L451/100))*(Ustawienia!$B$4-Ustawienia!$B$3))))</f>
        <v/>
      </c>
    </row>
    <row r="452" spans="1:13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 t="str">
        <f>IF(OR(I452="",J452="",K452="",L452=""),"",MAX(Ustawienia!$B$3,MIN(Ustawienia!$B$4,Ustawienia!$B$3+(Ustawienia!$B$8*(I452/100)+Ustawienia!$B$9*(J452/100)+Ustawienia!$B$10*(K452/100)+Ustawienia!$B$11*(1-L452/100))*(Ustawienia!$B$4-Ustawienia!$B$3))))</f>
        <v/>
      </c>
    </row>
    <row r="453" spans="1:13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tr">
        <f>IF(OR(I453="",J453="",K453="",L453=""),"",MAX(Ustawienia!$B$3,MIN(Ustawienia!$B$4,Ustawienia!$B$3+(Ustawienia!$B$8*(I453/100)+Ustawienia!$B$9*(J453/100)+Ustawienia!$B$10*(K453/100)+Ustawienia!$B$11*(1-L453/100))*(Ustawienia!$B$4-Ustawienia!$B$3))))</f>
        <v/>
      </c>
    </row>
    <row r="454" spans="1:13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 t="str">
        <f>IF(OR(I454="",J454="",K454="",L454=""),"",MAX(Ustawienia!$B$3,MIN(Ustawienia!$B$4,Ustawienia!$B$3+(Ustawienia!$B$8*(I454/100)+Ustawienia!$B$9*(J454/100)+Ustawienia!$B$10*(K454/100)+Ustawienia!$B$11*(1-L454/100))*(Ustawienia!$B$4-Ustawienia!$B$3))))</f>
        <v/>
      </c>
    </row>
    <row r="455" spans="1:13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tr">
        <f>IF(OR(I455="",J455="",K455="",L455=""),"",MAX(Ustawienia!$B$3,MIN(Ustawienia!$B$4,Ustawienia!$B$3+(Ustawienia!$B$8*(I455/100)+Ustawienia!$B$9*(J455/100)+Ustawienia!$B$10*(K455/100)+Ustawienia!$B$11*(1-L455/100))*(Ustawienia!$B$4-Ustawienia!$B$3))))</f>
        <v/>
      </c>
    </row>
    <row r="456" spans="1:13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 t="str">
        <f>IF(OR(I456="",J456="",K456="",L456=""),"",MAX(Ustawienia!$B$3,MIN(Ustawienia!$B$4,Ustawienia!$B$3+(Ustawienia!$B$8*(I456/100)+Ustawienia!$B$9*(J456/100)+Ustawienia!$B$10*(K456/100)+Ustawienia!$B$11*(1-L456/100))*(Ustawienia!$B$4-Ustawienia!$B$3))))</f>
        <v/>
      </c>
    </row>
    <row r="457" spans="1:13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tr">
        <f>IF(OR(I457="",J457="",K457="",L457=""),"",MAX(Ustawienia!$B$3,MIN(Ustawienia!$B$4,Ustawienia!$B$3+(Ustawienia!$B$8*(I457/100)+Ustawienia!$B$9*(J457/100)+Ustawienia!$B$10*(K457/100)+Ustawienia!$B$11*(1-L457/100))*(Ustawienia!$B$4-Ustawienia!$B$3))))</f>
        <v/>
      </c>
    </row>
    <row r="458" spans="1:13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 t="str">
        <f>IF(OR(I458="",J458="",K458="",L458=""),"",MAX(Ustawienia!$B$3,MIN(Ustawienia!$B$4,Ustawienia!$B$3+(Ustawienia!$B$8*(I458/100)+Ustawienia!$B$9*(J458/100)+Ustawienia!$B$10*(K458/100)+Ustawienia!$B$11*(1-L458/100))*(Ustawienia!$B$4-Ustawienia!$B$3))))</f>
        <v/>
      </c>
    </row>
    <row r="459" spans="1:13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tr">
        <f>IF(OR(I459="",J459="",K459="",L459=""),"",MAX(Ustawienia!$B$3,MIN(Ustawienia!$B$4,Ustawienia!$B$3+(Ustawienia!$B$8*(I459/100)+Ustawienia!$B$9*(J459/100)+Ustawienia!$B$10*(K459/100)+Ustawienia!$B$11*(1-L459/100))*(Ustawienia!$B$4-Ustawienia!$B$3))))</f>
        <v/>
      </c>
    </row>
    <row r="460" spans="1:13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 t="str">
        <f>IF(OR(I460="",J460="",K460="",L460=""),"",MAX(Ustawienia!$B$3,MIN(Ustawienia!$B$4,Ustawienia!$B$3+(Ustawienia!$B$8*(I460/100)+Ustawienia!$B$9*(J460/100)+Ustawienia!$B$10*(K460/100)+Ustawienia!$B$11*(1-L460/100))*(Ustawienia!$B$4-Ustawienia!$B$3))))</f>
        <v/>
      </c>
    </row>
    <row r="461" spans="1:13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tr">
        <f>IF(OR(I461="",J461="",K461="",L461=""),"",MAX(Ustawienia!$B$3,MIN(Ustawienia!$B$4,Ustawienia!$B$3+(Ustawienia!$B$8*(I461/100)+Ustawienia!$B$9*(J461/100)+Ustawienia!$B$10*(K461/100)+Ustawienia!$B$11*(1-L461/100))*(Ustawienia!$B$4-Ustawienia!$B$3))))</f>
        <v/>
      </c>
    </row>
    <row r="462" spans="1:13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 t="str">
        <f>IF(OR(I462="",J462="",K462="",L462=""),"",MAX(Ustawienia!$B$3,MIN(Ustawienia!$B$4,Ustawienia!$B$3+(Ustawienia!$B$8*(I462/100)+Ustawienia!$B$9*(J462/100)+Ustawienia!$B$10*(K462/100)+Ustawienia!$B$11*(1-L462/100))*(Ustawienia!$B$4-Ustawienia!$B$3))))</f>
        <v/>
      </c>
    </row>
    <row r="463" spans="1:13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tr">
        <f>IF(OR(I463="",J463="",K463="",L463=""),"",MAX(Ustawienia!$B$3,MIN(Ustawienia!$B$4,Ustawienia!$B$3+(Ustawienia!$B$8*(I463/100)+Ustawienia!$B$9*(J463/100)+Ustawienia!$B$10*(K463/100)+Ustawienia!$B$11*(1-L463/100))*(Ustawienia!$B$4-Ustawienia!$B$3))))</f>
        <v/>
      </c>
    </row>
    <row r="464" spans="1:13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 t="str">
        <f>IF(OR(I464="",J464="",K464="",L464=""),"",MAX(Ustawienia!$B$3,MIN(Ustawienia!$B$4,Ustawienia!$B$3+(Ustawienia!$B$8*(I464/100)+Ustawienia!$B$9*(J464/100)+Ustawienia!$B$10*(K464/100)+Ustawienia!$B$11*(1-L464/100))*(Ustawienia!$B$4-Ustawienia!$B$3))))</f>
        <v/>
      </c>
    </row>
    <row r="465" spans="1:13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tr">
        <f>IF(OR(I465="",J465="",K465="",L465=""),"",MAX(Ustawienia!$B$3,MIN(Ustawienia!$B$4,Ustawienia!$B$3+(Ustawienia!$B$8*(I465/100)+Ustawienia!$B$9*(J465/100)+Ustawienia!$B$10*(K465/100)+Ustawienia!$B$11*(1-L465/100))*(Ustawienia!$B$4-Ustawienia!$B$3))))</f>
        <v/>
      </c>
    </row>
    <row r="466" spans="1:13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 t="str">
        <f>IF(OR(I466="",J466="",K466="",L466=""),"",MAX(Ustawienia!$B$3,MIN(Ustawienia!$B$4,Ustawienia!$B$3+(Ustawienia!$B$8*(I466/100)+Ustawienia!$B$9*(J466/100)+Ustawienia!$B$10*(K466/100)+Ustawienia!$B$11*(1-L466/100))*(Ustawienia!$B$4-Ustawienia!$B$3))))</f>
        <v/>
      </c>
    </row>
    <row r="467" spans="1:13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tr">
        <f>IF(OR(I467="",J467="",K467="",L467=""),"",MAX(Ustawienia!$B$3,MIN(Ustawienia!$B$4,Ustawienia!$B$3+(Ustawienia!$B$8*(I467/100)+Ustawienia!$B$9*(J467/100)+Ustawienia!$B$10*(K467/100)+Ustawienia!$B$11*(1-L467/100))*(Ustawienia!$B$4-Ustawienia!$B$3))))</f>
        <v/>
      </c>
    </row>
    <row r="468" spans="1:13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 t="str">
        <f>IF(OR(I468="",J468="",K468="",L468=""),"",MAX(Ustawienia!$B$3,MIN(Ustawienia!$B$4,Ustawienia!$B$3+(Ustawienia!$B$8*(I468/100)+Ustawienia!$B$9*(J468/100)+Ustawienia!$B$10*(K468/100)+Ustawienia!$B$11*(1-L468/100))*(Ustawienia!$B$4-Ustawienia!$B$3))))</f>
        <v/>
      </c>
    </row>
    <row r="469" spans="1:13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tr">
        <f>IF(OR(I469="",J469="",K469="",L469=""),"",MAX(Ustawienia!$B$3,MIN(Ustawienia!$B$4,Ustawienia!$B$3+(Ustawienia!$B$8*(I469/100)+Ustawienia!$B$9*(J469/100)+Ustawienia!$B$10*(K469/100)+Ustawienia!$B$11*(1-L469/100))*(Ustawienia!$B$4-Ustawienia!$B$3))))</f>
        <v/>
      </c>
    </row>
    <row r="470" spans="1:13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 t="str">
        <f>IF(OR(I470="",J470="",K470="",L470=""),"",MAX(Ustawienia!$B$3,MIN(Ustawienia!$B$4,Ustawienia!$B$3+(Ustawienia!$B$8*(I470/100)+Ustawienia!$B$9*(J470/100)+Ustawienia!$B$10*(K470/100)+Ustawienia!$B$11*(1-L470/100))*(Ustawienia!$B$4-Ustawienia!$B$3))))</f>
        <v/>
      </c>
    </row>
    <row r="471" spans="1:13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tr">
        <f>IF(OR(I471="",J471="",K471="",L471=""),"",MAX(Ustawienia!$B$3,MIN(Ustawienia!$B$4,Ustawienia!$B$3+(Ustawienia!$B$8*(I471/100)+Ustawienia!$B$9*(J471/100)+Ustawienia!$B$10*(K471/100)+Ustawienia!$B$11*(1-L471/100))*(Ustawienia!$B$4-Ustawienia!$B$3))))</f>
        <v/>
      </c>
    </row>
    <row r="472" spans="1:13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 t="str">
        <f>IF(OR(I472="",J472="",K472="",L472=""),"",MAX(Ustawienia!$B$3,MIN(Ustawienia!$B$4,Ustawienia!$B$3+(Ustawienia!$B$8*(I472/100)+Ustawienia!$B$9*(J472/100)+Ustawienia!$B$10*(K472/100)+Ustawienia!$B$11*(1-L472/100))*(Ustawienia!$B$4-Ustawienia!$B$3))))</f>
        <v/>
      </c>
    </row>
    <row r="473" spans="1:13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tr">
        <f>IF(OR(I473="",J473="",K473="",L473=""),"",MAX(Ustawienia!$B$3,MIN(Ustawienia!$B$4,Ustawienia!$B$3+(Ustawienia!$B$8*(I473/100)+Ustawienia!$B$9*(J473/100)+Ustawienia!$B$10*(K473/100)+Ustawienia!$B$11*(1-L473/100))*(Ustawienia!$B$4-Ustawienia!$B$3))))</f>
        <v/>
      </c>
    </row>
    <row r="474" spans="1:13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 t="str">
        <f>IF(OR(I474="",J474="",K474="",L474=""),"",MAX(Ustawienia!$B$3,MIN(Ustawienia!$B$4,Ustawienia!$B$3+(Ustawienia!$B$8*(I474/100)+Ustawienia!$B$9*(J474/100)+Ustawienia!$B$10*(K474/100)+Ustawienia!$B$11*(1-L474/100))*(Ustawienia!$B$4-Ustawienia!$B$3))))</f>
        <v/>
      </c>
    </row>
    <row r="475" spans="1:13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tr">
        <f>IF(OR(I475="",J475="",K475="",L475=""),"",MAX(Ustawienia!$B$3,MIN(Ustawienia!$B$4,Ustawienia!$B$3+(Ustawienia!$B$8*(I475/100)+Ustawienia!$B$9*(J475/100)+Ustawienia!$B$10*(K475/100)+Ustawienia!$B$11*(1-L475/100))*(Ustawienia!$B$4-Ustawienia!$B$3))))</f>
        <v/>
      </c>
    </row>
    <row r="476" spans="1:13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 t="str">
        <f>IF(OR(I476="",J476="",K476="",L476=""),"",MAX(Ustawienia!$B$3,MIN(Ustawienia!$B$4,Ustawienia!$B$3+(Ustawienia!$B$8*(I476/100)+Ustawienia!$B$9*(J476/100)+Ustawienia!$B$10*(K476/100)+Ustawienia!$B$11*(1-L476/100))*(Ustawienia!$B$4-Ustawienia!$B$3))))</f>
        <v/>
      </c>
    </row>
    <row r="477" spans="1:13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tr">
        <f>IF(OR(I477="",J477="",K477="",L477=""),"",MAX(Ustawienia!$B$3,MIN(Ustawienia!$B$4,Ustawienia!$B$3+(Ustawienia!$B$8*(I477/100)+Ustawienia!$B$9*(J477/100)+Ustawienia!$B$10*(K477/100)+Ustawienia!$B$11*(1-L477/100))*(Ustawienia!$B$4-Ustawienia!$B$3))))</f>
        <v/>
      </c>
    </row>
    <row r="478" spans="1:13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 t="str">
        <f>IF(OR(I478="",J478="",K478="",L478=""),"",MAX(Ustawienia!$B$3,MIN(Ustawienia!$B$4,Ustawienia!$B$3+(Ustawienia!$B$8*(I478/100)+Ustawienia!$B$9*(J478/100)+Ustawienia!$B$10*(K478/100)+Ustawienia!$B$11*(1-L478/100))*(Ustawienia!$B$4-Ustawienia!$B$3))))</f>
        <v/>
      </c>
    </row>
    <row r="479" spans="1:13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tr">
        <f>IF(OR(I479="",J479="",K479="",L479=""),"",MAX(Ustawienia!$B$3,MIN(Ustawienia!$B$4,Ustawienia!$B$3+(Ustawienia!$B$8*(I479/100)+Ustawienia!$B$9*(J479/100)+Ustawienia!$B$10*(K479/100)+Ustawienia!$B$11*(1-L479/100))*(Ustawienia!$B$4-Ustawienia!$B$3))))</f>
        <v/>
      </c>
    </row>
    <row r="480" spans="1:13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 t="str">
        <f>IF(OR(I480="",J480="",K480="",L480=""),"",MAX(Ustawienia!$B$3,MIN(Ustawienia!$B$4,Ustawienia!$B$3+(Ustawienia!$B$8*(I480/100)+Ustawienia!$B$9*(J480/100)+Ustawienia!$B$10*(K480/100)+Ustawienia!$B$11*(1-L480/100))*(Ustawienia!$B$4-Ustawienia!$B$3))))</f>
        <v/>
      </c>
    </row>
    <row r="481" spans="1:13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tr">
        <f>IF(OR(I481="",J481="",K481="",L481=""),"",MAX(Ustawienia!$B$3,MIN(Ustawienia!$B$4,Ustawienia!$B$3+(Ustawienia!$B$8*(I481/100)+Ustawienia!$B$9*(J481/100)+Ustawienia!$B$10*(K481/100)+Ustawienia!$B$11*(1-L481/100))*(Ustawienia!$B$4-Ustawienia!$B$3))))</f>
        <v/>
      </c>
    </row>
    <row r="482" spans="1:13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 t="str">
        <f>IF(OR(I482="",J482="",K482="",L482=""),"",MAX(Ustawienia!$B$3,MIN(Ustawienia!$B$4,Ustawienia!$B$3+(Ustawienia!$B$8*(I482/100)+Ustawienia!$B$9*(J482/100)+Ustawienia!$B$10*(K482/100)+Ustawienia!$B$11*(1-L482/100))*(Ustawienia!$B$4-Ustawienia!$B$3))))</f>
        <v/>
      </c>
    </row>
    <row r="483" spans="1:13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tr">
        <f>IF(OR(I483="",J483="",K483="",L483=""),"",MAX(Ustawienia!$B$3,MIN(Ustawienia!$B$4,Ustawienia!$B$3+(Ustawienia!$B$8*(I483/100)+Ustawienia!$B$9*(J483/100)+Ustawienia!$B$10*(K483/100)+Ustawienia!$B$11*(1-L483/100))*(Ustawienia!$B$4-Ustawienia!$B$3))))</f>
        <v/>
      </c>
    </row>
    <row r="484" spans="1:13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 t="str">
        <f>IF(OR(I484="",J484="",K484="",L484=""),"",MAX(Ustawienia!$B$3,MIN(Ustawienia!$B$4,Ustawienia!$B$3+(Ustawienia!$B$8*(I484/100)+Ustawienia!$B$9*(J484/100)+Ustawienia!$B$10*(K484/100)+Ustawienia!$B$11*(1-L484/100))*(Ustawienia!$B$4-Ustawienia!$B$3))))</f>
        <v/>
      </c>
    </row>
    <row r="485" spans="1:13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tr">
        <f>IF(OR(I485="",J485="",K485="",L485=""),"",MAX(Ustawienia!$B$3,MIN(Ustawienia!$B$4,Ustawienia!$B$3+(Ustawienia!$B$8*(I485/100)+Ustawienia!$B$9*(J485/100)+Ustawienia!$B$10*(K485/100)+Ustawienia!$B$11*(1-L485/100))*(Ustawienia!$B$4-Ustawienia!$B$3))))</f>
        <v/>
      </c>
    </row>
    <row r="486" spans="1:13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 t="str">
        <f>IF(OR(I486="",J486="",K486="",L486=""),"",MAX(Ustawienia!$B$3,MIN(Ustawienia!$B$4,Ustawienia!$B$3+(Ustawienia!$B$8*(I486/100)+Ustawienia!$B$9*(J486/100)+Ustawienia!$B$10*(K486/100)+Ustawienia!$B$11*(1-L486/100))*(Ustawienia!$B$4-Ustawienia!$B$3))))</f>
        <v/>
      </c>
    </row>
    <row r="487" spans="1:13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tr">
        <f>IF(OR(I487="",J487="",K487="",L487=""),"",MAX(Ustawienia!$B$3,MIN(Ustawienia!$B$4,Ustawienia!$B$3+(Ustawienia!$B$8*(I487/100)+Ustawienia!$B$9*(J487/100)+Ustawienia!$B$10*(K487/100)+Ustawienia!$B$11*(1-L487/100))*(Ustawienia!$B$4-Ustawienia!$B$3))))</f>
        <v/>
      </c>
    </row>
    <row r="488" spans="1:13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 t="str">
        <f>IF(OR(I488="",J488="",K488="",L488=""),"",MAX(Ustawienia!$B$3,MIN(Ustawienia!$B$4,Ustawienia!$B$3+(Ustawienia!$B$8*(I488/100)+Ustawienia!$B$9*(J488/100)+Ustawienia!$B$10*(K488/100)+Ustawienia!$B$11*(1-L488/100))*(Ustawienia!$B$4-Ustawienia!$B$3))))</f>
        <v/>
      </c>
    </row>
    <row r="489" spans="1:13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tr">
        <f>IF(OR(I489="",J489="",K489="",L489=""),"",MAX(Ustawienia!$B$3,MIN(Ustawienia!$B$4,Ustawienia!$B$3+(Ustawienia!$B$8*(I489/100)+Ustawienia!$B$9*(J489/100)+Ustawienia!$B$10*(K489/100)+Ustawienia!$B$11*(1-L489/100))*(Ustawienia!$B$4-Ustawienia!$B$3))))</f>
        <v/>
      </c>
    </row>
    <row r="490" spans="1:13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 t="str">
        <f>IF(OR(I490="",J490="",K490="",L490=""),"",MAX(Ustawienia!$B$3,MIN(Ustawienia!$B$4,Ustawienia!$B$3+(Ustawienia!$B$8*(I490/100)+Ustawienia!$B$9*(J490/100)+Ustawienia!$B$10*(K490/100)+Ustawienia!$B$11*(1-L490/100))*(Ustawienia!$B$4-Ustawienia!$B$3))))</f>
        <v/>
      </c>
    </row>
    <row r="491" spans="1:13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tr">
        <f>IF(OR(I491="",J491="",K491="",L491=""),"",MAX(Ustawienia!$B$3,MIN(Ustawienia!$B$4,Ustawienia!$B$3+(Ustawienia!$B$8*(I491/100)+Ustawienia!$B$9*(J491/100)+Ustawienia!$B$10*(K491/100)+Ustawienia!$B$11*(1-L491/100))*(Ustawienia!$B$4-Ustawienia!$B$3))))</f>
        <v/>
      </c>
    </row>
    <row r="492" spans="1:13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 t="str">
        <f>IF(OR(I492="",J492="",K492="",L492=""),"",MAX(Ustawienia!$B$3,MIN(Ustawienia!$B$4,Ustawienia!$B$3+(Ustawienia!$B$8*(I492/100)+Ustawienia!$B$9*(J492/100)+Ustawienia!$B$10*(K492/100)+Ustawienia!$B$11*(1-L492/100))*(Ustawienia!$B$4-Ustawienia!$B$3))))</f>
        <v/>
      </c>
    </row>
    <row r="493" spans="1:13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tr">
        <f>IF(OR(I493="",J493="",K493="",L493=""),"",MAX(Ustawienia!$B$3,MIN(Ustawienia!$B$4,Ustawienia!$B$3+(Ustawienia!$B$8*(I493/100)+Ustawienia!$B$9*(J493/100)+Ustawienia!$B$10*(K493/100)+Ustawienia!$B$11*(1-L493/100))*(Ustawienia!$B$4-Ustawienia!$B$3))))</f>
        <v/>
      </c>
    </row>
    <row r="494" spans="1:13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 t="str">
        <f>IF(OR(I494="",J494="",K494="",L494=""),"",MAX(Ustawienia!$B$3,MIN(Ustawienia!$B$4,Ustawienia!$B$3+(Ustawienia!$B$8*(I494/100)+Ustawienia!$B$9*(J494/100)+Ustawienia!$B$10*(K494/100)+Ustawienia!$B$11*(1-L494/100))*(Ustawienia!$B$4-Ustawienia!$B$3))))</f>
        <v/>
      </c>
    </row>
    <row r="495" spans="1:13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tr">
        <f>IF(OR(I495="",J495="",K495="",L495=""),"",MAX(Ustawienia!$B$3,MIN(Ustawienia!$B$4,Ustawienia!$B$3+(Ustawienia!$B$8*(I495/100)+Ustawienia!$B$9*(J495/100)+Ustawienia!$B$10*(K495/100)+Ustawienia!$B$11*(1-L495/100))*(Ustawienia!$B$4-Ustawienia!$B$3))))</f>
        <v/>
      </c>
    </row>
    <row r="496" spans="1:13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 t="str">
        <f>IF(OR(I496="",J496="",K496="",L496=""),"",MAX(Ustawienia!$B$3,MIN(Ustawienia!$B$4,Ustawienia!$B$3+(Ustawienia!$B$8*(I496/100)+Ustawienia!$B$9*(J496/100)+Ustawienia!$B$10*(K496/100)+Ustawienia!$B$11*(1-L496/100))*(Ustawienia!$B$4-Ustawienia!$B$3))))</f>
        <v/>
      </c>
    </row>
    <row r="497" spans="1:13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tr">
        <f>IF(OR(I497="",J497="",K497="",L497=""),"",MAX(Ustawienia!$B$3,MIN(Ustawienia!$B$4,Ustawienia!$B$3+(Ustawienia!$B$8*(I497/100)+Ustawienia!$B$9*(J497/100)+Ustawienia!$B$10*(K497/100)+Ustawienia!$B$11*(1-L497/100))*(Ustawienia!$B$4-Ustawienia!$B$3))))</f>
        <v/>
      </c>
    </row>
    <row r="498" spans="1:13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 t="str">
        <f>IF(OR(I498="",J498="",K498="",L498=""),"",MAX(Ustawienia!$B$3,MIN(Ustawienia!$B$4,Ustawienia!$B$3+(Ustawienia!$B$8*(I498/100)+Ustawienia!$B$9*(J498/100)+Ustawienia!$B$10*(K498/100)+Ustawienia!$B$11*(1-L498/100))*(Ustawienia!$B$4-Ustawienia!$B$3))))</f>
        <v/>
      </c>
    </row>
    <row r="499" spans="1:13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tr">
        <f>IF(OR(I499="",J499="",K499="",L499=""),"",MAX(Ustawienia!$B$3,MIN(Ustawienia!$B$4,Ustawienia!$B$3+(Ustawienia!$B$8*(I499/100)+Ustawienia!$B$9*(J499/100)+Ustawienia!$B$10*(K499/100)+Ustawienia!$B$11*(1-L499/100))*(Ustawienia!$B$4-Ustawienia!$B$3))))</f>
        <v/>
      </c>
    </row>
    <row r="500" spans="1:13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 t="str">
        <f>IF(OR(I500="",J500="",K500="",L500=""),"",MAX(Ustawienia!$B$3,MIN(Ustawienia!$B$4,Ustawienia!$B$3+(Ustawienia!$B$8*(I500/100)+Ustawienia!$B$9*(J500/100)+Ustawienia!$B$10*(K500/100)+Ustawienia!$B$11*(1-L500/100))*(Ustawienia!$B$4-Ustawienia!$B$3))))</f>
        <v/>
      </c>
    </row>
    <row r="501" spans="1:13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tr">
        <f>IF(OR(I501="",J501="",K501="",L501=""),"",MAX(Ustawienia!$B$3,MIN(Ustawienia!$B$4,Ustawienia!$B$3+(Ustawienia!$B$8*(I501/100)+Ustawienia!$B$9*(J501/100)+Ustawienia!$B$10*(K501/100)+Ustawienia!$B$11*(1-L501/100))*(Ustawienia!$B$4-Ustawienia!$B$3))))</f>
        <v/>
      </c>
    </row>
  </sheetData>
  <dataValidations count="1">
    <dataValidation type="whole" allowBlank="1" sqref="I2:L501" xr:uid="{00000000-0002-0000-0300-000000000000}">
      <formula1>0</formula1>
      <formula2>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1"/>
  <sheetViews>
    <sheetView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28" customWidth="1"/>
    <col min="5" max="5" width="18" customWidth="1"/>
    <col min="6" max="6" width="16" customWidth="1"/>
    <col min="7" max="7" width="18.42578125" customWidth="1"/>
    <col min="8" max="8" width="55" customWidth="1"/>
    <col min="9" max="9" width="30" customWidth="1"/>
  </cols>
  <sheetData>
    <row r="1" spans="1:9" ht="30" customHeight="1" x14ac:dyDescent="0.25">
      <c r="A1" s="6" t="s">
        <v>63</v>
      </c>
      <c r="B1" s="6" t="s">
        <v>64</v>
      </c>
      <c r="C1" s="6" t="s">
        <v>0</v>
      </c>
      <c r="D1" s="6" t="s">
        <v>2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</v>
      </c>
    </row>
    <row r="2" spans="1:9" x14ac:dyDescent="0.25">
      <c r="A2" s="4" t="s">
        <v>67</v>
      </c>
      <c r="B2" s="4" t="str">
        <f>IFERROR(_xlfn.XLOOKUP(A2,Pracownicy!$A$2:$A$501,Pracownicy!$B$2:$B$501),"")</f>
        <v>Tymoteusz Mądry</v>
      </c>
      <c r="C2" s="4" t="s">
        <v>13</v>
      </c>
      <c r="D2" s="4" t="str">
        <f>IFERROR(_xlfn.XLOOKUP(C2,Milestones!$A$2:$A$501,Milestones!$C$2:$C$501),"")</f>
        <v>M1: Analiza Polikapilara</v>
      </c>
      <c r="E2" s="4">
        <v>0.5</v>
      </c>
      <c r="F2" s="4">
        <v>4</v>
      </c>
      <c r="G2" s="4">
        <f>IFERROR(_xlfn.XLOOKUP(F2,Ustawienia!$H$4:$H$8,Ustawienia!$I$4:$I$8),"")</f>
        <v>1.1000000000000001</v>
      </c>
      <c r="H2" s="4" t="s">
        <v>100</v>
      </c>
      <c r="I2" s="4"/>
    </row>
    <row r="3" spans="1:9" x14ac:dyDescent="0.25">
      <c r="A3" s="4" t="s">
        <v>70</v>
      </c>
      <c r="B3" s="4" t="str">
        <f>IFERROR(_xlfn.XLOOKUP(A3,Pracownicy!$A$2:$A$501,Pracownicy!$B$2:$B$501),"")</f>
        <v>Albert Giza</v>
      </c>
      <c r="C3" s="4" t="s">
        <v>13</v>
      </c>
      <c r="D3" s="4" t="str">
        <f>IFERROR(_xlfn.XLOOKUP(C3,Milestones!$A$2:$A$501,Milestones!$C$2:$C$501),"")</f>
        <v>M1: Analiza Polikapilara</v>
      </c>
      <c r="E3" s="4">
        <v>0.5</v>
      </c>
      <c r="F3" s="4">
        <v>4</v>
      </c>
      <c r="G3" s="4">
        <f>IFERROR(_xlfn.XLOOKUP(F3,Ustawienia!$H$4:$H$8,Ustawienia!$I$4:$I$8),"")</f>
        <v>1.1000000000000001</v>
      </c>
      <c r="H3" s="4"/>
      <c r="I3" s="4"/>
    </row>
    <row r="4" spans="1:9" x14ac:dyDescent="0.25">
      <c r="A4" s="4" t="s">
        <v>71</v>
      </c>
      <c r="B4" s="4" t="str">
        <f>IFERROR(_xlfn.XLOOKUP(A4,Pracownicy!$A$2:$A$501,Pracownicy!$B$2:$B$501),"")</f>
        <v>Jan Kochanowski</v>
      </c>
      <c r="C4" s="4" t="s">
        <v>13</v>
      </c>
      <c r="D4" s="4" t="str">
        <f>IFERROR(_xlfn.XLOOKUP(C4,Milestones!$A$2:$A$501,Milestones!$C$2:$C$501),"")</f>
        <v>M1: Analiza Polikapilara</v>
      </c>
      <c r="E4" s="4">
        <v>0.3</v>
      </c>
      <c r="F4" s="4">
        <v>3</v>
      </c>
      <c r="G4" s="4">
        <f>IFERROR(_xlfn.XLOOKUP(F4,Ustawienia!$H$4:$H$8,Ustawienia!$I$4:$I$8),"")</f>
        <v>1</v>
      </c>
      <c r="H4" s="4"/>
      <c r="I4" s="4"/>
    </row>
    <row r="5" spans="1:9" x14ac:dyDescent="0.25">
      <c r="A5" s="4"/>
      <c r="B5" s="4" t="str">
        <f ca="1">IFERROR(_xludf.XLOOKUP(A5,Pracownicy!$A$2:$A$501,Pracownicy!$B$2:$B$501),"")</f>
        <v/>
      </c>
      <c r="C5" s="4"/>
      <c r="D5" s="4" t="str">
        <f ca="1">IFERROR(_xludf.XLOOKUP(A5,Milestones!$A$2:$A$501,Milestones!$C$2:$C$501),"")</f>
        <v/>
      </c>
      <c r="E5" s="4"/>
      <c r="F5" s="4"/>
      <c r="G5" s="4" t="str">
        <f ca="1">IFERROR(_xludf.XLOOKUP(F5,Ustawienia!$H$4:$H$8,Ustawienia!$I$4:$I$8),"")</f>
        <v/>
      </c>
      <c r="H5" s="4"/>
      <c r="I5" s="4"/>
    </row>
    <row r="6" spans="1:9" x14ac:dyDescent="0.25">
      <c r="A6" s="4"/>
      <c r="B6" s="4" t="str">
        <f ca="1">IFERROR(_xludf.XLOOKUP(A6,Pracownicy!$A$2:$A$501,Pracownicy!$B$2:$B$501),"")</f>
        <v/>
      </c>
      <c r="C6" s="4"/>
      <c r="D6" s="4" t="str">
        <f ca="1">IFERROR(_xludf.XLOOKUP(A6,Milestones!$A$2:$A$501,Milestones!$C$2:$C$501),"")</f>
        <v/>
      </c>
      <c r="E6" s="4"/>
      <c r="F6" s="4"/>
      <c r="G6" s="4" t="str">
        <f ca="1">IFERROR(_xludf.XLOOKUP(F6,Ustawienia!$H$4:$H$8,Ustawienia!$I$4:$I$8),"")</f>
        <v/>
      </c>
      <c r="H6" s="4"/>
      <c r="I6" s="4"/>
    </row>
    <row r="7" spans="1:9" x14ac:dyDescent="0.25">
      <c r="A7" s="4"/>
      <c r="B7" s="4" t="str">
        <f ca="1">IFERROR(_xludf.XLOOKUP(A7,Pracownicy!$A$2:$A$501,Pracownicy!$B$2:$B$501),"")</f>
        <v/>
      </c>
      <c r="C7" s="4"/>
      <c r="D7" s="4" t="str">
        <f ca="1">IFERROR(_xludf.XLOOKUP(A7,Milestones!$A$2:$A$501,Milestones!$C$2:$C$501),"")</f>
        <v/>
      </c>
      <c r="E7" s="4"/>
      <c r="F7" s="4"/>
      <c r="G7" s="4" t="str">
        <f ca="1">IFERROR(_xludf.XLOOKUP(F7,Ustawienia!$H$4:$H$8,Ustawienia!$I$4:$I$8),"")</f>
        <v/>
      </c>
      <c r="H7" s="4"/>
      <c r="I7" s="4"/>
    </row>
    <row r="8" spans="1:9" x14ac:dyDescent="0.25">
      <c r="A8" s="4"/>
      <c r="B8" s="4" t="str">
        <f ca="1">IFERROR(_xludf.XLOOKUP(A8,Pracownicy!$A$2:$A$501,Pracownicy!$B$2:$B$501),"")</f>
        <v/>
      </c>
      <c r="C8" s="4"/>
      <c r="D8" s="4" t="str">
        <f ca="1">IFERROR(_xludf.XLOOKUP(A8,Milestones!$A$2:$A$501,Milestones!$C$2:$C$501),"")</f>
        <v/>
      </c>
      <c r="E8" s="4"/>
      <c r="F8" s="4"/>
      <c r="G8" s="4" t="str">
        <f ca="1">IFERROR(_xludf.XLOOKUP(F8,Ustawienia!$H$4:$H$8,Ustawienia!$I$4:$I$8),"")</f>
        <v/>
      </c>
      <c r="H8" s="4"/>
      <c r="I8" s="4"/>
    </row>
    <row r="9" spans="1:9" x14ac:dyDescent="0.25">
      <c r="A9" s="4"/>
      <c r="B9" s="4" t="str">
        <f ca="1">IFERROR(_xludf.XLOOKUP(A9,Pracownicy!$A$2:$A$501,Pracownicy!$B$2:$B$501),"")</f>
        <v/>
      </c>
      <c r="C9" s="4"/>
      <c r="D9" s="4" t="str">
        <f ca="1">IFERROR(_xludf.XLOOKUP(A9,Milestones!$A$2:$A$501,Milestones!$C$2:$C$501),"")</f>
        <v/>
      </c>
      <c r="E9" s="4"/>
      <c r="F9" s="4"/>
      <c r="G9" s="4" t="str">
        <f ca="1">IFERROR(_xludf.XLOOKUP(F9,Ustawienia!$H$4:$H$8,Ustawienia!$I$4:$I$8),"")</f>
        <v/>
      </c>
      <c r="H9" s="4"/>
      <c r="I9" s="4"/>
    </row>
    <row r="10" spans="1:9" x14ac:dyDescent="0.25">
      <c r="A10" s="4"/>
      <c r="B10" s="4" t="str">
        <f ca="1">IFERROR(_xludf.XLOOKUP(A10,Pracownicy!$A$2:$A$501,Pracownicy!$B$2:$B$501),"")</f>
        <v/>
      </c>
      <c r="C10" s="4"/>
      <c r="D10" s="4" t="str">
        <f ca="1">IFERROR(_xludf.XLOOKUP(A10,Milestones!$A$2:$A$501,Milestones!$C$2:$C$501),"")</f>
        <v/>
      </c>
      <c r="E10" s="4"/>
      <c r="F10" s="4"/>
      <c r="G10" s="4" t="str">
        <f ca="1">IFERROR(_xludf.XLOOKUP(F10,Ustawienia!$H$4:$H$8,Ustawienia!$I$4:$I$8),"")</f>
        <v/>
      </c>
      <c r="H10" s="4"/>
      <c r="I10" s="4"/>
    </row>
    <row r="11" spans="1:9" x14ac:dyDescent="0.25">
      <c r="A11" s="4"/>
      <c r="B11" s="4" t="str">
        <f ca="1">IFERROR(_xludf.XLOOKUP(A11,Pracownicy!$A$2:$A$501,Pracownicy!$B$2:$B$501),"")</f>
        <v/>
      </c>
      <c r="C11" s="4"/>
      <c r="D11" s="4" t="str">
        <f ca="1">IFERROR(_xludf.XLOOKUP(A11,Milestones!$A$2:$A$501,Milestones!$C$2:$C$501),"")</f>
        <v/>
      </c>
      <c r="E11" s="4"/>
      <c r="F11" s="4"/>
      <c r="G11" s="4" t="str">
        <f ca="1">IFERROR(_xludf.XLOOKUP(F11,Ustawienia!$H$4:$H$8,Ustawienia!$I$4:$I$8),"")</f>
        <v/>
      </c>
      <c r="H11" s="4"/>
      <c r="I11" s="4"/>
    </row>
    <row r="12" spans="1:9" x14ac:dyDescent="0.25">
      <c r="A12" s="4"/>
      <c r="B12" s="4" t="str">
        <f ca="1">IFERROR(_xludf.XLOOKUP(A12,Pracownicy!$A$2:$A$501,Pracownicy!$B$2:$B$501),"")</f>
        <v/>
      </c>
      <c r="C12" s="4"/>
      <c r="D12" s="4" t="str">
        <f ca="1">IFERROR(_xludf.XLOOKUP(A12,Milestones!$A$2:$A$501,Milestones!$C$2:$C$501),"")</f>
        <v/>
      </c>
      <c r="E12" s="4"/>
      <c r="F12" s="4"/>
      <c r="G12" s="4" t="str">
        <f ca="1">IFERROR(_xludf.XLOOKUP(F12,Ustawienia!$H$4:$H$8,Ustawienia!$I$4:$I$8),"")</f>
        <v/>
      </c>
      <c r="H12" s="4"/>
      <c r="I12" s="4"/>
    </row>
    <row r="13" spans="1:9" x14ac:dyDescent="0.25">
      <c r="A13" s="4"/>
      <c r="B13" s="4" t="str">
        <f ca="1">IFERROR(_xludf.XLOOKUP(A13,Pracownicy!$A$2:$A$501,Pracownicy!$B$2:$B$501),"")</f>
        <v/>
      </c>
      <c r="C13" s="4"/>
      <c r="D13" s="4" t="str">
        <f ca="1">IFERROR(_xludf.XLOOKUP(A13,Milestones!$A$2:$A$501,Milestones!$C$2:$C$501),"")</f>
        <v/>
      </c>
      <c r="E13" s="4"/>
      <c r="F13" s="4"/>
      <c r="G13" s="4" t="str">
        <f ca="1">IFERROR(_xludf.XLOOKUP(F13,Ustawienia!$H$4:$H$8,Ustawienia!$I$4:$I$8),"")</f>
        <v/>
      </c>
      <c r="H13" s="4"/>
      <c r="I13" s="4"/>
    </row>
    <row r="14" spans="1:9" x14ac:dyDescent="0.25">
      <c r="A14" s="4"/>
      <c r="B14" s="4" t="str">
        <f ca="1">IFERROR(_xludf.XLOOKUP(A14,Pracownicy!$A$2:$A$501,Pracownicy!$B$2:$B$501),"")</f>
        <v/>
      </c>
      <c r="C14" s="4"/>
      <c r="D14" s="4" t="str">
        <f ca="1">IFERROR(_xludf.XLOOKUP(A14,Milestones!$A$2:$A$501,Milestones!$C$2:$C$501),"")</f>
        <v/>
      </c>
      <c r="E14" s="4"/>
      <c r="F14" s="4"/>
      <c r="G14" s="4" t="str">
        <f ca="1">IFERROR(_xludf.XLOOKUP(F14,Ustawienia!$H$4:$H$8,Ustawienia!$I$4:$I$8),"")</f>
        <v/>
      </c>
      <c r="H14" s="4"/>
      <c r="I14" s="4"/>
    </row>
    <row r="15" spans="1:9" x14ac:dyDescent="0.25">
      <c r="A15" s="4"/>
      <c r="B15" s="4" t="str">
        <f ca="1">IFERROR(_xludf.XLOOKUP(A15,Pracownicy!$A$2:$A$501,Pracownicy!$B$2:$B$501),"")</f>
        <v/>
      </c>
      <c r="C15" s="4"/>
      <c r="D15" s="4" t="str">
        <f ca="1">IFERROR(_xludf.XLOOKUP(A15,Milestones!$A$2:$A$501,Milestones!$C$2:$C$501),"")</f>
        <v/>
      </c>
      <c r="E15" s="4"/>
      <c r="F15" s="4"/>
      <c r="G15" s="4" t="str">
        <f ca="1">IFERROR(_xludf.XLOOKUP(F15,Ustawienia!$H$4:$H$8,Ustawienia!$I$4:$I$8),"")</f>
        <v/>
      </c>
      <c r="H15" s="4"/>
      <c r="I15" s="4"/>
    </row>
    <row r="16" spans="1:9" x14ac:dyDescent="0.25">
      <c r="A16" s="4"/>
      <c r="B16" s="4" t="str">
        <f ca="1">IFERROR(_xludf.XLOOKUP(A16,Pracownicy!$A$2:$A$501,Pracownicy!$B$2:$B$501),"")</f>
        <v/>
      </c>
      <c r="C16" s="4"/>
      <c r="D16" s="4" t="str">
        <f ca="1">IFERROR(_xludf.XLOOKUP(A16,Milestones!$A$2:$A$501,Milestones!$C$2:$C$501),"")</f>
        <v/>
      </c>
      <c r="E16" s="4"/>
      <c r="F16" s="4"/>
      <c r="G16" s="4" t="str">
        <f ca="1">IFERROR(_xludf.XLOOKUP(F16,Ustawienia!$H$4:$H$8,Ustawienia!$I$4:$I$8),"")</f>
        <v/>
      </c>
      <c r="H16" s="4"/>
      <c r="I16" s="4"/>
    </row>
    <row r="17" spans="1:9" x14ac:dyDescent="0.25">
      <c r="A17" s="4"/>
      <c r="B17" s="4" t="str">
        <f ca="1">IFERROR(_xludf.XLOOKUP(A17,Pracownicy!$A$2:$A$501,Pracownicy!$B$2:$B$501),"")</f>
        <v/>
      </c>
      <c r="C17" s="4"/>
      <c r="D17" s="4" t="str">
        <f ca="1">IFERROR(_xludf.XLOOKUP(A17,Milestones!$A$2:$A$501,Milestones!$C$2:$C$501),"")</f>
        <v/>
      </c>
      <c r="E17" s="4"/>
      <c r="F17" s="4"/>
      <c r="G17" s="4" t="str">
        <f ca="1">IFERROR(_xludf.XLOOKUP(F17,Ustawienia!$H$4:$H$8,Ustawienia!$I$4:$I$8),"")</f>
        <v/>
      </c>
      <c r="H17" s="4"/>
      <c r="I17" s="4"/>
    </row>
    <row r="18" spans="1:9" x14ac:dyDescent="0.25">
      <c r="A18" s="4"/>
      <c r="B18" s="4" t="str">
        <f ca="1">IFERROR(_xludf.XLOOKUP(A18,Pracownicy!$A$2:$A$501,Pracownicy!$B$2:$B$501),"")</f>
        <v/>
      </c>
      <c r="C18" s="4"/>
      <c r="D18" s="4" t="str">
        <f ca="1">IFERROR(_xludf.XLOOKUP(A18,Milestones!$A$2:$A$501,Milestones!$C$2:$C$501),"")</f>
        <v/>
      </c>
      <c r="E18" s="4"/>
      <c r="F18" s="4"/>
      <c r="G18" s="4" t="str">
        <f ca="1">IFERROR(_xludf.XLOOKUP(F18,Ustawienia!$H$4:$H$8,Ustawienia!$I$4:$I$8),"")</f>
        <v/>
      </c>
      <c r="H18" s="4"/>
      <c r="I18" s="4"/>
    </row>
    <row r="19" spans="1:9" x14ac:dyDescent="0.25">
      <c r="A19" s="4"/>
      <c r="B19" s="4" t="str">
        <f ca="1">IFERROR(_xludf.XLOOKUP(A19,Pracownicy!$A$2:$A$501,Pracownicy!$B$2:$B$501),"")</f>
        <v/>
      </c>
      <c r="C19" s="4"/>
      <c r="D19" s="4" t="str">
        <f ca="1">IFERROR(_xludf.XLOOKUP(A19,Milestones!$A$2:$A$501,Milestones!$C$2:$C$501),"")</f>
        <v/>
      </c>
      <c r="E19" s="4"/>
      <c r="F19" s="4"/>
      <c r="G19" s="4" t="str">
        <f ca="1">IFERROR(_xludf.XLOOKUP(F19,Ustawienia!$H$4:$H$8,Ustawienia!$I$4:$I$8),"")</f>
        <v/>
      </c>
      <c r="H19" s="4"/>
      <c r="I19" s="4"/>
    </row>
    <row r="20" spans="1:9" x14ac:dyDescent="0.25">
      <c r="A20" s="4"/>
      <c r="B20" s="4" t="str">
        <f ca="1">IFERROR(_xludf.XLOOKUP(A20,Pracownicy!$A$2:$A$501,Pracownicy!$B$2:$B$501),"")</f>
        <v/>
      </c>
      <c r="C20" s="4"/>
      <c r="D20" s="4" t="str">
        <f ca="1">IFERROR(_xludf.XLOOKUP(A20,Milestones!$A$2:$A$501,Milestones!$C$2:$C$501),"")</f>
        <v/>
      </c>
      <c r="E20" s="4"/>
      <c r="F20" s="4"/>
      <c r="G20" s="4" t="str">
        <f ca="1">IFERROR(_xludf.XLOOKUP(F20,Ustawienia!$H$4:$H$8,Ustawienia!$I$4:$I$8),"")</f>
        <v/>
      </c>
      <c r="H20" s="4"/>
      <c r="I20" s="4"/>
    </row>
    <row r="21" spans="1:9" x14ac:dyDescent="0.25">
      <c r="A21" s="4"/>
      <c r="B21" s="4" t="str">
        <f ca="1">IFERROR(_xludf.XLOOKUP(A21,Pracownicy!$A$2:$A$501,Pracownicy!$B$2:$B$501),"")</f>
        <v/>
      </c>
      <c r="C21" s="4"/>
      <c r="D21" s="4" t="str">
        <f ca="1">IFERROR(_xludf.XLOOKUP(A21,Milestones!$A$2:$A$501,Milestones!$C$2:$C$501),"")</f>
        <v/>
      </c>
      <c r="E21" s="4"/>
      <c r="F21" s="4"/>
      <c r="G21" s="4" t="str">
        <f ca="1">IFERROR(_xludf.XLOOKUP(F21,Ustawienia!$H$4:$H$8,Ustawienia!$I$4:$I$8),"")</f>
        <v/>
      </c>
      <c r="H21" s="4"/>
      <c r="I21" s="4"/>
    </row>
    <row r="22" spans="1:9" x14ac:dyDescent="0.25">
      <c r="A22" s="4"/>
      <c r="B22" s="4" t="str">
        <f ca="1">IFERROR(_xludf.XLOOKUP(A22,Pracownicy!$A$2:$A$501,Pracownicy!$B$2:$B$501),"")</f>
        <v/>
      </c>
      <c r="C22" s="4"/>
      <c r="D22" s="4" t="str">
        <f ca="1">IFERROR(_xludf.XLOOKUP(A22,Milestones!$A$2:$A$501,Milestones!$C$2:$C$501),"")</f>
        <v/>
      </c>
      <c r="E22" s="4"/>
      <c r="F22" s="4"/>
      <c r="G22" s="4" t="str">
        <f ca="1">IFERROR(_xludf.XLOOKUP(F22,Ustawienia!$H$4:$H$8,Ustawienia!$I$4:$I$8),"")</f>
        <v/>
      </c>
      <c r="H22" s="4"/>
      <c r="I22" s="4"/>
    </row>
    <row r="23" spans="1:9" x14ac:dyDescent="0.25">
      <c r="A23" s="4"/>
      <c r="B23" s="4" t="str">
        <f ca="1">IFERROR(_xludf.XLOOKUP(A23,Pracownicy!$A$2:$A$501,Pracownicy!$B$2:$B$501),"")</f>
        <v/>
      </c>
      <c r="C23" s="4"/>
      <c r="D23" s="4" t="str">
        <f ca="1">IFERROR(_xludf.XLOOKUP(A23,Milestones!$A$2:$A$501,Milestones!$C$2:$C$501),"")</f>
        <v/>
      </c>
      <c r="E23" s="4"/>
      <c r="F23" s="4"/>
      <c r="G23" s="4" t="str">
        <f ca="1">IFERROR(_xludf.XLOOKUP(F23,Ustawienia!$H$4:$H$8,Ustawienia!$I$4:$I$8),"")</f>
        <v/>
      </c>
      <c r="H23" s="4"/>
      <c r="I23" s="4"/>
    </row>
    <row r="24" spans="1:9" x14ac:dyDescent="0.25">
      <c r="A24" s="4"/>
      <c r="B24" s="4" t="str">
        <f ca="1">IFERROR(_xludf.XLOOKUP(A24,Pracownicy!$A$2:$A$501,Pracownicy!$B$2:$B$501),"")</f>
        <v/>
      </c>
      <c r="C24" s="4"/>
      <c r="D24" s="4" t="str">
        <f ca="1">IFERROR(_xludf.XLOOKUP(A24,Milestones!$A$2:$A$501,Milestones!$C$2:$C$501),"")</f>
        <v/>
      </c>
      <c r="E24" s="4"/>
      <c r="F24" s="4"/>
      <c r="G24" s="4" t="str">
        <f ca="1">IFERROR(_xludf.XLOOKUP(F24,Ustawienia!$H$4:$H$8,Ustawienia!$I$4:$I$8),"")</f>
        <v/>
      </c>
      <c r="H24" s="4"/>
      <c r="I24" s="4"/>
    </row>
    <row r="25" spans="1:9" x14ac:dyDescent="0.25">
      <c r="A25" s="4"/>
      <c r="B25" s="4" t="str">
        <f ca="1">IFERROR(_xludf.XLOOKUP(A25,Pracownicy!$A$2:$A$501,Pracownicy!$B$2:$B$501),"")</f>
        <v/>
      </c>
      <c r="C25" s="4"/>
      <c r="D25" s="4" t="str">
        <f ca="1">IFERROR(_xludf.XLOOKUP(A25,Milestones!$A$2:$A$501,Milestones!$C$2:$C$501),"")</f>
        <v/>
      </c>
      <c r="E25" s="4"/>
      <c r="F25" s="4"/>
      <c r="G25" s="4" t="str">
        <f ca="1">IFERROR(_xludf.XLOOKUP(F25,Ustawienia!$H$4:$H$8,Ustawienia!$I$4:$I$8),"")</f>
        <v/>
      </c>
      <c r="H25" s="4"/>
      <c r="I25" s="4"/>
    </row>
    <row r="26" spans="1:9" x14ac:dyDescent="0.25">
      <c r="A26" s="4"/>
      <c r="B26" s="4" t="str">
        <f ca="1">IFERROR(_xludf.XLOOKUP(A26,Pracownicy!$A$2:$A$501,Pracownicy!$B$2:$B$501),"")</f>
        <v/>
      </c>
      <c r="C26" s="4"/>
      <c r="D26" s="4" t="str">
        <f ca="1">IFERROR(_xludf.XLOOKUP(A26,Milestones!$A$2:$A$501,Milestones!$C$2:$C$501),"")</f>
        <v/>
      </c>
      <c r="E26" s="4"/>
      <c r="F26" s="4"/>
      <c r="G26" s="4" t="str">
        <f ca="1">IFERROR(_xludf.XLOOKUP(F26,Ustawienia!$H$4:$H$8,Ustawienia!$I$4:$I$8),"")</f>
        <v/>
      </c>
      <c r="H26" s="4"/>
      <c r="I26" s="4"/>
    </row>
    <row r="27" spans="1:9" x14ac:dyDescent="0.25">
      <c r="A27" s="4"/>
      <c r="B27" s="4" t="str">
        <f ca="1">IFERROR(_xludf.XLOOKUP(A27,Pracownicy!$A$2:$A$501,Pracownicy!$B$2:$B$501),"")</f>
        <v/>
      </c>
      <c r="C27" s="4"/>
      <c r="D27" s="4" t="str">
        <f ca="1">IFERROR(_xludf.XLOOKUP(A27,Milestones!$A$2:$A$501,Milestones!$C$2:$C$501),"")</f>
        <v/>
      </c>
      <c r="E27" s="4"/>
      <c r="F27" s="4"/>
      <c r="G27" s="4" t="str">
        <f ca="1">IFERROR(_xludf.XLOOKUP(F27,Ustawienia!$H$4:$H$8,Ustawienia!$I$4:$I$8),"")</f>
        <v/>
      </c>
      <c r="H27" s="4"/>
      <c r="I27" s="4"/>
    </row>
    <row r="28" spans="1:9" x14ac:dyDescent="0.25">
      <c r="A28" s="4"/>
      <c r="B28" s="4" t="str">
        <f ca="1">IFERROR(_xludf.XLOOKUP(A28,Pracownicy!$A$2:$A$501,Pracownicy!$B$2:$B$501),"")</f>
        <v/>
      </c>
      <c r="C28" s="4"/>
      <c r="D28" s="4" t="str">
        <f ca="1">IFERROR(_xludf.XLOOKUP(A28,Milestones!$A$2:$A$501,Milestones!$C$2:$C$501),"")</f>
        <v/>
      </c>
      <c r="E28" s="4"/>
      <c r="F28" s="4"/>
      <c r="G28" s="4" t="str">
        <f ca="1">IFERROR(_xludf.XLOOKUP(F28,Ustawienia!$H$4:$H$8,Ustawienia!$I$4:$I$8),"")</f>
        <v/>
      </c>
      <c r="H28" s="4"/>
      <c r="I28" s="4"/>
    </row>
    <row r="29" spans="1:9" x14ac:dyDescent="0.25">
      <c r="A29" s="4"/>
      <c r="B29" s="4" t="str">
        <f ca="1">IFERROR(_xludf.XLOOKUP(A29,Pracownicy!$A$2:$A$501,Pracownicy!$B$2:$B$501),"")</f>
        <v/>
      </c>
      <c r="C29" s="4"/>
      <c r="D29" s="4" t="str">
        <f ca="1">IFERROR(_xludf.XLOOKUP(A29,Milestones!$A$2:$A$501,Milestones!$C$2:$C$501),"")</f>
        <v/>
      </c>
      <c r="E29" s="4"/>
      <c r="F29" s="4"/>
      <c r="G29" s="4" t="str">
        <f ca="1">IFERROR(_xludf.XLOOKUP(F29,Ustawienia!$H$4:$H$8,Ustawienia!$I$4:$I$8),"")</f>
        <v/>
      </c>
      <c r="H29" s="4"/>
      <c r="I29" s="4"/>
    </row>
    <row r="30" spans="1:9" x14ac:dyDescent="0.25">
      <c r="A30" s="4"/>
      <c r="B30" s="4" t="str">
        <f ca="1">IFERROR(_xludf.XLOOKUP(A30,Pracownicy!$A$2:$A$501,Pracownicy!$B$2:$B$501),"")</f>
        <v/>
      </c>
      <c r="C30" s="4"/>
      <c r="D30" s="4" t="str">
        <f ca="1">IFERROR(_xludf.XLOOKUP(A30,Milestones!$A$2:$A$501,Milestones!$C$2:$C$501),"")</f>
        <v/>
      </c>
      <c r="E30" s="4"/>
      <c r="F30" s="4"/>
      <c r="G30" s="4" t="str">
        <f ca="1">IFERROR(_xludf.XLOOKUP(F30,Ustawienia!$H$4:$H$8,Ustawienia!$I$4:$I$8),"")</f>
        <v/>
      </c>
      <c r="H30" s="4"/>
      <c r="I30" s="4"/>
    </row>
    <row r="31" spans="1:9" x14ac:dyDescent="0.25">
      <c r="A31" s="4"/>
      <c r="B31" s="4" t="str">
        <f ca="1">IFERROR(_xludf.XLOOKUP(A31,Pracownicy!$A$2:$A$501,Pracownicy!$B$2:$B$501),"")</f>
        <v/>
      </c>
      <c r="C31" s="4"/>
      <c r="D31" s="4" t="str">
        <f ca="1">IFERROR(_xludf.XLOOKUP(A31,Milestones!$A$2:$A$501,Milestones!$C$2:$C$501),"")</f>
        <v/>
      </c>
      <c r="E31" s="4"/>
      <c r="F31" s="4"/>
      <c r="G31" s="4" t="str">
        <f ca="1">IFERROR(_xludf.XLOOKUP(F31,Ustawienia!$H$4:$H$8,Ustawienia!$I$4:$I$8),"")</f>
        <v/>
      </c>
      <c r="H31" s="4"/>
      <c r="I31" s="4"/>
    </row>
    <row r="32" spans="1:9" x14ac:dyDescent="0.25">
      <c r="A32" s="4"/>
      <c r="B32" s="4" t="str">
        <f ca="1">IFERROR(_xludf.XLOOKUP(A32,Pracownicy!$A$2:$A$501,Pracownicy!$B$2:$B$501),"")</f>
        <v/>
      </c>
      <c r="C32" s="4"/>
      <c r="D32" s="4" t="str">
        <f ca="1">IFERROR(_xludf.XLOOKUP(A32,Milestones!$A$2:$A$501,Milestones!$C$2:$C$501),"")</f>
        <v/>
      </c>
      <c r="E32" s="4"/>
      <c r="F32" s="4"/>
      <c r="G32" s="4" t="str">
        <f ca="1">IFERROR(_xludf.XLOOKUP(F32,Ustawienia!$H$4:$H$8,Ustawienia!$I$4:$I$8),"")</f>
        <v/>
      </c>
      <c r="H32" s="4"/>
      <c r="I32" s="4"/>
    </row>
    <row r="33" spans="1:9" x14ac:dyDescent="0.25">
      <c r="A33" s="4"/>
      <c r="B33" s="4" t="str">
        <f ca="1">IFERROR(_xludf.XLOOKUP(A33,Pracownicy!$A$2:$A$501,Pracownicy!$B$2:$B$501),"")</f>
        <v/>
      </c>
      <c r="C33" s="4"/>
      <c r="D33" s="4" t="str">
        <f ca="1">IFERROR(_xludf.XLOOKUP(A33,Milestones!$A$2:$A$501,Milestones!$C$2:$C$501),"")</f>
        <v/>
      </c>
      <c r="E33" s="4"/>
      <c r="F33" s="4"/>
      <c r="G33" s="4" t="str">
        <f ca="1">IFERROR(_xludf.XLOOKUP(F33,Ustawienia!$H$4:$H$8,Ustawienia!$I$4:$I$8),"")</f>
        <v/>
      </c>
      <c r="H33" s="4"/>
      <c r="I33" s="4"/>
    </row>
    <row r="34" spans="1:9" x14ac:dyDescent="0.25">
      <c r="A34" s="4"/>
      <c r="B34" s="4" t="str">
        <f ca="1">IFERROR(_xludf.XLOOKUP(A34,Pracownicy!$A$2:$A$501,Pracownicy!$B$2:$B$501),"")</f>
        <v/>
      </c>
      <c r="C34" s="4"/>
      <c r="D34" s="4" t="str">
        <f ca="1">IFERROR(_xludf.XLOOKUP(A34,Milestones!$A$2:$A$501,Milestones!$C$2:$C$501),"")</f>
        <v/>
      </c>
      <c r="E34" s="4"/>
      <c r="F34" s="4"/>
      <c r="G34" s="4" t="str">
        <f ca="1">IFERROR(_xludf.XLOOKUP(F34,Ustawienia!$H$4:$H$8,Ustawienia!$I$4:$I$8),"")</f>
        <v/>
      </c>
      <c r="H34" s="4"/>
      <c r="I34" s="4"/>
    </row>
    <row r="35" spans="1:9" x14ac:dyDescent="0.25">
      <c r="A35" s="4"/>
      <c r="B35" s="4" t="str">
        <f ca="1">IFERROR(_xludf.XLOOKUP(A35,Pracownicy!$A$2:$A$501,Pracownicy!$B$2:$B$501),"")</f>
        <v/>
      </c>
      <c r="C35" s="4"/>
      <c r="D35" s="4" t="str">
        <f ca="1">IFERROR(_xludf.XLOOKUP(A35,Milestones!$A$2:$A$501,Milestones!$C$2:$C$501),"")</f>
        <v/>
      </c>
      <c r="E35" s="4"/>
      <c r="F35" s="4"/>
      <c r="G35" s="4" t="str">
        <f ca="1">IFERROR(_xludf.XLOOKUP(F35,Ustawienia!$H$4:$H$8,Ustawienia!$I$4:$I$8),"")</f>
        <v/>
      </c>
      <c r="H35" s="4"/>
      <c r="I35" s="4"/>
    </row>
    <row r="36" spans="1:9" x14ac:dyDescent="0.25">
      <c r="A36" s="4"/>
      <c r="B36" s="4" t="str">
        <f ca="1">IFERROR(_xludf.XLOOKUP(A36,Pracownicy!$A$2:$A$501,Pracownicy!$B$2:$B$501),"")</f>
        <v/>
      </c>
      <c r="C36" s="4"/>
      <c r="D36" s="4" t="str">
        <f ca="1">IFERROR(_xludf.XLOOKUP(A36,Milestones!$A$2:$A$501,Milestones!$C$2:$C$501),"")</f>
        <v/>
      </c>
      <c r="E36" s="4"/>
      <c r="F36" s="4"/>
      <c r="G36" s="4" t="str">
        <f ca="1">IFERROR(_xludf.XLOOKUP(F36,Ustawienia!$H$4:$H$8,Ustawienia!$I$4:$I$8),"")</f>
        <v/>
      </c>
      <c r="H36" s="4"/>
      <c r="I36" s="4"/>
    </row>
    <row r="37" spans="1:9" x14ac:dyDescent="0.25">
      <c r="A37" s="4"/>
      <c r="B37" s="4" t="str">
        <f ca="1">IFERROR(_xludf.XLOOKUP(A37,Pracownicy!$A$2:$A$501,Pracownicy!$B$2:$B$501),"")</f>
        <v/>
      </c>
      <c r="C37" s="4"/>
      <c r="D37" s="4" t="str">
        <f ca="1">IFERROR(_xludf.XLOOKUP(A37,Milestones!$A$2:$A$501,Milestones!$C$2:$C$501),"")</f>
        <v/>
      </c>
      <c r="E37" s="4"/>
      <c r="F37" s="4"/>
      <c r="G37" s="4" t="str">
        <f ca="1">IFERROR(_xludf.XLOOKUP(F37,Ustawienia!$H$4:$H$8,Ustawienia!$I$4:$I$8),"")</f>
        <v/>
      </c>
      <c r="H37" s="4"/>
      <c r="I37" s="4"/>
    </row>
    <row r="38" spans="1:9" x14ac:dyDescent="0.25">
      <c r="A38" s="4"/>
      <c r="B38" s="4" t="str">
        <f ca="1">IFERROR(_xludf.XLOOKUP(A38,Pracownicy!$A$2:$A$501,Pracownicy!$B$2:$B$501),"")</f>
        <v/>
      </c>
      <c r="C38" s="4"/>
      <c r="D38" s="4" t="str">
        <f ca="1">IFERROR(_xludf.XLOOKUP(A38,Milestones!$A$2:$A$501,Milestones!$C$2:$C$501),"")</f>
        <v/>
      </c>
      <c r="E38" s="4"/>
      <c r="F38" s="4"/>
      <c r="G38" s="4" t="str">
        <f ca="1">IFERROR(_xludf.XLOOKUP(F38,Ustawienia!$H$4:$H$8,Ustawienia!$I$4:$I$8),"")</f>
        <v/>
      </c>
      <c r="H38" s="4"/>
      <c r="I38" s="4"/>
    </row>
    <row r="39" spans="1:9" x14ac:dyDescent="0.25">
      <c r="A39" s="4"/>
      <c r="B39" s="4" t="str">
        <f ca="1">IFERROR(_xludf.XLOOKUP(A39,Pracownicy!$A$2:$A$501,Pracownicy!$B$2:$B$501),"")</f>
        <v/>
      </c>
      <c r="C39" s="4"/>
      <c r="D39" s="4" t="str">
        <f ca="1">IFERROR(_xludf.XLOOKUP(A39,Milestones!$A$2:$A$501,Milestones!$C$2:$C$501),"")</f>
        <v/>
      </c>
      <c r="E39" s="4"/>
      <c r="F39" s="4"/>
      <c r="G39" s="4" t="str">
        <f ca="1">IFERROR(_xludf.XLOOKUP(F39,Ustawienia!$H$4:$H$8,Ustawienia!$I$4:$I$8),"")</f>
        <v/>
      </c>
      <c r="H39" s="4"/>
      <c r="I39" s="4"/>
    </row>
    <row r="40" spans="1:9" x14ac:dyDescent="0.25">
      <c r="A40" s="4"/>
      <c r="B40" s="4" t="str">
        <f ca="1">IFERROR(_xludf.XLOOKUP(A40,Pracownicy!$A$2:$A$501,Pracownicy!$B$2:$B$501),"")</f>
        <v/>
      </c>
      <c r="C40" s="4"/>
      <c r="D40" s="4" t="str">
        <f ca="1">IFERROR(_xludf.XLOOKUP(A40,Milestones!$A$2:$A$501,Milestones!$C$2:$C$501),"")</f>
        <v/>
      </c>
      <c r="E40" s="4"/>
      <c r="F40" s="4"/>
      <c r="G40" s="4" t="str">
        <f ca="1">IFERROR(_xludf.XLOOKUP(F40,Ustawienia!$H$4:$H$8,Ustawienia!$I$4:$I$8),"")</f>
        <v/>
      </c>
      <c r="H40" s="4"/>
      <c r="I40" s="4"/>
    </row>
    <row r="41" spans="1:9" x14ac:dyDescent="0.25">
      <c r="A41" s="4"/>
      <c r="B41" s="4" t="str">
        <f ca="1">IFERROR(_xludf.XLOOKUP(A41,Pracownicy!$A$2:$A$501,Pracownicy!$B$2:$B$501),"")</f>
        <v/>
      </c>
      <c r="C41" s="4"/>
      <c r="D41" s="4" t="str">
        <f ca="1">IFERROR(_xludf.XLOOKUP(A41,Milestones!$A$2:$A$501,Milestones!$C$2:$C$501),"")</f>
        <v/>
      </c>
      <c r="E41" s="4"/>
      <c r="F41" s="4"/>
      <c r="G41" s="4" t="str">
        <f ca="1">IFERROR(_xludf.XLOOKUP(F41,Ustawienia!$H$4:$H$8,Ustawienia!$I$4:$I$8),"")</f>
        <v/>
      </c>
      <c r="H41" s="4"/>
      <c r="I41" s="4"/>
    </row>
    <row r="42" spans="1:9" x14ac:dyDescent="0.25">
      <c r="A42" s="4"/>
      <c r="B42" s="4" t="str">
        <f ca="1">IFERROR(_xludf.XLOOKUP(A42,Pracownicy!$A$2:$A$501,Pracownicy!$B$2:$B$501),"")</f>
        <v/>
      </c>
      <c r="C42" s="4"/>
      <c r="D42" s="4" t="str">
        <f ca="1">IFERROR(_xludf.XLOOKUP(A42,Milestones!$A$2:$A$501,Milestones!$C$2:$C$501),"")</f>
        <v/>
      </c>
      <c r="E42" s="4"/>
      <c r="F42" s="4"/>
      <c r="G42" s="4" t="str">
        <f ca="1">IFERROR(_xludf.XLOOKUP(F42,Ustawienia!$H$4:$H$8,Ustawienia!$I$4:$I$8),"")</f>
        <v/>
      </c>
      <c r="H42" s="4"/>
      <c r="I42" s="4"/>
    </row>
    <row r="43" spans="1:9" x14ac:dyDescent="0.25">
      <c r="A43" s="4"/>
      <c r="B43" s="4" t="str">
        <f ca="1">IFERROR(_xludf.XLOOKUP(A43,Pracownicy!$A$2:$A$501,Pracownicy!$B$2:$B$501),"")</f>
        <v/>
      </c>
      <c r="C43" s="4"/>
      <c r="D43" s="4" t="str">
        <f ca="1">IFERROR(_xludf.XLOOKUP(A43,Milestones!$A$2:$A$501,Milestones!$C$2:$C$501),"")</f>
        <v/>
      </c>
      <c r="E43" s="4"/>
      <c r="F43" s="4"/>
      <c r="G43" s="4" t="str">
        <f ca="1">IFERROR(_xludf.XLOOKUP(F43,Ustawienia!$H$4:$H$8,Ustawienia!$I$4:$I$8),"")</f>
        <v/>
      </c>
      <c r="H43" s="4"/>
      <c r="I43" s="4"/>
    </row>
    <row r="44" spans="1:9" x14ac:dyDescent="0.25">
      <c r="A44" s="4"/>
      <c r="B44" s="4" t="str">
        <f ca="1">IFERROR(_xludf.XLOOKUP(A44,Pracownicy!$A$2:$A$501,Pracownicy!$B$2:$B$501),"")</f>
        <v/>
      </c>
      <c r="C44" s="4"/>
      <c r="D44" s="4" t="str">
        <f ca="1">IFERROR(_xludf.XLOOKUP(A44,Milestones!$A$2:$A$501,Milestones!$C$2:$C$501),"")</f>
        <v/>
      </c>
      <c r="E44" s="4"/>
      <c r="F44" s="4"/>
      <c r="G44" s="4" t="str">
        <f ca="1">IFERROR(_xludf.XLOOKUP(F44,Ustawienia!$H$4:$H$8,Ustawienia!$I$4:$I$8),"")</f>
        <v/>
      </c>
      <c r="H44" s="4"/>
      <c r="I44" s="4"/>
    </row>
    <row r="45" spans="1:9" x14ac:dyDescent="0.25">
      <c r="A45" s="4"/>
      <c r="B45" s="4" t="str">
        <f ca="1">IFERROR(_xludf.XLOOKUP(A45,Pracownicy!$A$2:$A$501,Pracownicy!$B$2:$B$501),"")</f>
        <v/>
      </c>
      <c r="C45" s="4"/>
      <c r="D45" s="4" t="str">
        <f ca="1">IFERROR(_xludf.XLOOKUP(A45,Milestones!$A$2:$A$501,Milestones!$C$2:$C$501),"")</f>
        <v/>
      </c>
      <c r="E45" s="4"/>
      <c r="F45" s="4"/>
      <c r="G45" s="4" t="str">
        <f ca="1">IFERROR(_xludf.XLOOKUP(F45,Ustawienia!$H$4:$H$8,Ustawienia!$I$4:$I$8),"")</f>
        <v/>
      </c>
      <c r="H45" s="4"/>
      <c r="I45" s="4"/>
    </row>
    <row r="46" spans="1:9" x14ac:dyDescent="0.25">
      <c r="A46" s="4"/>
      <c r="B46" s="4" t="str">
        <f ca="1">IFERROR(_xludf.XLOOKUP(A46,Pracownicy!$A$2:$A$501,Pracownicy!$B$2:$B$501),"")</f>
        <v/>
      </c>
      <c r="C46" s="4"/>
      <c r="D46" s="4" t="str">
        <f ca="1">IFERROR(_xludf.XLOOKUP(A46,Milestones!$A$2:$A$501,Milestones!$C$2:$C$501),"")</f>
        <v/>
      </c>
      <c r="E46" s="4"/>
      <c r="F46" s="4"/>
      <c r="G46" s="4" t="str">
        <f ca="1">IFERROR(_xludf.XLOOKUP(F46,Ustawienia!$H$4:$H$8,Ustawienia!$I$4:$I$8),"")</f>
        <v/>
      </c>
      <c r="H46" s="4"/>
      <c r="I46" s="4"/>
    </row>
    <row r="47" spans="1:9" x14ac:dyDescent="0.25">
      <c r="A47" s="4"/>
      <c r="B47" s="4" t="str">
        <f ca="1">IFERROR(_xludf.XLOOKUP(A47,Pracownicy!$A$2:$A$501,Pracownicy!$B$2:$B$501),"")</f>
        <v/>
      </c>
      <c r="C47" s="4"/>
      <c r="D47" s="4" t="str">
        <f ca="1">IFERROR(_xludf.XLOOKUP(A47,Milestones!$A$2:$A$501,Milestones!$C$2:$C$501),"")</f>
        <v/>
      </c>
      <c r="E47" s="4"/>
      <c r="F47" s="4"/>
      <c r="G47" s="4" t="str">
        <f ca="1">IFERROR(_xludf.XLOOKUP(F47,Ustawienia!$H$4:$H$8,Ustawienia!$I$4:$I$8),"")</f>
        <v/>
      </c>
      <c r="H47" s="4"/>
      <c r="I47" s="4"/>
    </row>
    <row r="48" spans="1:9" x14ac:dyDescent="0.25">
      <c r="A48" s="4"/>
      <c r="B48" s="4" t="str">
        <f ca="1">IFERROR(_xludf.XLOOKUP(A48,Pracownicy!$A$2:$A$501,Pracownicy!$B$2:$B$501),"")</f>
        <v/>
      </c>
      <c r="C48" s="4"/>
      <c r="D48" s="4" t="str">
        <f ca="1">IFERROR(_xludf.XLOOKUP(A48,Milestones!$A$2:$A$501,Milestones!$C$2:$C$501),"")</f>
        <v/>
      </c>
      <c r="E48" s="4"/>
      <c r="F48" s="4"/>
      <c r="G48" s="4" t="str">
        <f ca="1">IFERROR(_xludf.XLOOKUP(F48,Ustawienia!$H$4:$H$8,Ustawienia!$I$4:$I$8),"")</f>
        <v/>
      </c>
      <c r="H48" s="4"/>
      <c r="I48" s="4"/>
    </row>
    <row r="49" spans="1:9" x14ac:dyDescent="0.25">
      <c r="A49" s="4"/>
      <c r="B49" s="4" t="str">
        <f ca="1">IFERROR(_xludf.XLOOKUP(A49,Pracownicy!$A$2:$A$501,Pracownicy!$B$2:$B$501),"")</f>
        <v/>
      </c>
      <c r="C49" s="4"/>
      <c r="D49" s="4" t="str">
        <f ca="1">IFERROR(_xludf.XLOOKUP(A49,Milestones!$A$2:$A$501,Milestones!$C$2:$C$501),"")</f>
        <v/>
      </c>
      <c r="E49" s="4"/>
      <c r="F49" s="4"/>
      <c r="G49" s="4" t="str">
        <f ca="1">IFERROR(_xludf.XLOOKUP(F49,Ustawienia!$H$4:$H$8,Ustawienia!$I$4:$I$8),"")</f>
        <v/>
      </c>
      <c r="H49" s="4"/>
      <c r="I49" s="4"/>
    </row>
    <row r="50" spans="1:9" x14ac:dyDescent="0.25">
      <c r="A50" s="4"/>
      <c r="B50" s="4" t="str">
        <f ca="1">IFERROR(_xludf.XLOOKUP(A50,Pracownicy!$A$2:$A$501,Pracownicy!$B$2:$B$501),"")</f>
        <v/>
      </c>
      <c r="C50" s="4"/>
      <c r="D50" s="4" t="str">
        <f ca="1">IFERROR(_xludf.XLOOKUP(A50,Milestones!$A$2:$A$501,Milestones!$C$2:$C$501),"")</f>
        <v/>
      </c>
      <c r="E50" s="4"/>
      <c r="F50" s="4"/>
      <c r="G50" s="4" t="str">
        <f ca="1">IFERROR(_xludf.XLOOKUP(F50,Ustawienia!$H$4:$H$8,Ustawienia!$I$4:$I$8),"")</f>
        <v/>
      </c>
      <c r="H50" s="4"/>
      <c r="I50" s="4"/>
    </row>
    <row r="51" spans="1:9" x14ac:dyDescent="0.25">
      <c r="A51" s="4"/>
      <c r="B51" s="4" t="str">
        <f ca="1">IFERROR(_xludf.XLOOKUP(A51,Pracownicy!$A$2:$A$501,Pracownicy!$B$2:$B$501),"")</f>
        <v/>
      </c>
      <c r="C51" s="4"/>
      <c r="D51" s="4" t="str">
        <f ca="1">IFERROR(_xludf.XLOOKUP(A51,Milestones!$A$2:$A$501,Milestones!$C$2:$C$501),"")</f>
        <v/>
      </c>
      <c r="E51" s="4"/>
      <c r="F51" s="4"/>
      <c r="G51" s="4" t="str">
        <f ca="1">IFERROR(_xludf.XLOOKUP(F51,Ustawienia!$H$4:$H$8,Ustawienia!$I$4:$I$8),"")</f>
        <v/>
      </c>
      <c r="H51" s="4"/>
      <c r="I51" s="4"/>
    </row>
    <row r="52" spans="1:9" x14ac:dyDescent="0.25">
      <c r="A52" s="4"/>
      <c r="B52" s="4" t="str">
        <f ca="1">IFERROR(_xludf.XLOOKUP(A52,Pracownicy!$A$2:$A$501,Pracownicy!$B$2:$B$501),"")</f>
        <v/>
      </c>
      <c r="C52" s="4"/>
      <c r="D52" s="4" t="str">
        <f ca="1">IFERROR(_xludf.XLOOKUP(A52,Milestones!$A$2:$A$501,Milestones!$C$2:$C$501),"")</f>
        <v/>
      </c>
      <c r="E52" s="4"/>
      <c r="F52" s="4"/>
      <c r="G52" s="4" t="str">
        <f ca="1">IFERROR(_xludf.XLOOKUP(F52,Ustawienia!$H$4:$H$8,Ustawienia!$I$4:$I$8),"")</f>
        <v/>
      </c>
      <c r="H52" s="4"/>
      <c r="I52" s="4"/>
    </row>
    <row r="53" spans="1:9" x14ac:dyDescent="0.25">
      <c r="A53" s="4"/>
      <c r="B53" s="4" t="str">
        <f ca="1">IFERROR(_xludf.XLOOKUP(A53,Pracownicy!$A$2:$A$501,Pracownicy!$B$2:$B$501),"")</f>
        <v/>
      </c>
      <c r="C53" s="4"/>
      <c r="D53" s="4" t="str">
        <f ca="1">IFERROR(_xludf.XLOOKUP(A53,Milestones!$A$2:$A$501,Milestones!$C$2:$C$501),"")</f>
        <v/>
      </c>
      <c r="E53" s="4"/>
      <c r="F53" s="4"/>
      <c r="G53" s="4" t="str">
        <f ca="1">IFERROR(_xludf.XLOOKUP(F53,Ustawienia!$H$4:$H$8,Ustawienia!$I$4:$I$8),"")</f>
        <v/>
      </c>
      <c r="H53" s="4"/>
      <c r="I53" s="4"/>
    </row>
    <row r="54" spans="1:9" x14ac:dyDescent="0.25">
      <c r="A54" s="4"/>
      <c r="B54" s="4" t="str">
        <f ca="1">IFERROR(_xludf.XLOOKUP(A54,Pracownicy!$A$2:$A$501,Pracownicy!$B$2:$B$501),"")</f>
        <v/>
      </c>
      <c r="C54" s="4"/>
      <c r="D54" s="4" t="str">
        <f ca="1">IFERROR(_xludf.XLOOKUP(A54,Milestones!$A$2:$A$501,Milestones!$C$2:$C$501),"")</f>
        <v/>
      </c>
      <c r="E54" s="4"/>
      <c r="F54" s="4"/>
      <c r="G54" s="4" t="str">
        <f ca="1">IFERROR(_xludf.XLOOKUP(F54,Ustawienia!$H$4:$H$8,Ustawienia!$I$4:$I$8),"")</f>
        <v/>
      </c>
      <c r="H54" s="4"/>
      <c r="I54" s="4"/>
    </row>
    <row r="55" spans="1:9" x14ac:dyDescent="0.25">
      <c r="A55" s="4"/>
      <c r="B55" s="4" t="str">
        <f ca="1">IFERROR(_xludf.XLOOKUP(A55,Pracownicy!$A$2:$A$501,Pracownicy!$B$2:$B$501),"")</f>
        <v/>
      </c>
      <c r="C55" s="4"/>
      <c r="D55" s="4" t="str">
        <f ca="1">IFERROR(_xludf.XLOOKUP(A55,Milestones!$A$2:$A$501,Milestones!$C$2:$C$501),"")</f>
        <v/>
      </c>
      <c r="E55" s="4"/>
      <c r="F55" s="4"/>
      <c r="G55" s="4" t="str">
        <f ca="1">IFERROR(_xludf.XLOOKUP(F55,Ustawienia!$H$4:$H$8,Ustawienia!$I$4:$I$8),"")</f>
        <v/>
      </c>
      <c r="H55" s="4"/>
      <c r="I55" s="4"/>
    </row>
    <row r="56" spans="1:9" x14ac:dyDescent="0.25">
      <c r="A56" s="4"/>
      <c r="B56" s="4" t="str">
        <f ca="1">IFERROR(_xludf.XLOOKUP(A56,Pracownicy!$A$2:$A$501,Pracownicy!$B$2:$B$501),"")</f>
        <v/>
      </c>
      <c r="C56" s="4"/>
      <c r="D56" s="4" t="str">
        <f ca="1">IFERROR(_xludf.XLOOKUP(A56,Milestones!$A$2:$A$501,Milestones!$C$2:$C$501),"")</f>
        <v/>
      </c>
      <c r="E56" s="4"/>
      <c r="F56" s="4"/>
      <c r="G56" s="4" t="str">
        <f ca="1">IFERROR(_xludf.XLOOKUP(F56,Ustawienia!$H$4:$H$8,Ustawienia!$I$4:$I$8),"")</f>
        <v/>
      </c>
      <c r="H56" s="4"/>
      <c r="I56" s="4"/>
    </row>
    <row r="57" spans="1:9" x14ac:dyDescent="0.25">
      <c r="A57" s="4"/>
      <c r="B57" s="4" t="str">
        <f ca="1">IFERROR(_xludf.XLOOKUP(A57,Pracownicy!$A$2:$A$501,Pracownicy!$B$2:$B$501),"")</f>
        <v/>
      </c>
      <c r="C57" s="4"/>
      <c r="D57" s="4" t="str">
        <f ca="1">IFERROR(_xludf.XLOOKUP(A57,Milestones!$A$2:$A$501,Milestones!$C$2:$C$501),"")</f>
        <v/>
      </c>
      <c r="E57" s="4"/>
      <c r="F57" s="4"/>
      <c r="G57" s="4" t="str">
        <f ca="1">IFERROR(_xludf.XLOOKUP(F57,Ustawienia!$H$4:$H$8,Ustawienia!$I$4:$I$8),"")</f>
        <v/>
      </c>
      <c r="H57" s="4"/>
      <c r="I57" s="4"/>
    </row>
    <row r="58" spans="1:9" x14ac:dyDescent="0.25">
      <c r="A58" s="4"/>
      <c r="B58" s="4" t="str">
        <f ca="1">IFERROR(_xludf.XLOOKUP(A58,Pracownicy!$A$2:$A$501,Pracownicy!$B$2:$B$501),"")</f>
        <v/>
      </c>
      <c r="C58" s="4"/>
      <c r="D58" s="4" t="str">
        <f ca="1">IFERROR(_xludf.XLOOKUP(A58,Milestones!$A$2:$A$501,Milestones!$C$2:$C$501),"")</f>
        <v/>
      </c>
      <c r="E58" s="4"/>
      <c r="F58" s="4"/>
      <c r="G58" s="4" t="str">
        <f ca="1">IFERROR(_xludf.XLOOKUP(F58,Ustawienia!$H$4:$H$8,Ustawienia!$I$4:$I$8),"")</f>
        <v/>
      </c>
      <c r="H58" s="4"/>
      <c r="I58" s="4"/>
    </row>
    <row r="59" spans="1:9" x14ac:dyDescent="0.25">
      <c r="A59" s="4"/>
      <c r="B59" s="4" t="str">
        <f ca="1">IFERROR(_xludf.XLOOKUP(A59,Pracownicy!$A$2:$A$501,Pracownicy!$B$2:$B$501),"")</f>
        <v/>
      </c>
      <c r="C59" s="4"/>
      <c r="D59" s="4" t="str">
        <f ca="1">IFERROR(_xludf.XLOOKUP(A59,Milestones!$A$2:$A$501,Milestones!$C$2:$C$501),"")</f>
        <v/>
      </c>
      <c r="E59" s="4"/>
      <c r="F59" s="4"/>
      <c r="G59" s="4" t="str">
        <f ca="1">IFERROR(_xludf.XLOOKUP(F59,Ustawienia!$H$4:$H$8,Ustawienia!$I$4:$I$8),"")</f>
        <v/>
      </c>
      <c r="H59" s="4"/>
      <c r="I59" s="4"/>
    </row>
    <row r="60" spans="1:9" x14ac:dyDescent="0.25">
      <c r="A60" s="4"/>
      <c r="B60" s="4" t="str">
        <f ca="1">IFERROR(_xludf.XLOOKUP(A60,Pracownicy!$A$2:$A$501,Pracownicy!$B$2:$B$501),"")</f>
        <v/>
      </c>
      <c r="C60" s="4"/>
      <c r="D60" s="4" t="str">
        <f ca="1">IFERROR(_xludf.XLOOKUP(A60,Milestones!$A$2:$A$501,Milestones!$C$2:$C$501),"")</f>
        <v/>
      </c>
      <c r="E60" s="4"/>
      <c r="F60" s="4"/>
      <c r="G60" s="4" t="str">
        <f ca="1">IFERROR(_xludf.XLOOKUP(F60,Ustawienia!$H$4:$H$8,Ustawienia!$I$4:$I$8),"")</f>
        <v/>
      </c>
      <c r="H60" s="4"/>
      <c r="I60" s="4"/>
    </row>
    <row r="61" spans="1:9" x14ac:dyDescent="0.25">
      <c r="A61" s="4"/>
      <c r="B61" s="4" t="str">
        <f ca="1">IFERROR(_xludf.XLOOKUP(A61,Pracownicy!$A$2:$A$501,Pracownicy!$B$2:$B$501),"")</f>
        <v/>
      </c>
      <c r="C61" s="4"/>
      <c r="D61" s="4" t="str">
        <f ca="1">IFERROR(_xludf.XLOOKUP(A61,Milestones!$A$2:$A$501,Milestones!$C$2:$C$501),"")</f>
        <v/>
      </c>
      <c r="E61" s="4"/>
      <c r="F61" s="4"/>
      <c r="G61" s="4" t="str">
        <f ca="1">IFERROR(_xludf.XLOOKUP(F61,Ustawienia!$H$4:$H$8,Ustawienia!$I$4:$I$8),"")</f>
        <v/>
      </c>
      <c r="H61" s="4"/>
      <c r="I61" s="4"/>
    </row>
    <row r="62" spans="1:9" x14ac:dyDescent="0.25">
      <c r="A62" s="4"/>
      <c r="B62" s="4" t="str">
        <f ca="1">IFERROR(_xludf.XLOOKUP(A62,Pracownicy!$A$2:$A$501,Pracownicy!$B$2:$B$501),"")</f>
        <v/>
      </c>
      <c r="C62" s="4"/>
      <c r="D62" s="4" t="str">
        <f ca="1">IFERROR(_xludf.XLOOKUP(A62,Milestones!$A$2:$A$501,Milestones!$C$2:$C$501),"")</f>
        <v/>
      </c>
      <c r="E62" s="4"/>
      <c r="F62" s="4"/>
      <c r="G62" s="4" t="str">
        <f ca="1">IFERROR(_xludf.XLOOKUP(F62,Ustawienia!$H$4:$H$8,Ustawienia!$I$4:$I$8),"")</f>
        <v/>
      </c>
      <c r="H62" s="4"/>
      <c r="I62" s="4"/>
    </row>
    <row r="63" spans="1:9" x14ac:dyDescent="0.25">
      <c r="A63" s="4"/>
      <c r="B63" s="4" t="str">
        <f ca="1">IFERROR(_xludf.XLOOKUP(A63,Pracownicy!$A$2:$A$501,Pracownicy!$B$2:$B$501),"")</f>
        <v/>
      </c>
      <c r="C63" s="4"/>
      <c r="D63" s="4" t="str">
        <f ca="1">IFERROR(_xludf.XLOOKUP(A63,Milestones!$A$2:$A$501,Milestones!$C$2:$C$501),"")</f>
        <v/>
      </c>
      <c r="E63" s="4"/>
      <c r="F63" s="4"/>
      <c r="G63" s="4" t="str">
        <f ca="1">IFERROR(_xludf.XLOOKUP(F63,Ustawienia!$H$4:$H$8,Ustawienia!$I$4:$I$8),"")</f>
        <v/>
      </c>
      <c r="H63" s="4"/>
      <c r="I63" s="4"/>
    </row>
    <row r="64" spans="1:9" x14ac:dyDescent="0.25">
      <c r="A64" s="4"/>
      <c r="B64" s="4" t="str">
        <f ca="1">IFERROR(_xludf.XLOOKUP(A64,Pracownicy!$A$2:$A$501,Pracownicy!$B$2:$B$501),"")</f>
        <v/>
      </c>
      <c r="C64" s="4"/>
      <c r="D64" s="4" t="str">
        <f ca="1">IFERROR(_xludf.XLOOKUP(A64,Milestones!$A$2:$A$501,Milestones!$C$2:$C$501),"")</f>
        <v/>
      </c>
      <c r="E64" s="4"/>
      <c r="F64" s="4"/>
      <c r="G64" s="4" t="str">
        <f ca="1">IFERROR(_xludf.XLOOKUP(F64,Ustawienia!$H$4:$H$8,Ustawienia!$I$4:$I$8),"")</f>
        <v/>
      </c>
      <c r="H64" s="4"/>
      <c r="I64" s="4"/>
    </row>
    <row r="65" spans="1:9" x14ac:dyDescent="0.25">
      <c r="A65" s="4"/>
      <c r="B65" s="4" t="str">
        <f ca="1">IFERROR(_xludf.XLOOKUP(A65,Pracownicy!$A$2:$A$501,Pracownicy!$B$2:$B$501),"")</f>
        <v/>
      </c>
      <c r="C65" s="4"/>
      <c r="D65" s="4" t="str">
        <f ca="1">IFERROR(_xludf.XLOOKUP(A65,Milestones!$A$2:$A$501,Milestones!$C$2:$C$501),"")</f>
        <v/>
      </c>
      <c r="E65" s="4"/>
      <c r="F65" s="4"/>
      <c r="G65" s="4" t="str">
        <f ca="1">IFERROR(_xludf.XLOOKUP(F65,Ustawienia!$H$4:$H$8,Ustawienia!$I$4:$I$8),"")</f>
        <v/>
      </c>
      <c r="H65" s="4"/>
      <c r="I65" s="4"/>
    </row>
    <row r="66" spans="1:9" x14ac:dyDescent="0.25">
      <c r="A66" s="4"/>
      <c r="B66" s="4" t="str">
        <f ca="1">IFERROR(_xludf.XLOOKUP(A66,Pracownicy!$A$2:$A$501,Pracownicy!$B$2:$B$501),"")</f>
        <v/>
      </c>
      <c r="C66" s="4"/>
      <c r="D66" s="4" t="str">
        <f ca="1">IFERROR(_xludf.XLOOKUP(A66,Milestones!$A$2:$A$501,Milestones!$C$2:$C$501),"")</f>
        <v/>
      </c>
      <c r="E66" s="4"/>
      <c r="F66" s="4"/>
      <c r="G66" s="4" t="str">
        <f ca="1">IFERROR(_xludf.XLOOKUP(F66,Ustawienia!$H$4:$H$8,Ustawienia!$I$4:$I$8),"")</f>
        <v/>
      </c>
      <c r="H66" s="4"/>
      <c r="I66" s="4"/>
    </row>
    <row r="67" spans="1:9" x14ac:dyDescent="0.25">
      <c r="A67" s="4"/>
      <c r="B67" s="4" t="str">
        <f ca="1">IFERROR(_xludf.XLOOKUP(A67,Pracownicy!$A$2:$A$501,Pracownicy!$B$2:$B$501),"")</f>
        <v/>
      </c>
      <c r="C67" s="4"/>
      <c r="D67" s="4" t="str">
        <f ca="1">IFERROR(_xludf.XLOOKUP(A67,Milestones!$A$2:$A$501,Milestones!$C$2:$C$501),"")</f>
        <v/>
      </c>
      <c r="E67" s="4"/>
      <c r="F67" s="4"/>
      <c r="G67" s="4" t="str">
        <f ca="1">IFERROR(_xludf.XLOOKUP(F67,Ustawienia!$H$4:$H$8,Ustawienia!$I$4:$I$8),"")</f>
        <v/>
      </c>
      <c r="H67" s="4"/>
      <c r="I67" s="4"/>
    </row>
    <row r="68" spans="1:9" x14ac:dyDescent="0.25">
      <c r="A68" s="4"/>
      <c r="B68" s="4" t="str">
        <f ca="1">IFERROR(_xludf.XLOOKUP(A68,Pracownicy!$A$2:$A$501,Pracownicy!$B$2:$B$501),"")</f>
        <v/>
      </c>
      <c r="C68" s="4"/>
      <c r="D68" s="4" t="str">
        <f ca="1">IFERROR(_xludf.XLOOKUP(A68,Milestones!$A$2:$A$501,Milestones!$C$2:$C$501),"")</f>
        <v/>
      </c>
      <c r="E68" s="4"/>
      <c r="F68" s="4"/>
      <c r="G68" s="4" t="str">
        <f ca="1">IFERROR(_xludf.XLOOKUP(F68,Ustawienia!$H$4:$H$8,Ustawienia!$I$4:$I$8),"")</f>
        <v/>
      </c>
      <c r="H68" s="4"/>
      <c r="I68" s="4"/>
    </row>
    <row r="69" spans="1:9" x14ac:dyDescent="0.25">
      <c r="A69" s="4"/>
      <c r="B69" s="4" t="str">
        <f ca="1">IFERROR(_xludf.XLOOKUP(A69,Pracownicy!$A$2:$A$501,Pracownicy!$B$2:$B$501),"")</f>
        <v/>
      </c>
      <c r="C69" s="4"/>
      <c r="D69" s="4" t="str">
        <f ca="1">IFERROR(_xludf.XLOOKUP(A69,Milestones!$A$2:$A$501,Milestones!$C$2:$C$501),"")</f>
        <v/>
      </c>
      <c r="E69" s="4"/>
      <c r="F69" s="4"/>
      <c r="G69" s="4" t="str">
        <f ca="1">IFERROR(_xludf.XLOOKUP(F69,Ustawienia!$H$4:$H$8,Ustawienia!$I$4:$I$8),"")</f>
        <v/>
      </c>
      <c r="H69" s="4"/>
      <c r="I69" s="4"/>
    </row>
    <row r="70" spans="1:9" x14ac:dyDescent="0.25">
      <c r="A70" s="4"/>
      <c r="B70" s="4" t="str">
        <f ca="1">IFERROR(_xludf.XLOOKUP(A70,Pracownicy!$A$2:$A$501,Pracownicy!$B$2:$B$501),"")</f>
        <v/>
      </c>
      <c r="C70" s="4"/>
      <c r="D70" s="4" t="str">
        <f ca="1">IFERROR(_xludf.XLOOKUP(A70,Milestones!$A$2:$A$501,Milestones!$C$2:$C$501),"")</f>
        <v/>
      </c>
      <c r="E70" s="4"/>
      <c r="F70" s="4"/>
      <c r="G70" s="4" t="str">
        <f ca="1">IFERROR(_xludf.XLOOKUP(F70,Ustawienia!$H$4:$H$8,Ustawienia!$I$4:$I$8),"")</f>
        <v/>
      </c>
      <c r="H70" s="4"/>
      <c r="I70" s="4"/>
    </row>
    <row r="71" spans="1:9" x14ac:dyDescent="0.25">
      <c r="A71" s="4"/>
      <c r="B71" s="4" t="str">
        <f ca="1">IFERROR(_xludf.XLOOKUP(A71,Pracownicy!$A$2:$A$501,Pracownicy!$B$2:$B$501),"")</f>
        <v/>
      </c>
      <c r="C71" s="4"/>
      <c r="D71" s="4" t="str">
        <f ca="1">IFERROR(_xludf.XLOOKUP(A71,Milestones!$A$2:$A$501,Milestones!$C$2:$C$501),"")</f>
        <v/>
      </c>
      <c r="E71" s="4"/>
      <c r="F71" s="4"/>
      <c r="G71" s="4" t="str">
        <f ca="1">IFERROR(_xludf.XLOOKUP(F71,Ustawienia!$H$4:$H$8,Ustawienia!$I$4:$I$8),"")</f>
        <v/>
      </c>
      <c r="H71" s="4"/>
      <c r="I71" s="4"/>
    </row>
    <row r="72" spans="1:9" x14ac:dyDescent="0.25">
      <c r="A72" s="4"/>
      <c r="B72" s="4" t="str">
        <f ca="1">IFERROR(_xludf.XLOOKUP(A72,Pracownicy!$A$2:$A$501,Pracownicy!$B$2:$B$501),"")</f>
        <v/>
      </c>
      <c r="C72" s="4"/>
      <c r="D72" s="4" t="str">
        <f ca="1">IFERROR(_xludf.XLOOKUP(A72,Milestones!$A$2:$A$501,Milestones!$C$2:$C$501),"")</f>
        <v/>
      </c>
      <c r="E72" s="4"/>
      <c r="F72" s="4"/>
      <c r="G72" s="4" t="str">
        <f ca="1">IFERROR(_xludf.XLOOKUP(F72,Ustawienia!$H$4:$H$8,Ustawienia!$I$4:$I$8),"")</f>
        <v/>
      </c>
      <c r="H72" s="4"/>
      <c r="I72" s="4"/>
    </row>
    <row r="73" spans="1:9" x14ac:dyDescent="0.25">
      <c r="A73" s="4"/>
      <c r="B73" s="4" t="str">
        <f ca="1">IFERROR(_xludf.XLOOKUP(A73,Pracownicy!$A$2:$A$501,Pracownicy!$B$2:$B$501),"")</f>
        <v/>
      </c>
      <c r="C73" s="4"/>
      <c r="D73" s="4" t="str">
        <f ca="1">IFERROR(_xludf.XLOOKUP(A73,Milestones!$A$2:$A$501,Milestones!$C$2:$C$501),"")</f>
        <v/>
      </c>
      <c r="E73" s="4"/>
      <c r="F73" s="4"/>
      <c r="G73" s="4" t="str">
        <f ca="1">IFERROR(_xludf.XLOOKUP(F73,Ustawienia!$H$4:$H$8,Ustawienia!$I$4:$I$8),"")</f>
        <v/>
      </c>
      <c r="H73" s="4"/>
      <c r="I73" s="4"/>
    </row>
    <row r="74" spans="1:9" x14ac:dyDescent="0.25">
      <c r="A74" s="4"/>
      <c r="B74" s="4" t="str">
        <f ca="1">IFERROR(_xludf.XLOOKUP(A74,Pracownicy!$A$2:$A$501,Pracownicy!$B$2:$B$501),"")</f>
        <v/>
      </c>
      <c r="C74" s="4"/>
      <c r="D74" s="4" t="str">
        <f ca="1">IFERROR(_xludf.XLOOKUP(A74,Milestones!$A$2:$A$501,Milestones!$C$2:$C$501),"")</f>
        <v/>
      </c>
      <c r="E74" s="4"/>
      <c r="F74" s="4"/>
      <c r="G74" s="4" t="str">
        <f ca="1">IFERROR(_xludf.XLOOKUP(F74,Ustawienia!$H$4:$H$8,Ustawienia!$I$4:$I$8),"")</f>
        <v/>
      </c>
      <c r="H74" s="4"/>
      <c r="I74" s="4"/>
    </row>
    <row r="75" spans="1:9" x14ac:dyDescent="0.25">
      <c r="A75" s="4"/>
      <c r="B75" s="4" t="str">
        <f ca="1">IFERROR(_xludf.XLOOKUP(A75,Pracownicy!$A$2:$A$501,Pracownicy!$B$2:$B$501),"")</f>
        <v/>
      </c>
      <c r="C75" s="4"/>
      <c r="D75" s="4" t="str">
        <f ca="1">IFERROR(_xludf.XLOOKUP(A75,Milestones!$A$2:$A$501,Milestones!$C$2:$C$501),"")</f>
        <v/>
      </c>
      <c r="E75" s="4"/>
      <c r="F75" s="4"/>
      <c r="G75" s="4" t="str">
        <f ca="1">IFERROR(_xludf.XLOOKUP(F75,Ustawienia!$H$4:$H$8,Ustawienia!$I$4:$I$8),"")</f>
        <v/>
      </c>
      <c r="H75" s="4"/>
      <c r="I75" s="4"/>
    </row>
    <row r="76" spans="1:9" x14ac:dyDescent="0.25">
      <c r="A76" s="4"/>
      <c r="B76" s="4" t="str">
        <f ca="1">IFERROR(_xludf.XLOOKUP(A76,Pracownicy!$A$2:$A$501,Pracownicy!$B$2:$B$501),"")</f>
        <v/>
      </c>
      <c r="C76" s="4"/>
      <c r="D76" s="4" t="str">
        <f ca="1">IFERROR(_xludf.XLOOKUP(A76,Milestones!$A$2:$A$501,Milestones!$C$2:$C$501),"")</f>
        <v/>
      </c>
      <c r="E76" s="4"/>
      <c r="F76" s="4"/>
      <c r="G76" s="4" t="str">
        <f ca="1">IFERROR(_xludf.XLOOKUP(F76,Ustawienia!$H$4:$H$8,Ustawienia!$I$4:$I$8),"")</f>
        <v/>
      </c>
      <c r="H76" s="4"/>
      <c r="I76" s="4"/>
    </row>
    <row r="77" spans="1:9" x14ac:dyDescent="0.25">
      <c r="A77" s="4"/>
      <c r="B77" s="4" t="str">
        <f ca="1">IFERROR(_xludf.XLOOKUP(A77,Pracownicy!$A$2:$A$501,Pracownicy!$B$2:$B$501),"")</f>
        <v/>
      </c>
      <c r="C77" s="4"/>
      <c r="D77" s="4" t="str">
        <f ca="1">IFERROR(_xludf.XLOOKUP(A77,Milestones!$A$2:$A$501,Milestones!$C$2:$C$501),"")</f>
        <v/>
      </c>
      <c r="E77" s="4"/>
      <c r="F77" s="4"/>
      <c r="G77" s="4" t="str">
        <f ca="1">IFERROR(_xludf.XLOOKUP(F77,Ustawienia!$H$4:$H$8,Ustawienia!$I$4:$I$8),"")</f>
        <v/>
      </c>
      <c r="H77" s="4"/>
      <c r="I77" s="4"/>
    </row>
    <row r="78" spans="1:9" x14ac:dyDescent="0.25">
      <c r="A78" s="4"/>
      <c r="B78" s="4" t="str">
        <f ca="1">IFERROR(_xludf.XLOOKUP(A78,Pracownicy!$A$2:$A$501,Pracownicy!$B$2:$B$501),"")</f>
        <v/>
      </c>
      <c r="C78" s="4"/>
      <c r="D78" s="4" t="str">
        <f ca="1">IFERROR(_xludf.XLOOKUP(A78,Milestones!$A$2:$A$501,Milestones!$C$2:$C$501),"")</f>
        <v/>
      </c>
      <c r="E78" s="4"/>
      <c r="F78" s="4"/>
      <c r="G78" s="4" t="str">
        <f ca="1">IFERROR(_xludf.XLOOKUP(F78,Ustawienia!$H$4:$H$8,Ustawienia!$I$4:$I$8),"")</f>
        <v/>
      </c>
      <c r="H78" s="4"/>
      <c r="I78" s="4"/>
    </row>
    <row r="79" spans="1:9" x14ac:dyDescent="0.25">
      <c r="A79" s="4"/>
      <c r="B79" s="4" t="str">
        <f ca="1">IFERROR(_xludf.XLOOKUP(A79,Pracownicy!$A$2:$A$501,Pracownicy!$B$2:$B$501),"")</f>
        <v/>
      </c>
      <c r="C79" s="4"/>
      <c r="D79" s="4" t="str">
        <f ca="1">IFERROR(_xludf.XLOOKUP(A79,Milestones!$A$2:$A$501,Milestones!$C$2:$C$501),"")</f>
        <v/>
      </c>
      <c r="E79" s="4"/>
      <c r="F79" s="4"/>
      <c r="G79" s="4" t="str">
        <f ca="1">IFERROR(_xludf.XLOOKUP(F79,Ustawienia!$H$4:$H$8,Ustawienia!$I$4:$I$8),"")</f>
        <v/>
      </c>
      <c r="H79" s="4"/>
      <c r="I79" s="4"/>
    </row>
    <row r="80" spans="1:9" x14ac:dyDescent="0.25">
      <c r="A80" s="4"/>
      <c r="B80" s="4" t="str">
        <f ca="1">IFERROR(_xludf.XLOOKUP(A80,Pracownicy!$A$2:$A$501,Pracownicy!$B$2:$B$501),"")</f>
        <v/>
      </c>
      <c r="C80" s="4"/>
      <c r="D80" s="4" t="str">
        <f ca="1">IFERROR(_xludf.XLOOKUP(A80,Milestones!$A$2:$A$501,Milestones!$C$2:$C$501),"")</f>
        <v/>
      </c>
      <c r="E80" s="4"/>
      <c r="F80" s="4"/>
      <c r="G80" s="4" t="str">
        <f ca="1">IFERROR(_xludf.XLOOKUP(F80,Ustawienia!$H$4:$H$8,Ustawienia!$I$4:$I$8),"")</f>
        <v/>
      </c>
      <c r="H80" s="4"/>
      <c r="I80" s="4"/>
    </row>
    <row r="81" spans="1:9" x14ac:dyDescent="0.25">
      <c r="A81" s="4"/>
      <c r="B81" s="4" t="str">
        <f ca="1">IFERROR(_xludf.XLOOKUP(A81,Pracownicy!$A$2:$A$501,Pracownicy!$B$2:$B$501),"")</f>
        <v/>
      </c>
      <c r="C81" s="4"/>
      <c r="D81" s="4" t="str">
        <f ca="1">IFERROR(_xludf.XLOOKUP(A81,Milestones!$A$2:$A$501,Milestones!$C$2:$C$501),"")</f>
        <v/>
      </c>
      <c r="E81" s="4"/>
      <c r="F81" s="4"/>
      <c r="G81" s="4" t="str">
        <f ca="1">IFERROR(_xludf.XLOOKUP(F81,Ustawienia!$H$4:$H$8,Ustawienia!$I$4:$I$8),"")</f>
        <v/>
      </c>
      <c r="H81" s="4"/>
      <c r="I81" s="4"/>
    </row>
    <row r="82" spans="1:9" x14ac:dyDescent="0.25">
      <c r="A82" s="4"/>
      <c r="B82" s="4" t="str">
        <f ca="1">IFERROR(_xludf.XLOOKUP(A82,Pracownicy!$A$2:$A$501,Pracownicy!$B$2:$B$501),"")</f>
        <v/>
      </c>
      <c r="C82" s="4"/>
      <c r="D82" s="4" t="str">
        <f ca="1">IFERROR(_xludf.XLOOKUP(A82,Milestones!$A$2:$A$501,Milestones!$C$2:$C$501),"")</f>
        <v/>
      </c>
      <c r="E82" s="4"/>
      <c r="F82" s="4"/>
      <c r="G82" s="4" t="str">
        <f ca="1">IFERROR(_xludf.XLOOKUP(F82,Ustawienia!$H$4:$H$8,Ustawienia!$I$4:$I$8),"")</f>
        <v/>
      </c>
      <c r="H82" s="4"/>
      <c r="I82" s="4"/>
    </row>
    <row r="83" spans="1:9" x14ac:dyDescent="0.25">
      <c r="A83" s="4"/>
      <c r="B83" s="4" t="str">
        <f ca="1">IFERROR(_xludf.XLOOKUP(A83,Pracownicy!$A$2:$A$501,Pracownicy!$B$2:$B$501),"")</f>
        <v/>
      </c>
      <c r="C83" s="4"/>
      <c r="D83" s="4" t="str">
        <f ca="1">IFERROR(_xludf.XLOOKUP(A83,Milestones!$A$2:$A$501,Milestones!$C$2:$C$501),"")</f>
        <v/>
      </c>
      <c r="E83" s="4"/>
      <c r="F83" s="4"/>
      <c r="G83" s="4" t="str">
        <f ca="1">IFERROR(_xludf.XLOOKUP(F83,Ustawienia!$H$4:$H$8,Ustawienia!$I$4:$I$8),"")</f>
        <v/>
      </c>
      <c r="H83" s="4"/>
      <c r="I83" s="4"/>
    </row>
    <row r="84" spans="1:9" x14ac:dyDescent="0.25">
      <c r="A84" s="4"/>
      <c r="B84" s="4" t="str">
        <f ca="1">IFERROR(_xludf.XLOOKUP(A84,Pracownicy!$A$2:$A$501,Pracownicy!$B$2:$B$501),"")</f>
        <v/>
      </c>
      <c r="C84" s="4"/>
      <c r="D84" s="4" t="str">
        <f ca="1">IFERROR(_xludf.XLOOKUP(A84,Milestones!$A$2:$A$501,Milestones!$C$2:$C$501),"")</f>
        <v/>
      </c>
      <c r="E84" s="4"/>
      <c r="F84" s="4"/>
      <c r="G84" s="4" t="str">
        <f ca="1">IFERROR(_xludf.XLOOKUP(F84,Ustawienia!$H$4:$H$8,Ustawienia!$I$4:$I$8),"")</f>
        <v/>
      </c>
      <c r="H84" s="4"/>
      <c r="I84" s="4"/>
    </row>
    <row r="85" spans="1:9" x14ac:dyDescent="0.25">
      <c r="A85" s="4"/>
      <c r="B85" s="4" t="str">
        <f ca="1">IFERROR(_xludf.XLOOKUP(A85,Pracownicy!$A$2:$A$501,Pracownicy!$B$2:$B$501),"")</f>
        <v/>
      </c>
      <c r="C85" s="4"/>
      <c r="D85" s="4" t="str">
        <f ca="1">IFERROR(_xludf.XLOOKUP(A85,Milestones!$A$2:$A$501,Milestones!$C$2:$C$501),"")</f>
        <v/>
      </c>
      <c r="E85" s="4"/>
      <c r="F85" s="4"/>
      <c r="G85" s="4" t="str">
        <f ca="1">IFERROR(_xludf.XLOOKUP(F85,Ustawienia!$H$4:$H$8,Ustawienia!$I$4:$I$8),"")</f>
        <v/>
      </c>
      <c r="H85" s="4"/>
      <c r="I85" s="4"/>
    </row>
    <row r="86" spans="1:9" x14ac:dyDescent="0.25">
      <c r="A86" s="4"/>
      <c r="B86" s="4" t="str">
        <f ca="1">IFERROR(_xludf.XLOOKUP(A86,Pracownicy!$A$2:$A$501,Pracownicy!$B$2:$B$501),"")</f>
        <v/>
      </c>
      <c r="C86" s="4"/>
      <c r="D86" s="4" t="str">
        <f ca="1">IFERROR(_xludf.XLOOKUP(A86,Milestones!$A$2:$A$501,Milestones!$C$2:$C$501),"")</f>
        <v/>
      </c>
      <c r="E86" s="4"/>
      <c r="F86" s="4"/>
      <c r="G86" s="4" t="str">
        <f ca="1">IFERROR(_xludf.XLOOKUP(F86,Ustawienia!$H$4:$H$8,Ustawienia!$I$4:$I$8),"")</f>
        <v/>
      </c>
      <c r="H86" s="4"/>
      <c r="I86" s="4"/>
    </row>
    <row r="87" spans="1:9" x14ac:dyDescent="0.25">
      <c r="A87" s="4"/>
      <c r="B87" s="4" t="str">
        <f ca="1">IFERROR(_xludf.XLOOKUP(A87,Pracownicy!$A$2:$A$501,Pracownicy!$B$2:$B$501),"")</f>
        <v/>
      </c>
      <c r="C87" s="4"/>
      <c r="D87" s="4" t="str">
        <f ca="1">IFERROR(_xludf.XLOOKUP(A87,Milestones!$A$2:$A$501,Milestones!$C$2:$C$501),"")</f>
        <v/>
      </c>
      <c r="E87" s="4"/>
      <c r="F87" s="4"/>
      <c r="G87" s="4" t="str">
        <f ca="1">IFERROR(_xludf.XLOOKUP(F87,Ustawienia!$H$4:$H$8,Ustawienia!$I$4:$I$8),"")</f>
        <v/>
      </c>
      <c r="H87" s="4"/>
      <c r="I87" s="4"/>
    </row>
    <row r="88" spans="1:9" x14ac:dyDescent="0.25">
      <c r="A88" s="4"/>
      <c r="B88" s="4" t="str">
        <f ca="1">IFERROR(_xludf.XLOOKUP(A88,Pracownicy!$A$2:$A$501,Pracownicy!$B$2:$B$501),"")</f>
        <v/>
      </c>
      <c r="C88" s="4"/>
      <c r="D88" s="4" t="str">
        <f ca="1">IFERROR(_xludf.XLOOKUP(A88,Milestones!$A$2:$A$501,Milestones!$C$2:$C$501),"")</f>
        <v/>
      </c>
      <c r="E88" s="4"/>
      <c r="F88" s="4"/>
      <c r="G88" s="4" t="str">
        <f ca="1">IFERROR(_xludf.XLOOKUP(F88,Ustawienia!$H$4:$H$8,Ustawienia!$I$4:$I$8),"")</f>
        <v/>
      </c>
      <c r="H88" s="4"/>
      <c r="I88" s="4"/>
    </row>
    <row r="89" spans="1:9" x14ac:dyDescent="0.25">
      <c r="A89" s="4"/>
      <c r="B89" s="4" t="str">
        <f ca="1">IFERROR(_xludf.XLOOKUP(A89,Pracownicy!$A$2:$A$501,Pracownicy!$B$2:$B$501),"")</f>
        <v/>
      </c>
      <c r="C89" s="4"/>
      <c r="D89" s="4" t="str">
        <f ca="1">IFERROR(_xludf.XLOOKUP(A89,Milestones!$A$2:$A$501,Milestones!$C$2:$C$501),"")</f>
        <v/>
      </c>
      <c r="E89" s="4"/>
      <c r="F89" s="4"/>
      <c r="G89" s="4" t="str">
        <f ca="1">IFERROR(_xludf.XLOOKUP(F89,Ustawienia!$H$4:$H$8,Ustawienia!$I$4:$I$8),"")</f>
        <v/>
      </c>
      <c r="H89" s="4"/>
      <c r="I89" s="4"/>
    </row>
    <row r="90" spans="1:9" x14ac:dyDescent="0.25">
      <c r="A90" s="4"/>
      <c r="B90" s="4" t="str">
        <f ca="1">IFERROR(_xludf.XLOOKUP(A90,Pracownicy!$A$2:$A$501,Pracownicy!$B$2:$B$501),"")</f>
        <v/>
      </c>
      <c r="C90" s="4"/>
      <c r="D90" s="4" t="str">
        <f ca="1">IFERROR(_xludf.XLOOKUP(A90,Milestones!$A$2:$A$501,Milestones!$C$2:$C$501),"")</f>
        <v/>
      </c>
      <c r="E90" s="4"/>
      <c r="F90" s="4"/>
      <c r="G90" s="4" t="str">
        <f ca="1">IFERROR(_xludf.XLOOKUP(F90,Ustawienia!$H$4:$H$8,Ustawienia!$I$4:$I$8),"")</f>
        <v/>
      </c>
      <c r="H90" s="4"/>
      <c r="I90" s="4"/>
    </row>
    <row r="91" spans="1:9" x14ac:dyDescent="0.25">
      <c r="A91" s="4"/>
      <c r="B91" s="4" t="str">
        <f ca="1">IFERROR(_xludf.XLOOKUP(A91,Pracownicy!$A$2:$A$501,Pracownicy!$B$2:$B$501),"")</f>
        <v/>
      </c>
      <c r="C91" s="4"/>
      <c r="D91" s="4" t="str">
        <f ca="1">IFERROR(_xludf.XLOOKUP(A91,Milestones!$A$2:$A$501,Milestones!$C$2:$C$501),"")</f>
        <v/>
      </c>
      <c r="E91" s="4"/>
      <c r="F91" s="4"/>
      <c r="G91" s="4" t="str">
        <f ca="1">IFERROR(_xludf.XLOOKUP(F91,Ustawienia!$H$4:$H$8,Ustawienia!$I$4:$I$8),"")</f>
        <v/>
      </c>
      <c r="H91" s="4"/>
      <c r="I91" s="4"/>
    </row>
    <row r="92" spans="1:9" x14ac:dyDescent="0.25">
      <c r="A92" s="4"/>
      <c r="B92" s="4" t="str">
        <f ca="1">IFERROR(_xludf.XLOOKUP(A92,Pracownicy!$A$2:$A$501,Pracownicy!$B$2:$B$501),"")</f>
        <v/>
      </c>
      <c r="C92" s="4"/>
      <c r="D92" s="4" t="str">
        <f ca="1">IFERROR(_xludf.XLOOKUP(A92,Milestones!$A$2:$A$501,Milestones!$C$2:$C$501),"")</f>
        <v/>
      </c>
      <c r="E92" s="4"/>
      <c r="F92" s="4"/>
      <c r="G92" s="4" t="str">
        <f ca="1">IFERROR(_xludf.XLOOKUP(F92,Ustawienia!$H$4:$H$8,Ustawienia!$I$4:$I$8),"")</f>
        <v/>
      </c>
      <c r="H92" s="4"/>
      <c r="I92" s="4"/>
    </row>
    <row r="93" spans="1:9" x14ac:dyDescent="0.25">
      <c r="A93" s="4"/>
      <c r="B93" s="4" t="str">
        <f ca="1">IFERROR(_xludf.XLOOKUP(A93,Pracownicy!$A$2:$A$501,Pracownicy!$B$2:$B$501),"")</f>
        <v/>
      </c>
      <c r="C93" s="4"/>
      <c r="D93" s="4" t="str">
        <f ca="1">IFERROR(_xludf.XLOOKUP(A93,Milestones!$A$2:$A$501,Milestones!$C$2:$C$501),"")</f>
        <v/>
      </c>
      <c r="E93" s="4"/>
      <c r="F93" s="4"/>
      <c r="G93" s="4" t="str">
        <f ca="1">IFERROR(_xludf.XLOOKUP(F93,Ustawienia!$H$4:$H$8,Ustawienia!$I$4:$I$8),"")</f>
        <v/>
      </c>
      <c r="H93" s="4"/>
      <c r="I93" s="4"/>
    </row>
    <row r="94" spans="1:9" x14ac:dyDescent="0.25">
      <c r="A94" s="4"/>
      <c r="B94" s="4" t="str">
        <f ca="1">IFERROR(_xludf.XLOOKUP(A94,Pracownicy!$A$2:$A$501,Pracownicy!$B$2:$B$501),"")</f>
        <v/>
      </c>
      <c r="C94" s="4"/>
      <c r="D94" s="4" t="str">
        <f ca="1">IFERROR(_xludf.XLOOKUP(A94,Milestones!$A$2:$A$501,Milestones!$C$2:$C$501),"")</f>
        <v/>
      </c>
      <c r="E94" s="4"/>
      <c r="F94" s="4"/>
      <c r="G94" s="4" t="str">
        <f ca="1">IFERROR(_xludf.XLOOKUP(F94,Ustawienia!$H$4:$H$8,Ustawienia!$I$4:$I$8),"")</f>
        <v/>
      </c>
      <c r="H94" s="4"/>
      <c r="I94" s="4"/>
    </row>
    <row r="95" spans="1:9" x14ac:dyDescent="0.25">
      <c r="A95" s="4"/>
      <c r="B95" s="4" t="str">
        <f ca="1">IFERROR(_xludf.XLOOKUP(A95,Pracownicy!$A$2:$A$501,Pracownicy!$B$2:$B$501),"")</f>
        <v/>
      </c>
      <c r="C95" s="4"/>
      <c r="D95" s="4" t="str">
        <f ca="1">IFERROR(_xludf.XLOOKUP(A95,Milestones!$A$2:$A$501,Milestones!$C$2:$C$501),"")</f>
        <v/>
      </c>
      <c r="E95" s="4"/>
      <c r="F95" s="4"/>
      <c r="G95" s="4" t="str">
        <f ca="1">IFERROR(_xludf.XLOOKUP(F95,Ustawienia!$H$4:$H$8,Ustawienia!$I$4:$I$8),"")</f>
        <v/>
      </c>
      <c r="H95" s="4"/>
      <c r="I95" s="4"/>
    </row>
    <row r="96" spans="1:9" x14ac:dyDescent="0.25">
      <c r="A96" s="4"/>
      <c r="B96" s="4" t="str">
        <f ca="1">IFERROR(_xludf.XLOOKUP(A96,Pracownicy!$A$2:$A$501,Pracownicy!$B$2:$B$501),"")</f>
        <v/>
      </c>
      <c r="C96" s="4"/>
      <c r="D96" s="4" t="str">
        <f ca="1">IFERROR(_xludf.XLOOKUP(A96,Milestones!$A$2:$A$501,Milestones!$C$2:$C$501),"")</f>
        <v/>
      </c>
      <c r="E96" s="4"/>
      <c r="F96" s="4"/>
      <c r="G96" s="4" t="str">
        <f ca="1">IFERROR(_xludf.XLOOKUP(F96,Ustawienia!$H$4:$H$8,Ustawienia!$I$4:$I$8),"")</f>
        <v/>
      </c>
      <c r="H96" s="4"/>
      <c r="I96" s="4"/>
    </row>
    <row r="97" spans="1:9" x14ac:dyDescent="0.25">
      <c r="A97" s="4"/>
      <c r="B97" s="4" t="str">
        <f ca="1">IFERROR(_xludf.XLOOKUP(A97,Pracownicy!$A$2:$A$501,Pracownicy!$B$2:$B$501),"")</f>
        <v/>
      </c>
      <c r="C97" s="4"/>
      <c r="D97" s="4" t="str">
        <f ca="1">IFERROR(_xludf.XLOOKUP(A97,Milestones!$A$2:$A$501,Milestones!$C$2:$C$501),"")</f>
        <v/>
      </c>
      <c r="E97" s="4"/>
      <c r="F97" s="4"/>
      <c r="G97" s="4" t="str">
        <f ca="1">IFERROR(_xludf.XLOOKUP(F97,Ustawienia!$H$4:$H$8,Ustawienia!$I$4:$I$8),"")</f>
        <v/>
      </c>
      <c r="H97" s="4"/>
      <c r="I97" s="4"/>
    </row>
    <row r="98" spans="1:9" x14ac:dyDescent="0.25">
      <c r="A98" s="4"/>
      <c r="B98" s="4" t="str">
        <f ca="1">IFERROR(_xludf.XLOOKUP(A98,Pracownicy!$A$2:$A$501,Pracownicy!$B$2:$B$501),"")</f>
        <v/>
      </c>
      <c r="C98" s="4"/>
      <c r="D98" s="4" t="str">
        <f ca="1">IFERROR(_xludf.XLOOKUP(A98,Milestones!$A$2:$A$501,Milestones!$C$2:$C$501),"")</f>
        <v/>
      </c>
      <c r="E98" s="4"/>
      <c r="F98" s="4"/>
      <c r="G98" s="4" t="str">
        <f ca="1">IFERROR(_xludf.XLOOKUP(F98,Ustawienia!$H$4:$H$8,Ustawienia!$I$4:$I$8),"")</f>
        <v/>
      </c>
      <c r="H98" s="4"/>
      <c r="I98" s="4"/>
    </row>
    <row r="99" spans="1:9" x14ac:dyDescent="0.25">
      <c r="A99" s="4"/>
      <c r="B99" s="4" t="str">
        <f ca="1">IFERROR(_xludf.XLOOKUP(A99,Pracownicy!$A$2:$A$501,Pracownicy!$B$2:$B$501),"")</f>
        <v/>
      </c>
      <c r="C99" s="4"/>
      <c r="D99" s="4" t="str">
        <f ca="1">IFERROR(_xludf.XLOOKUP(A99,Milestones!$A$2:$A$501,Milestones!$C$2:$C$501),"")</f>
        <v/>
      </c>
      <c r="E99" s="4"/>
      <c r="F99" s="4"/>
      <c r="G99" s="4" t="str">
        <f ca="1">IFERROR(_xludf.XLOOKUP(F99,Ustawienia!$H$4:$H$8,Ustawienia!$I$4:$I$8),"")</f>
        <v/>
      </c>
      <c r="H99" s="4"/>
      <c r="I99" s="4"/>
    </row>
    <row r="100" spans="1:9" x14ac:dyDescent="0.25">
      <c r="A100" s="4"/>
      <c r="B100" s="4" t="str">
        <f ca="1">IFERROR(_xludf.XLOOKUP(A100,Pracownicy!$A$2:$A$501,Pracownicy!$B$2:$B$501),"")</f>
        <v/>
      </c>
      <c r="C100" s="4"/>
      <c r="D100" s="4" t="str">
        <f ca="1">IFERROR(_xludf.XLOOKUP(A100,Milestones!$A$2:$A$501,Milestones!$C$2:$C$501),"")</f>
        <v/>
      </c>
      <c r="E100" s="4"/>
      <c r="F100" s="4"/>
      <c r="G100" s="4" t="str">
        <f ca="1">IFERROR(_xludf.XLOOKUP(F100,Ustawienia!$H$4:$H$8,Ustawienia!$I$4:$I$8),"")</f>
        <v/>
      </c>
      <c r="H100" s="4"/>
      <c r="I100" s="4"/>
    </row>
    <row r="101" spans="1:9" x14ac:dyDescent="0.25">
      <c r="A101" s="4"/>
      <c r="B101" s="4" t="str">
        <f ca="1">IFERROR(_xludf.XLOOKUP(A101,Pracownicy!$A$2:$A$501,Pracownicy!$B$2:$B$501),"")</f>
        <v/>
      </c>
      <c r="C101" s="4"/>
      <c r="D101" s="4" t="str">
        <f ca="1">IFERROR(_xludf.XLOOKUP(A101,Milestones!$A$2:$A$501,Milestones!$C$2:$C$501),"")</f>
        <v/>
      </c>
      <c r="E101" s="4"/>
      <c r="F101" s="4"/>
      <c r="G101" s="4" t="str">
        <f ca="1">IFERROR(_xludf.XLOOKUP(F101,Ustawienia!$H$4:$H$8,Ustawienia!$I$4:$I$8),"")</f>
        <v/>
      </c>
      <c r="H101" s="4"/>
      <c r="I101" s="4"/>
    </row>
    <row r="102" spans="1:9" x14ac:dyDescent="0.25">
      <c r="A102" s="4"/>
      <c r="B102" s="4" t="str">
        <f ca="1">IFERROR(_xludf.XLOOKUP(A102,Pracownicy!$A$2:$A$501,Pracownicy!$B$2:$B$501),"")</f>
        <v/>
      </c>
      <c r="C102" s="4"/>
      <c r="D102" s="4" t="str">
        <f ca="1">IFERROR(_xludf.XLOOKUP(A102,Milestones!$A$2:$A$501,Milestones!$C$2:$C$501),"")</f>
        <v/>
      </c>
      <c r="E102" s="4"/>
      <c r="F102" s="4"/>
      <c r="G102" s="4" t="str">
        <f ca="1">IFERROR(_xludf.XLOOKUP(F102,Ustawienia!$H$4:$H$8,Ustawienia!$I$4:$I$8),"")</f>
        <v/>
      </c>
      <c r="H102" s="4"/>
      <c r="I102" s="4"/>
    </row>
    <row r="103" spans="1:9" x14ac:dyDescent="0.25">
      <c r="A103" s="4"/>
      <c r="B103" s="4" t="str">
        <f ca="1">IFERROR(_xludf.XLOOKUP(A103,Pracownicy!$A$2:$A$501,Pracownicy!$B$2:$B$501),"")</f>
        <v/>
      </c>
      <c r="C103" s="4"/>
      <c r="D103" s="4" t="str">
        <f ca="1">IFERROR(_xludf.XLOOKUP(A103,Milestones!$A$2:$A$501,Milestones!$C$2:$C$501),"")</f>
        <v/>
      </c>
      <c r="E103" s="4"/>
      <c r="F103" s="4"/>
      <c r="G103" s="4" t="str">
        <f ca="1">IFERROR(_xludf.XLOOKUP(F103,Ustawienia!$H$4:$H$8,Ustawienia!$I$4:$I$8),"")</f>
        <v/>
      </c>
      <c r="H103" s="4"/>
      <c r="I103" s="4"/>
    </row>
    <row r="104" spans="1:9" x14ac:dyDescent="0.25">
      <c r="A104" s="4"/>
      <c r="B104" s="4" t="str">
        <f ca="1">IFERROR(_xludf.XLOOKUP(A104,Pracownicy!$A$2:$A$501,Pracownicy!$B$2:$B$501),"")</f>
        <v/>
      </c>
      <c r="C104" s="4"/>
      <c r="D104" s="4" t="str">
        <f ca="1">IFERROR(_xludf.XLOOKUP(A104,Milestones!$A$2:$A$501,Milestones!$C$2:$C$501),"")</f>
        <v/>
      </c>
      <c r="E104" s="4"/>
      <c r="F104" s="4"/>
      <c r="G104" s="4" t="str">
        <f ca="1">IFERROR(_xludf.XLOOKUP(F104,Ustawienia!$H$4:$H$8,Ustawienia!$I$4:$I$8),"")</f>
        <v/>
      </c>
      <c r="H104" s="4"/>
      <c r="I104" s="4"/>
    </row>
    <row r="105" spans="1:9" x14ac:dyDescent="0.25">
      <c r="A105" s="4"/>
      <c r="B105" s="4" t="str">
        <f ca="1">IFERROR(_xludf.XLOOKUP(A105,Pracownicy!$A$2:$A$501,Pracownicy!$B$2:$B$501),"")</f>
        <v/>
      </c>
      <c r="C105" s="4"/>
      <c r="D105" s="4" t="str">
        <f ca="1">IFERROR(_xludf.XLOOKUP(A105,Milestones!$A$2:$A$501,Milestones!$C$2:$C$501),"")</f>
        <v/>
      </c>
      <c r="E105" s="4"/>
      <c r="F105" s="4"/>
      <c r="G105" s="4" t="str">
        <f ca="1">IFERROR(_xludf.XLOOKUP(F105,Ustawienia!$H$4:$H$8,Ustawienia!$I$4:$I$8),"")</f>
        <v/>
      </c>
      <c r="H105" s="4"/>
      <c r="I105" s="4"/>
    </row>
    <row r="106" spans="1:9" x14ac:dyDescent="0.25">
      <c r="A106" s="4"/>
      <c r="B106" s="4" t="str">
        <f ca="1">IFERROR(_xludf.XLOOKUP(A106,Pracownicy!$A$2:$A$501,Pracownicy!$B$2:$B$501),"")</f>
        <v/>
      </c>
      <c r="C106" s="4"/>
      <c r="D106" s="4" t="str">
        <f ca="1">IFERROR(_xludf.XLOOKUP(A106,Milestones!$A$2:$A$501,Milestones!$C$2:$C$501),"")</f>
        <v/>
      </c>
      <c r="E106" s="4"/>
      <c r="F106" s="4"/>
      <c r="G106" s="4" t="str">
        <f ca="1">IFERROR(_xludf.XLOOKUP(F106,Ustawienia!$H$4:$H$8,Ustawienia!$I$4:$I$8),"")</f>
        <v/>
      </c>
      <c r="H106" s="4"/>
      <c r="I106" s="4"/>
    </row>
    <row r="107" spans="1:9" x14ac:dyDescent="0.25">
      <c r="A107" s="4"/>
      <c r="B107" s="4" t="str">
        <f ca="1">IFERROR(_xludf.XLOOKUP(A107,Pracownicy!$A$2:$A$501,Pracownicy!$B$2:$B$501),"")</f>
        <v/>
      </c>
      <c r="C107" s="4"/>
      <c r="D107" s="4" t="str">
        <f ca="1">IFERROR(_xludf.XLOOKUP(A107,Milestones!$A$2:$A$501,Milestones!$C$2:$C$501),"")</f>
        <v/>
      </c>
      <c r="E107" s="4"/>
      <c r="F107" s="4"/>
      <c r="G107" s="4" t="str">
        <f ca="1">IFERROR(_xludf.XLOOKUP(F107,Ustawienia!$H$4:$H$8,Ustawienia!$I$4:$I$8),"")</f>
        <v/>
      </c>
      <c r="H107" s="4"/>
      <c r="I107" s="4"/>
    </row>
    <row r="108" spans="1:9" x14ac:dyDescent="0.25">
      <c r="A108" s="4"/>
      <c r="B108" s="4" t="str">
        <f ca="1">IFERROR(_xludf.XLOOKUP(A108,Pracownicy!$A$2:$A$501,Pracownicy!$B$2:$B$501),"")</f>
        <v/>
      </c>
      <c r="C108" s="4"/>
      <c r="D108" s="4" t="str">
        <f ca="1">IFERROR(_xludf.XLOOKUP(A108,Milestones!$A$2:$A$501,Milestones!$C$2:$C$501),"")</f>
        <v/>
      </c>
      <c r="E108" s="4"/>
      <c r="F108" s="4"/>
      <c r="G108" s="4" t="str">
        <f ca="1">IFERROR(_xludf.XLOOKUP(F108,Ustawienia!$H$4:$H$8,Ustawienia!$I$4:$I$8),"")</f>
        <v/>
      </c>
      <c r="H108" s="4"/>
      <c r="I108" s="4"/>
    </row>
    <row r="109" spans="1:9" x14ac:dyDescent="0.25">
      <c r="A109" s="4"/>
      <c r="B109" s="4" t="str">
        <f ca="1">IFERROR(_xludf.XLOOKUP(A109,Pracownicy!$A$2:$A$501,Pracownicy!$B$2:$B$501),"")</f>
        <v/>
      </c>
      <c r="C109" s="4"/>
      <c r="D109" s="4" t="str">
        <f ca="1">IFERROR(_xludf.XLOOKUP(A109,Milestones!$A$2:$A$501,Milestones!$C$2:$C$501),"")</f>
        <v/>
      </c>
      <c r="E109" s="4"/>
      <c r="F109" s="4"/>
      <c r="G109" s="4" t="str">
        <f ca="1">IFERROR(_xludf.XLOOKUP(F109,Ustawienia!$H$4:$H$8,Ustawienia!$I$4:$I$8),"")</f>
        <v/>
      </c>
      <c r="H109" s="4"/>
      <c r="I109" s="4"/>
    </row>
    <row r="110" spans="1:9" x14ac:dyDescent="0.25">
      <c r="A110" s="4"/>
      <c r="B110" s="4" t="str">
        <f ca="1">IFERROR(_xludf.XLOOKUP(A110,Pracownicy!$A$2:$A$501,Pracownicy!$B$2:$B$501),"")</f>
        <v/>
      </c>
      <c r="C110" s="4"/>
      <c r="D110" s="4" t="str">
        <f ca="1">IFERROR(_xludf.XLOOKUP(A110,Milestones!$A$2:$A$501,Milestones!$C$2:$C$501),"")</f>
        <v/>
      </c>
      <c r="E110" s="4"/>
      <c r="F110" s="4"/>
      <c r="G110" s="4" t="str">
        <f ca="1">IFERROR(_xludf.XLOOKUP(F110,Ustawienia!$H$4:$H$8,Ustawienia!$I$4:$I$8),"")</f>
        <v/>
      </c>
      <c r="H110" s="4"/>
      <c r="I110" s="4"/>
    </row>
    <row r="111" spans="1:9" x14ac:dyDescent="0.25">
      <c r="A111" s="4"/>
      <c r="B111" s="4" t="str">
        <f ca="1">IFERROR(_xludf.XLOOKUP(A111,Pracownicy!$A$2:$A$501,Pracownicy!$B$2:$B$501),"")</f>
        <v/>
      </c>
      <c r="C111" s="4"/>
      <c r="D111" s="4" t="str">
        <f ca="1">IFERROR(_xludf.XLOOKUP(A111,Milestones!$A$2:$A$501,Milestones!$C$2:$C$501),"")</f>
        <v/>
      </c>
      <c r="E111" s="4"/>
      <c r="F111" s="4"/>
      <c r="G111" s="4" t="str">
        <f ca="1">IFERROR(_xludf.XLOOKUP(F111,Ustawienia!$H$4:$H$8,Ustawienia!$I$4:$I$8),"")</f>
        <v/>
      </c>
      <c r="H111" s="4"/>
      <c r="I111" s="4"/>
    </row>
    <row r="112" spans="1:9" x14ac:dyDescent="0.25">
      <c r="A112" s="4"/>
      <c r="B112" s="4" t="str">
        <f ca="1">IFERROR(_xludf.XLOOKUP(A112,Pracownicy!$A$2:$A$501,Pracownicy!$B$2:$B$501),"")</f>
        <v/>
      </c>
      <c r="C112" s="4"/>
      <c r="D112" s="4" t="str">
        <f ca="1">IFERROR(_xludf.XLOOKUP(A112,Milestones!$A$2:$A$501,Milestones!$C$2:$C$501),"")</f>
        <v/>
      </c>
      <c r="E112" s="4"/>
      <c r="F112" s="4"/>
      <c r="G112" s="4" t="str">
        <f ca="1">IFERROR(_xludf.XLOOKUP(F112,Ustawienia!$H$4:$H$8,Ustawienia!$I$4:$I$8),"")</f>
        <v/>
      </c>
      <c r="H112" s="4"/>
      <c r="I112" s="4"/>
    </row>
    <row r="113" spans="1:9" x14ac:dyDescent="0.25">
      <c r="A113" s="4"/>
      <c r="B113" s="4" t="str">
        <f ca="1">IFERROR(_xludf.XLOOKUP(A113,Pracownicy!$A$2:$A$501,Pracownicy!$B$2:$B$501),"")</f>
        <v/>
      </c>
      <c r="C113" s="4"/>
      <c r="D113" s="4" t="str">
        <f ca="1">IFERROR(_xludf.XLOOKUP(A113,Milestones!$A$2:$A$501,Milestones!$C$2:$C$501),"")</f>
        <v/>
      </c>
      <c r="E113" s="4"/>
      <c r="F113" s="4"/>
      <c r="G113" s="4" t="str">
        <f ca="1">IFERROR(_xludf.XLOOKUP(F113,Ustawienia!$H$4:$H$8,Ustawienia!$I$4:$I$8),"")</f>
        <v/>
      </c>
      <c r="H113" s="4"/>
      <c r="I113" s="4"/>
    </row>
    <row r="114" spans="1:9" x14ac:dyDescent="0.25">
      <c r="A114" s="4"/>
      <c r="B114" s="4" t="str">
        <f ca="1">IFERROR(_xludf.XLOOKUP(A114,Pracownicy!$A$2:$A$501,Pracownicy!$B$2:$B$501),"")</f>
        <v/>
      </c>
      <c r="C114" s="4"/>
      <c r="D114" s="4" t="str">
        <f ca="1">IFERROR(_xludf.XLOOKUP(A114,Milestones!$A$2:$A$501,Milestones!$C$2:$C$501),"")</f>
        <v/>
      </c>
      <c r="E114" s="4"/>
      <c r="F114" s="4"/>
      <c r="G114" s="4" t="str">
        <f ca="1">IFERROR(_xludf.XLOOKUP(F114,Ustawienia!$H$4:$H$8,Ustawienia!$I$4:$I$8),"")</f>
        <v/>
      </c>
      <c r="H114" s="4"/>
      <c r="I114" s="4"/>
    </row>
    <row r="115" spans="1:9" x14ac:dyDescent="0.25">
      <c r="A115" s="4"/>
      <c r="B115" s="4" t="str">
        <f ca="1">IFERROR(_xludf.XLOOKUP(A115,Pracownicy!$A$2:$A$501,Pracownicy!$B$2:$B$501),"")</f>
        <v/>
      </c>
      <c r="C115" s="4"/>
      <c r="D115" s="4" t="str">
        <f ca="1">IFERROR(_xludf.XLOOKUP(A115,Milestones!$A$2:$A$501,Milestones!$C$2:$C$501),"")</f>
        <v/>
      </c>
      <c r="E115" s="4"/>
      <c r="F115" s="4"/>
      <c r="G115" s="4" t="str">
        <f ca="1">IFERROR(_xludf.XLOOKUP(F115,Ustawienia!$H$4:$H$8,Ustawienia!$I$4:$I$8),"")</f>
        <v/>
      </c>
      <c r="H115" s="4"/>
      <c r="I115" s="4"/>
    </row>
    <row r="116" spans="1:9" x14ac:dyDescent="0.25">
      <c r="A116" s="4"/>
      <c r="B116" s="4" t="str">
        <f ca="1">IFERROR(_xludf.XLOOKUP(A116,Pracownicy!$A$2:$A$501,Pracownicy!$B$2:$B$501),"")</f>
        <v/>
      </c>
      <c r="C116" s="4"/>
      <c r="D116" s="4" t="str">
        <f ca="1">IFERROR(_xludf.XLOOKUP(A116,Milestones!$A$2:$A$501,Milestones!$C$2:$C$501),"")</f>
        <v/>
      </c>
      <c r="E116" s="4"/>
      <c r="F116" s="4"/>
      <c r="G116" s="4" t="str">
        <f ca="1">IFERROR(_xludf.XLOOKUP(F116,Ustawienia!$H$4:$H$8,Ustawienia!$I$4:$I$8),"")</f>
        <v/>
      </c>
      <c r="H116" s="4"/>
      <c r="I116" s="4"/>
    </row>
    <row r="117" spans="1:9" x14ac:dyDescent="0.25">
      <c r="A117" s="4"/>
      <c r="B117" s="4" t="str">
        <f ca="1">IFERROR(_xludf.XLOOKUP(A117,Pracownicy!$A$2:$A$501,Pracownicy!$B$2:$B$501),"")</f>
        <v/>
      </c>
      <c r="C117" s="4"/>
      <c r="D117" s="4" t="str">
        <f ca="1">IFERROR(_xludf.XLOOKUP(A117,Milestones!$A$2:$A$501,Milestones!$C$2:$C$501),"")</f>
        <v/>
      </c>
      <c r="E117" s="4"/>
      <c r="F117" s="4"/>
      <c r="G117" s="4" t="str">
        <f ca="1">IFERROR(_xludf.XLOOKUP(F117,Ustawienia!$H$4:$H$8,Ustawienia!$I$4:$I$8),"")</f>
        <v/>
      </c>
      <c r="H117" s="4"/>
      <c r="I117" s="4"/>
    </row>
    <row r="118" spans="1:9" x14ac:dyDescent="0.25">
      <c r="A118" s="4"/>
      <c r="B118" s="4" t="str">
        <f ca="1">IFERROR(_xludf.XLOOKUP(A118,Pracownicy!$A$2:$A$501,Pracownicy!$B$2:$B$501),"")</f>
        <v/>
      </c>
      <c r="C118" s="4"/>
      <c r="D118" s="4" t="str">
        <f ca="1">IFERROR(_xludf.XLOOKUP(A118,Milestones!$A$2:$A$501,Milestones!$C$2:$C$501),"")</f>
        <v/>
      </c>
      <c r="E118" s="4"/>
      <c r="F118" s="4"/>
      <c r="G118" s="4" t="str">
        <f ca="1">IFERROR(_xludf.XLOOKUP(F118,Ustawienia!$H$4:$H$8,Ustawienia!$I$4:$I$8),"")</f>
        <v/>
      </c>
      <c r="H118" s="4"/>
      <c r="I118" s="4"/>
    </row>
    <row r="119" spans="1:9" x14ac:dyDescent="0.25">
      <c r="A119" s="4"/>
      <c r="B119" s="4" t="str">
        <f ca="1">IFERROR(_xludf.XLOOKUP(A119,Pracownicy!$A$2:$A$501,Pracownicy!$B$2:$B$501),"")</f>
        <v/>
      </c>
      <c r="C119" s="4"/>
      <c r="D119" s="4" t="str">
        <f ca="1">IFERROR(_xludf.XLOOKUP(A119,Milestones!$A$2:$A$501,Milestones!$C$2:$C$501),"")</f>
        <v/>
      </c>
      <c r="E119" s="4"/>
      <c r="F119" s="4"/>
      <c r="G119" s="4" t="str">
        <f ca="1">IFERROR(_xludf.XLOOKUP(F119,Ustawienia!$H$4:$H$8,Ustawienia!$I$4:$I$8),"")</f>
        <v/>
      </c>
      <c r="H119" s="4"/>
      <c r="I119" s="4"/>
    </row>
    <row r="120" spans="1:9" x14ac:dyDescent="0.25">
      <c r="A120" s="4"/>
      <c r="B120" s="4" t="str">
        <f ca="1">IFERROR(_xludf.XLOOKUP(A120,Pracownicy!$A$2:$A$501,Pracownicy!$B$2:$B$501),"")</f>
        <v/>
      </c>
      <c r="C120" s="4"/>
      <c r="D120" s="4" t="str">
        <f ca="1">IFERROR(_xludf.XLOOKUP(A120,Milestones!$A$2:$A$501,Milestones!$C$2:$C$501),"")</f>
        <v/>
      </c>
      <c r="E120" s="4"/>
      <c r="F120" s="4"/>
      <c r="G120" s="4" t="str">
        <f ca="1">IFERROR(_xludf.XLOOKUP(F120,Ustawienia!$H$4:$H$8,Ustawienia!$I$4:$I$8),"")</f>
        <v/>
      </c>
      <c r="H120" s="4"/>
      <c r="I120" s="4"/>
    </row>
    <row r="121" spans="1:9" x14ac:dyDescent="0.25">
      <c r="A121" s="4"/>
      <c r="B121" s="4" t="str">
        <f ca="1">IFERROR(_xludf.XLOOKUP(A121,Pracownicy!$A$2:$A$501,Pracownicy!$B$2:$B$501),"")</f>
        <v/>
      </c>
      <c r="C121" s="4"/>
      <c r="D121" s="4" t="str">
        <f ca="1">IFERROR(_xludf.XLOOKUP(A121,Milestones!$A$2:$A$501,Milestones!$C$2:$C$501),"")</f>
        <v/>
      </c>
      <c r="E121" s="4"/>
      <c r="F121" s="4"/>
      <c r="G121" s="4" t="str">
        <f ca="1">IFERROR(_xludf.XLOOKUP(F121,Ustawienia!$H$4:$H$8,Ustawienia!$I$4:$I$8),"")</f>
        <v/>
      </c>
      <c r="H121" s="4"/>
      <c r="I121" s="4"/>
    </row>
    <row r="122" spans="1:9" x14ac:dyDescent="0.25">
      <c r="A122" s="4"/>
      <c r="B122" s="4" t="str">
        <f ca="1">IFERROR(_xludf.XLOOKUP(A122,Pracownicy!$A$2:$A$501,Pracownicy!$B$2:$B$501),"")</f>
        <v/>
      </c>
      <c r="C122" s="4"/>
      <c r="D122" s="4" t="str">
        <f ca="1">IFERROR(_xludf.XLOOKUP(A122,Milestones!$A$2:$A$501,Milestones!$C$2:$C$501),"")</f>
        <v/>
      </c>
      <c r="E122" s="4"/>
      <c r="F122" s="4"/>
      <c r="G122" s="4" t="str">
        <f ca="1">IFERROR(_xludf.XLOOKUP(F122,Ustawienia!$H$4:$H$8,Ustawienia!$I$4:$I$8),"")</f>
        <v/>
      </c>
      <c r="H122" s="4"/>
      <c r="I122" s="4"/>
    </row>
    <row r="123" spans="1:9" x14ac:dyDescent="0.25">
      <c r="A123" s="4"/>
      <c r="B123" s="4" t="str">
        <f ca="1">IFERROR(_xludf.XLOOKUP(A123,Pracownicy!$A$2:$A$501,Pracownicy!$B$2:$B$501),"")</f>
        <v/>
      </c>
      <c r="C123" s="4"/>
      <c r="D123" s="4" t="str">
        <f ca="1">IFERROR(_xludf.XLOOKUP(A123,Milestones!$A$2:$A$501,Milestones!$C$2:$C$501),"")</f>
        <v/>
      </c>
      <c r="E123" s="4"/>
      <c r="F123" s="4"/>
      <c r="G123" s="4" t="str">
        <f ca="1">IFERROR(_xludf.XLOOKUP(F123,Ustawienia!$H$4:$H$8,Ustawienia!$I$4:$I$8),"")</f>
        <v/>
      </c>
      <c r="H123" s="4"/>
      <c r="I123" s="4"/>
    </row>
    <row r="124" spans="1:9" x14ac:dyDescent="0.25">
      <c r="A124" s="4"/>
      <c r="B124" s="4" t="str">
        <f ca="1">IFERROR(_xludf.XLOOKUP(A124,Pracownicy!$A$2:$A$501,Pracownicy!$B$2:$B$501),"")</f>
        <v/>
      </c>
      <c r="C124" s="4"/>
      <c r="D124" s="4" t="str">
        <f ca="1">IFERROR(_xludf.XLOOKUP(A124,Milestones!$A$2:$A$501,Milestones!$C$2:$C$501),"")</f>
        <v/>
      </c>
      <c r="E124" s="4"/>
      <c r="F124" s="4"/>
      <c r="G124" s="4" t="str">
        <f ca="1">IFERROR(_xludf.XLOOKUP(F124,Ustawienia!$H$4:$H$8,Ustawienia!$I$4:$I$8),"")</f>
        <v/>
      </c>
      <c r="H124" s="4"/>
      <c r="I124" s="4"/>
    </row>
    <row r="125" spans="1:9" x14ac:dyDescent="0.25">
      <c r="A125" s="4"/>
      <c r="B125" s="4" t="str">
        <f ca="1">IFERROR(_xludf.XLOOKUP(A125,Pracownicy!$A$2:$A$501,Pracownicy!$B$2:$B$501),"")</f>
        <v/>
      </c>
      <c r="C125" s="4"/>
      <c r="D125" s="4" t="str">
        <f ca="1">IFERROR(_xludf.XLOOKUP(A125,Milestones!$A$2:$A$501,Milestones!$C$2:$C$501),"")</f>
        <v/>
      </c>
      <c r="E125" s="4"/>
      <c r="F125" s="4"/>
      <c r="G125" s="4" t="str">
        <f ca="1">IFERROR(_xludf.XLOOKUP(F125,Ustawienia!$H$4:$H$8,Ustawienia!$I$4:$I$8),"")</f>
        <v/>
      </c>
      <c r="H125" s="4"/>
      <c r="I125" s="4"/>
    </row>
    <row r="126" spans="1:9" x14ac:dyDescent="0.25">
      <c r="A126" s="4"/>
      <c r="B126" s="4" t="str">
        <f ca="1">IFERROR(_xludf.XLOOKUP(A126,Pracownicy!$A$2:$A$501,Pracownicy!$B$2:$B$501),"")</f>
        <v/>
      </c>
      <c r="C126" s="4"/>
      <c r="D126" s="4" t="str">
        <f ca="1">IFERROR(_xludf.XLOOKUP(A126,Milestones!$A$2:$A$501,Milestones!$C$2:$C$501),"")</f>
        <v/>
      </c>
      <c r="E126" s="4"/>
      <c r="F126" s="4"/>
      <c r="G126" s="4" t="str">
        <f ca="1">IFERROR(_xludf.XLOOKUP(F126,Ustawienia!$H$4:$H$8,Ustawienia!$I$4:$I$8),"")</f>
        <v/>
      </c>
      <c r="H126" s="4"/>
      <c r="I126" s="4"/>
    </row>
    <row r="127" spans="1:9" x14ac:dyDescent="0.25">
      <c r="A127" s="4"/>
      <c r="B127" s="4" t="str">
        <f ca="1">IFERROR(_xludf.XLOOKUP(A127,Pracownicy!$A$2:$A$501,Pracownicy!$B$2:$B$501),"")</f>
        <v/>
      </c>
      <c r="C127" s="4"/>
      <c r="D127" s="4" t="str">
        <f ca="1">IFERROR(_xludf.XLOOKUP(A127,Milestones!$A$2:$A$501,Milestones!$C$2:$C$501),"")</f>
        <v/>
      </c>
      <c r="E127" s="4"/>
      <c r="F127" s="4"/>
      <c r="G127" s="4" t="str">
        <f ca="1">IFERROR(_xludf.XLOOKUP(F127,Ustawienia!$H$4:$H$8,Ustawienia!$I$4:$I$8),"")</f>
        <v/>
      </c>
      <c r="H127" s="4"/>
      <c r="I127" s="4"/>
    </row>
    <row r="128" spans="1:9" x14ac:dyDescent="0.25">
      <c r="A128" s="4"/>
      <c r="B128" s="4" t="str">
        <f ca="1">IFERROR(_xludf.XLOOKUP(A128,Pracownicy!$A$2:$A$501,Pracownicy!$B$2:$B$501),"")</f>
        <v/>
      </c>
      <c r="C128" s="4"/>
      <c r="D128" s="4" t="str">
        <f ca="1">IFERROR(_xludf.XLOOKUP(A128,Milestones!$A$2:$A$501,Milestones!$C$2:$C$501),"")</f>
        <v/>
      </c>
      <c r="E128" s="4"/>
      <c r="F128" s="4"/>
      <c r="G128" s="4" t="str">
        <f ca="1">IFERROR(_xludf.XLOOKUP(F128,Ustawienia!$H$4:$H$8,Ustawienia!$I$4:$I$8),"")</f>
        <v/>
      </c>
      <c r="H128" s="4"/>
      <c r="I128" s="4"/>
    </row>
    <row r="129" spans="1:9" x14ac:dyDescent="0.25">
      <c r="A129" s="4"/>
      <c r="B129" s="4" t="str">
        <f ca="1">IFERROR(_xludf.XLOOKUP(A129,Pracownicy!$A$2:$A$501,Pracownicy!$B$2:$B$501),"")</f>
        <v/>
      </c>
      <c r="C129" s="4"/>
      <c r="D129" s="4" t="str">
        <f ca="1">IFERROR(_xludf.XLOOKUP(A129,Milestones!$A$2:$A$501,Milestones!$C$2:$C$501),"")</f>
        <v/>
      </c>
      <c r="E129" s="4"/>
      <c r="F129" s="4"/>
      <c r="G129" s="4" t="str">
        <f ca="1">IFERROR(_xludf.XLOOKUP(F129,Ustawienia!$H$4:$H$8,Ustawienia!$I$4:$I$8),"")</f>
        <v/>
      </c>
      <c r="H129" s="4"/>
      <c r="I129" s="4"/>
    </row>
    <row r="130" spans="1:9" x14ac:dyDescent="0.25">
      <c r="A130" s="4"/>
      <c r="B130" s="4" t="str">
        <f ca="1">IFERROR(_xludf.XLOOKUP(A130,Pracownicy!$A$2:$A$501,Pracownicy!$B$2:$B$501),"")</f>
        <v/>
      </c>
      <c r="C130" s="4"/>
      <c r="D130" s="4" t="str">
        <f ca="1">IFERROR(_xludf.XLOOKUP(A130,Milestones!$A$2:$A$501,Milestones!$C$2:$C$501),"")</f>
        <v/>
      </c>
      <c r="E130" s="4"/>
      <c r="F130" s="4"/>
      <c r="G130" s="4" t="str">
        <f ca="1">IFERROR(_xludf.XLOOKUP(F130,Ustawienia!$H$4:$H$8,Ustawienia!$I$4:$I$8),"")</f>
        <v/>
      </c>
      <c r="H130" s="4"/>
      <c r="I130" s="4"/>
    </row>
    <row r="131" spans="1:9" x14ac:dyDescent="0.25">
      <c r="A131" s="4"/>
      <c r="B131" s="4" t="str">
        <f ca="1">IFERROR(_xludf.XLOOKUP(A131,Pracownicy!$A$2:$A$501,Pracownicy!$B$2:$B$501),"")</f>
        <v/>
      </c>
      <c r="C131" s="4"/>
      <c r="D131" s="4" t="str">
        <f ca="1">IFERROR(_xludf.XLOOKUP(A131,Milestones!$A$2:$A$501,Milestones!$C$2:$C$501),"")</f>
        <v/>
      </c>
      <c r="E131" s="4"/>
      <c r="F131" s="4"/>
      <c r="G131" s="4" t="str">
        <f ca="1">IFERROR(_xludf.XLOOKUP(F131,Ustawienia!$H$4:$H$8,Ustawienia!$I$4:$I$8),"")</f>
        <v/>
      </c>
      <c r="H131" s="4"/>
      <c r="I131" s="4"/>
    </row>
    <row r="132" spans="1:9" x14ac:dyDescent="0.25">
      <c r="A132" s="4"/>
      <c r="B132" s="4" t="str">
        <f ca="1">IFERROR(_xludf.XLOOKUP(A132,Pracownicy!$A$2:$A$501,Pracownicy!$B$2:$B$501),"")</f>
        <v/>
      </c>
      <c r="C132" s="4"/>
      <c r="D132" s="4" t="str">
        <f ca="1">IFERROR(_xludf.XLOOKUP(A132,Milestones!$A$2:$A$501,Milestones!$C$2:$C$501),"")</f>
        <v/>
      </c>
      <c r="E132" s="4"/>
      <c r="F132" s="4"/>
      <c r="G132" s="4" t="str">
        <f ca="1">IFERROR(_xludf.XLOOKUP(F132,Ustawienia!$H$4:$H$8,Ustawienia!$I$4:$I$8),"")</f>
        <v/>
      </c>
      <c r="H132" s="4"/>
      <c r="I132" s="4"/>
    </row>
    <row r="133" spans="1:9" x14ac:dyDescent="0.25">
      <c r="A133" s="4"/>
      <c r="B133" s="4" t="str">
        <f ca="1">IFERROR(_xludf.XLOOKUP(A133,Pracownicy!$A$2:$A$501,Pracownicy!$B$2:$B$501),"")</f>
        <v/>
      </c>
      <c r="C133" s="4"/>
      <c r="D133" s="4" t="str">
        <f ca="1">IFERROR(_xludf.XLOOKUP(A133,Milestones!$A$2:$A$501,Milestones!$C$2:$C$501),"")</f>
        <v/>
      </c>
      <c r="E133" s="4"/>
      <c r="F133" s="4"/>
      <c r="G133" s="4" t="str">
        <f ca="1">IFERROR(_xludf.XLOOKUP(F133,Ustawienia!$H$4:$H$8,Ustawienia!$I$4:$I$8),"")</f>
        <v/>
      </c>
      <c r="H133" s="4"/>
      <c r="I133" s="4"/>
    </row>
    <row r="134" spans="1:9" x14ac:dyDescent="0.25">
      <c r="A134" s="4"/>
      <c r="B134" s="4" t="str">
        <f ca="1">IFERROR(_xludf.XLOOKUP(A134,Pracownicy!$A$2:$A$501,Pracownicy!$B$2:$B$501),"")</f>
        <v/>
      </c>
      <c r="C134" s="4"/>
      <c r="D134" s="4" t="str">
        <f ca="1">IFERROR(_xludf.XLOOKUP(A134,Milestones!$A$2:$A$501,Milestones!$C$2:$C$501),"")</f>
        <v/>
      </c>
      <c r="E134" s="4"/>
      <c r="F134" s="4"/>
      <c r="G134" s="4" t="str">
        <f ca="1">IFERROR(_xludf.XLOOKUP(F134,Ustawienia!$H$4:$H$8,Ustawienia!$I$4:$I$8),"")</f>
        <v/>
      </c>
      <c r="H134" s="4"/>
      <c r="I134" s="4"/>
    </row>
    <row r="135" spans="1:9" x14ac:dyDescent="0.25">
      <c r="A135" s="4"/>
      <c r="B135" s="4" t="str">
        <f ca="1">IFERROR(_xludf.XLOOKUP(A135,Pracownicy!$A$2:$A$501,Pracownicy!$B$2:$B$501),"")</f>
        <v/>
      </c>
      <c r="C135" s="4"/>
      <c r="D135" s="4" t="str">
        <f ca="1">IFERROR(_xludf.XLOOKUP(A135,Milestones!$A$2:$A$501,Milestones!$C$2:$C$501),"")</f>
        <v/>
      </c>
      <c r="E135" s="4"/>
      <c r="F135" s="4"/>
      <c r="G135" s="4" t="str">
        <f ca="1">IFERROR(_xludf.XLOOKUP(F135,Ustawienia!$H$4:$H$8,Ustawienia!$I$4:$I$8),"")</f>
        <v/>
      </c>
      <c r="H135" s="4"/>
      <c r="I135" s="4"/>
    </row>
    <row r="136" spans="1:9" x14ac:dyDescent="0.25">
      <c r="A136" s="4"/>
      <c r="B136" s="4" t="str">
        <f ca="1">IFERROR(_xludf.XLOOKUP(A136,Pracownicy!$A$2:$A$501,Pracownicy!$B$2:$B$501),"")</f>
        <v/>
      </c>
      <c r="C136" s="4"/>
      <c r="D136" s="4" t="str">
        <f ca="1">IFERROR(_xludf.XLOOKUP(A136,Milestones!$A$2:$A$501,Milestones!$C$2:$C$501),"")</f>
        <v/>
      </c>
      <c r="E136" s="4"/>
      <c r="F136" s="4"/>
      <c r="G136" s="4" t="str">
        <f ca="1">IFERROR(_xludf.XLOOKUP(F136,Ustawienia!$H$4:$H$8,Ustawienia!$I$4:$I$8),"")</f>
        <v/>
      </c>
      <c r="H136" s="4"/>
      <c r="I136" s="4"/>
    </row>
    <row r="137" spans="1:9" x14ac:dyDescent="0.25">
      <c r="A137" s="4"/>
      <c r="B137" s="4" t="str">
        <f ca="1">IFERROR(_xludf.XLOOKUP(A137,Pracownicy!$A$2:$A$501,Pracownicy!$B$2:$B$501),"")</f>
        <v/>
      </c>
      <c r="C137" s="4"/>
      <c r="D137" s="4" t="str">
        <f ca="1">IFERROR(_xludf.XLOOKUP(A137,Milestones!$A$2:$A$501,Milestones!$C$2:$C$501),"")</f>
        <v/>
      </c>
      <c r="E137" s="4"/>
      <c r="F137" s="4"/>
      <c r="G137" s="4" t="str">
        <f ca="1">IFERROR(_xludf.XLOOKUP(F137,Ustawienia!$H$4:$H$8,Ustawienia!$I$4:$I$8),"")</f>
        <v/>
      </c>
      <c r="H137" s="4"/>
      <c r="I137" s="4"/>
    </row>
    <row r="138" spans="1:9" x14ac:dyDescent="0.25">
      <c r="A138" s="4"/>
      <c r="B138" s="4" t="str">
        <f ca="1">IFERROR(_xludf.XLOOKUP(A138,Pracownicy!$A$2:$A$501,Pracownicy!$B$2:$B$501),"")</f>
        <v/>
      </c>
      <c r="C138" s="4"/>
      <c r="D138" s="4" t="str">
        <f ca="1">IFERROR(_xludf.XLOOKUP(A138,Milestones!$A$2:$A$501,Milestones!$C$2:$C$501),"")</f>
        <v/>
      </c>
      <c r="E138" s="4"/>
      <c r="F138" s="4"/>
      <c r="G138" s="4" t="str">
        <f ca="1">IFERROR(_xludf.XLOOKUP(F138,Ustawienia!$H$4:$H$8,Ustawienia!$I$4:$I$8),"")</f>
        <v/>
      </c>
      <c r="H138" s="4"/>
      <c r="I138" s="4"/>
    </row>
    <row r="139" spans="1:9" x14ac:dyDescent="0.25">
      <c r="A139" s="4"/>
      <c r="B139" s="4" t="str">
        <f ca="1">IFERROR(_xludf.XLOOKUP(A139,Pracownicy!$A$2:$A$501,Pracownicy!$B$2:$B$501),"")</f>
        <v/>
      </c>
      <c r="C139" s="4"/>
      <c r="D139" s="4" t="str">
        <f ca="1">IFERROR(_xludf.XLOOKUP(A139,Milestones!$A$2:$A$501,Milestones!$C$2:$C$501),"")</f>
        <v/>
      </c>
      <c r="E139" s="4"/>
      <c r="F139" s="4"/>
      <c r="G139" s="4" t="str">
        <f ca="1">IFERROR(_xludf.XLOOKUP(F139,Ustawienia!$H$4:$H$8,Ustawienia!$I$4:$I$8),"")</f>
        <v/>
      </c>
      <c r="H139" s="4"/>
      <c r="I139" s="4"/>
    </row>
    <row r="140" spans="1:9" x14ac:dyDescent="0.25">
      <c r="A140" s="4"/>
      <c r="B140" s="4" t="str">
        <f ca="1">IFERROR(_xludf.XLOOKUP(A140,Pracownicy!$A$2:$A$501,Pracownicy!$B$2:$B$501),"")</f>
        <v/>
      </c>
      <c r="C140" s="4"/>
      <c r="D140" s="4" t="str">
        <f ca="1">IFERROR(_xludf.XLOOKUP(A140,Milestones!$A$2:$A$501,Milestones!$C$2:$C$501),"")</f>
        <v/>
      </c>
      <c r="E140" s="4"/>
      <c r="F140" s="4"/>
      <c r="G140" s="4" t="str">
        <f ca="1">IFERROR(_xludf.XLOOKUP(F140,Ustawienia!$H$4:$H$8,Ustawienia!$I$4:$I$8),"")</f>
        <v/>
      </c>
      <c r="H140" s="4"/>
      <c r="I140" s="4"/>
    </row>
    <row r="141" spans="1:9" x14ac:dyDescent="0.25">
      <c r="A141" s="4"/>
      <c r="B141" s="4" t="str">
        <f ca="1">IFERROR(_xludf.XLOOKUP(A141,Pracownicy!$A$2:$A$501,Pracownicy!$B$2:$B$501),"")</f>
        <v/>
      </c>
      <c r="C141" s="4"/>
      <c r="D141" s="4" t="str">
        <f ca="1">IFERROR(_xludf.XLOOKUP(A141,Milestones!$A$2:$A$501,Milestones!$C$2:$C$501),"")</f>
        <v/>
      </c>
      <c r="E141" s="4"/>
      <c r="F141" s="4"/>
      <c r="G141" s="4" t="str">
        <f ca="1">IFERROR(_xludf.XLOOKUP(F141,Ustawienia!$H$4:$H$8,Ustawienia!$I$4:$I$8),"")</f>
        <v/>
      </c>
      <c r="H141" s="4"/>
      <c r="I141" s="4"/>
    </row>
    <row r="142" spans="1:9" x14ac:dyDescent="0.25">
      <c r="A142" s="4"/>
      <c r="B142" s="4" t="str">
        <f ca="1">IFERROR(_xludf.XLOOKUP(A142,Pracownicy!$A$2:$A$501,Pracownicy!$B$2:$B$501),"")</f>
        <v/>
      </c>
      <c r="C142" s="4"/>
      <c r="D142" s="4" t="str">
        <f ca="1">IFERROR(_xludf.XLOOKUP(A142,Milestones!$A$2:$A$501,Milestones!$C$2:$C$501),"")</f>
        <v/>
      </c>
      <c r="E142" s="4"/>
      <c r="F142" s="4"/>
      <c r="G142" s="4" t="str">
        <f ca="1">IFERROR(_xludf.XLOOKUP(F142,Ustawienia!$H$4:$H$8,Ustawienia!$I$4:$I$8),"")</f>
        <v/>
      </c>
      <c r="H142" s="4"/>
      <c r="I142" s="4"/>
    </row>
    <row r="143" spans="1:9" x14ac:dyDescent="0.25">
      <c r="A143" s="4"/>
      <c r="B143" s="4" t="str">
        <f ca="1">IFERROR(_xludf.XLOOKUP(A143,Pracownicy!$A$2:$A$501,Pracownicy!$B$2:$B$501),"")</f>
        <v/>
      </c>
      <c r="C143" s="4"/>
      <c r="D143" s="4" t="str">
        <f ca="1">IFERROR(_xludf.XLOOKUP(A143,Milestones!$A$2:$A$501,Milestones!$C$2:$C$501),"")</f>
        <v/>
      </c>
      <c r="E143" s="4"/>
      <c r="F143" s="4"/>
      <c r="G143" s="4" t="str">
        <f ca="1">IFERROR(_xludf.XLOOKUP(F143,Ustawienia!$H$4:$H$8,Ustawienia!$I$4:$I$8),"")</f>
        <v/>
      </c>
      <c r="H143" s="4"/>
      <c r="I143" s="4"/>
    </row>
    <row r="144" spans="1:9" x14ac:dyDescent="0.25">
      <c r="A144" s="4"/>
      <c r="B144" s="4" t="str">
        <f ca="1">IFERROR(_xludf.XLOOKUP(A144,Pracownicy!$A$2:$A$501,Pracownicy!$B$2:$B$501),"")</f>
        <v/>
      </c>
      <c r="C144" s="4"/>
      <c r="D144" s="4" t="str">
        <f ca="1">IFERROR(_xludf.XLOOKUP(A144,Milestones!$A$2:$A$501,Milestones!$C$2:$C$501),"")</f>
        <v/>
      </c>
      <c r="E144" s="4"/>
      <c r="F144" s="4"/>
      <c r="G144" s="4" t="str">
        <f ca="1">IFERROR(_xludf.XLOOKUP(F144,Ustawienia!$H$4:$H$8,Ustawienia!$I$4:$I$8),"")</f>
        <v/>
      </c>
      <c r="H144" s="4"/>
      <c r="I144" s="4"/>
    </row>
    <row r="145" spans="1:9" x14ac:dyDescent="0.25">
      <c r="A145" s="4"/>
      <c r="B145" s="4" t="str">
        <f ca="1">IFERROR(_xludf.XLOOKUP(A145,Pracownicy!$A$2:$A$501,Pracownicy!$B$2:$B$501),"")</f>
        <v/>
      </c>
      <c r="C145" s="4"/>
      <c r="D145" s="4" t="str">
        <f ca="1">IFERROR(_xludf.XLOOKUP(A145,Milestones!$A$2:$A$501,Milestones!$C$2:$C$501),"")</f>
        <v/>
      </c>
      <c r="E145" s="4"/>
      <c r="F145" s="4"/>
      <c r="G145" s="4" t="str">
        <f ca="1">IFERROR(_xludf.XLOOKUP(F145,Ustawienia!$H$4:$H$8,Ustawienia!$I$4:$I$8),"")</f>
        <v/>
      </c>
      <c r="H145" s="4"/>
      <c r="I145" s="4"/>
    </row>
    <row r="146" spans="1:9" x14ac:dyDescent="0.25">
      <c r="A146" s="4"/>
      <c r="B146" s="4" t="str">
        <f ca="1">IFERROR(_xludf.XLOOKUP(A146,Pracownicy!$A$2:$A$501,Pracownicy!$B$2:$B$501),"")</f>
        <v/>
      </c>
      <c r="C146" s="4"/>
      <c r="D146" s="4" t="str">
        <f ca="1">IFERROR(_xludf.XLOOKUP(A146,Milestones!$A$2:$A$501,Milestones!$C$2:$C$501),"")</f>
        <v/>
      </c>
      <c r="E146" s="4"/>
      <c r="F146" s="4"/>
      <c r="G146" s="4" t="str">
        <f ca="1">IFERROR(_xludf.XLOOKUP(F146,Ustawienia!$H$4:$H$8,Ustawienia!$I$4:$I$8),"")</f>
        <v/>
      </c>
      <c r="H146" s="4"/>
      <c r="I146" s="4"/>
    </row>
    <row r="147" spans="1:9" x14ac:dyDescent="0.25">
      <c r="A147" s="4"/>
      <c r="B147" s="4" t="str">
        <f ca="1">IFERROR(_xludf.XLOOKUP(A147,Pracownicy!$A$2:$A$501,Pracownicy!$B$2:$B$501),"")</f>
        <v/>
      </c>
      <c r="C147" s="4"/>
      <c r="D147" s="4" t="str">
        <f ca="1">IFERROR(_xludf.XLOOKUP(A147,Milestones!$A$2:$A$501,Milestones!$C$2:$C$501),"")</f>
        <v/>
      </c>
      <c r="E147" s="4"/>
      <c r="F147" s="4"/>
      <c r="G147" s="4" t="str">
        <f ca="1">IFERROR(_xludf.XLOOKUP(F147,Ustawienia!$H$4:$H$8,Ustawienia!$I$4:$I$8),"")</f>
        <v/>
      </c>
      <c r="H147" s="4"/>
      <c r="I147" s="4"/>
    </row>
    <row r="148" spans="1:9" x14ac:dyDescent="0.25">
      <c r="A148" s="4"/>
      <c r="B148" s="4" t="str">
        <f ca="1">IFERROR(_xludf.XLOOKUP(A148,Pracownicy!$A$2:$A$501,Pracownicy!$B$2:$B$501),"")</f>
        <v/>
      </c>
      <c r="C148" s="4"/>
      <c r="D148" s="4" t="str">
        <f ca="1">IFERROR(_xludf.XLOOKUP(A148,Milestones!$A$2:$A$501,Milestones!$C$2:$C$501),"")</f>
        <v/>
      </c>
      <c r="E148" s="4"/>
      <c r="F148" s="4"/>
      <c r="G148" s="4" t="str">
        <f ca="1">IFERROR(_xludf.XLOOKUP(F148,Ustawienia!$H$4:$H$8,Ustawienia!$I$4:$I$8),"")</f>
        <v/>
      </c>
      <c r="H148" s="4"/>
      <c r="I148" s="4"/>
    </row>
    <row r="149" spans="1:9" x14ac:dyDescent="0.25">
      <c r="A149" s="4"/>
      <c r="B149" s="4" t="str">
        <f ca="1">IFERROR(_xludf.XLOOKUP(A149,Pracownicy!$A$2:$A$501,Pracownicy!$B$2:$B$501),"")</f>
        <v/>
      </c>
      <c r="C149" s="4"/>
      <c r="D149" s="4" t="str">
        <f ca="1">IFERROR(_xludf.XLOOKUP(A149,Milestones!$A$2:$A$501,Milestones!$C$2:$C$501),"")</f>
        <v/>
      </c>
      <c r="E149" s="4"/>
      <c r="F149" s="4"/>
      <c r="G149" s="4" t="str">
        <f ca="1">IFERROR(_xludf.XLOOKUP(F149,Ustawienia!$H$4:$H$8,Ustawienia!$I$4:$I$8),"")</f>
        <v/>
      </c>
      <c r="H149" s="4"/>
      <c r="I149" s="4"/>
    </row>
    <row r="150" spans="1:9" x14ac:dyDescent="0.25">
      <c r="A150" s="4"/>
      <c r="B150" s="4" t="str">
        <f ca="1">IFERROR(_xludf.XLOOKUP(A150,Pracownicy!$A$2:$A$501,Pracownicy!$B$2:$B$501),"")</f>
        <v/>
      </c>
      <c r="C150" s="4"/>
      <c r="D150" s="4" t="str">
        <f ca="1">IFERROR(_xludf.XLOOKUP(A150,Milestones!$A$2:$A$501,Milestones!$C$2:$C$501),"")</f>
        <v/>
      </c>
      <c r="E150" s="4"/>
      <c r="F150" s="4"/>
      <c r="G150" s="4" t="str">
        <f ca="1">IFERROR(_xludf.XLOOKUP(F150,Ustawienia!$H$4:$H$8,Ustawienia!$I$4:$I$8),"")</f>
        <v/>
      </c>
      <c r="H150" s="4"/>
      <c r="I150" s="4"/>
    </row>
    <row r="151" spans="1:9" x14ac:dyDescent="0.25">
      <c r="A151" s="4"/>
      <c r="B151" s="4" t="str">
        <f ca="1">IFERROR(_xludf.XLOOKUP(A151,Pracownicy!$A$2:$A$501,Pracownicy!$B$2:$B$501),"")</f>
        <v/>
      </c>
      <c r="C151" s="4"/>
      <c r="D151" s="4" t="str">
        <f ca="1">IFERROR(_xludf.XLOOKUP(A151,Milestones!$A$2:$A$501,Milestones!$C$2:$C$501),"")</f>
        <v/>
      </c>
      <c r="E151" s="4"/>
      <c r="F151" s="4"/>
      <c r="G151" s="4" t="str">
        <f ca="1">IFERROR(_xludf.XLOOKUP(F151,Ustawienia!$H$4:$H$8,Ustawienia!$I$4:$I$8),"")</f>
        <v/>
      </c>
      <c r="H151" s="4"/>
      <c r="I151" s="4"/>
    </row>
    <row r="152" spans="1:9" x14ac:dyDescent="0.25">
      <c r="A152" s="4"/>
      <c r="B152" s="4" t="str">
        <f ca="1">IFERROR(_xludf.XLOOKUP(A152,Pracownicy!$A$2:$A$501,Pracownicy!$B$2:$B$501),"")</f>
        <v/>
      </c>
      <c r="C152" s="4"/>
      <c r="D152" s="4" t="str">
        <f ca="1">IFERROR(_xludf.XLOOKUP(A152,Milestones!$A$2:$A$501,Milestones!$C$2:$C$501),"")</f>
        <v/>
      </c>
      <c r="E152" s="4"/>
      <c r="F152" s="4"/>
      <c r="G152" s="4" t="str">
        <f ca="1">IFERROR(_xludf.XLOOKUP(F152,Ustawienia!$H$4:$H$8,Ustawienia!$I$4:$I$8),"")</f>
        <v/>
      </c>
      <c r="H152" s="4"/>
      <c r="I152" s="4"/>
    </row>
    <row r="153" spans="1:9" x14ac:dyDescent="0.25">
      <c r="A153" s="4"/>
      <c r="B153" s="4" t="str">
        <f ca="1">IFERROR(_xludf.XLOOKUP(A153,Pracownicy!$A$2:$A$501,Pracownicy!$B$2:$B$501),"")</f>
        <v/>
      </c>
      <c r="C153" s="4"/>
      <c r="D153" s="4" t="str">
        <f ca="1">IFERROR(_xludf.XLOOKUP(A153,Milestones!$A$2:$A$501,Milestones!$C$2:$C$501),"")</f>
        <v/>
      </c>
      <c r="E153" s="4"/>
      <c r="F153" s="4"/>
      <c r="G153" s="4" t="str">
        <f ca="1">IFERROR(_xludf.XLOOKUP(F153,Ustawienia!$H$4:$H$8,Ustawienia!$I$4:$I$8),"")</f>
        <v/>
      </c>
      <c r="H153" s="4"/>
      <c r="I153" s="4"/>
    </row>
    <row r="154" spans="1:9" x14ac:dyDescent="0.25">
      <c r="A154" s="4"/>
      <c r="B154" s="4" t="str">
        <f ca="1">IFERROR(_xludf.XLOOKUP(A154,Pracownicy!$A$2:$A$501,Pracownicy!$B$2:$B$501),"")</f>
        <v/>
      </c>
      <c r="C154" s="4"/>
      <c r="D154" s="4" t="str">
        <f ca="1">IFERROR(_xludf.XLOOKUP(A154,Milestones!$A$2:$A$501,Milestones!$C$2:$C$501),"")</f>
        <v/>
      </c>
      <c r="E154" s="4"/>
      <c r="F154" s="4"/>
      <c r="G154" s="4" t="str">
        <f ca="1">IFERROR(_xludf.XLOOKUP(F154,Ustawienia!$H$4:$H$8,Ustawienia!$I$4:$I$8),"")</f>
        <v/>
      </c>
      <c r="H154" s="4"/>
      <c r="I154" s="4"/>
    </row>
    <row r="155" spans="1:9" x14ac:dyDescent="0.25">
      <c r="A155" s="4"/>
      <c r="B155" s="4" t="str">
        <f ca="1">IFERROR(_xludf.XLOOKUP(A155,Pracownicy!$A$2:$A$501,Pracownicy!$B$2:$B$501),"")</f>
        <v/>
      </c>
      <c r="C155" s="4"/>
      <c r="D155" s="4" t="str">
        <f ca="1">IFERROR(_xludf.XLOOKUP(A155,Milestones!$A$2:$A$501,Milestones!$C$2:$C$501),"")</f>
        <v/>
      </c>
      <c r="E155" s="4"/>
      <c r="F155" s="4"/>
      <c r="G155" s="4" t="str">
        <f ca="1">IFERROR(_xludf.XLOOKUP(F155,Ustawienia!$H$4:$H$8,Ustawienia!$I$4:$I$8),"")</f>
        <v/>
      </c>
      <c r="H155" s="4"/>
      <c r="I155" s="4"/>
    </row>
    <row r="156" spans="1:9" x14ac:dyDescent="0.25">
      <c r="A156" s="4"/>
      <c r="B156" s="4" t="str">
        <f ca="1">IFERROR(_xludf.XLOOKUP(A156,Pracownicy!$A$2:$A$501,Pracownicy!$B$2:$B$501),"")</f>
        <v/>
      </c>
      <c r="C156" s="4"/>
      <c r="D156" s="4" t="str">
        <f ca="1">IFERROR(_xludf.XLOOKUP(A156,Milestones!$A$2:$A$501,Milestones!$C$2:$C$501),"")</f>
        <v/>
      </c>
      <c r="E156" s="4"/>
      <c r="F156" s="4"/>
      <c r="G156" s="4" t="str">
        <f ca="1">IFERROR(_xludf.XLOOKUP(F156,Ustawienia!$H$4:$H$8,Ustawienia!$I$4:$I$8),"")</f>
        <v/>
      </c>
      <c r="H156" s="4"/>
      <c r="I156" s="4"/>
    </row>
    <row r="157" spans="1:9" x14ac:dyDescent="0.25">
      <c r="A157" s="4"/>
      <c r="B157" s="4" t="str">
        <f ca="1">IFERROR(_xludf.XLOOKUP(A157,Pracownicy!$A$2:$A$501,Pracownicy!$B$2:$B$501),"")</f>
        <v/>
      </c>
      <c r="C157" s="4"/>
      <c r="D157" s="4" t="str">
        <f ca="1">IFERROR(_xludf.XLOOKUP(A157,Milestones!$A$2:$A$501,Milestones!$C$2:$C$501),"")</f>
        <v/>
      </c>
      <c r="E157" s="4"/>
      <c r="F157" s="4"/>
      <c r="G157" s="4" t="str">
        <f ca="1">IFERROR(_xludf.XLOOKUP(F157,Ustawienia!$H$4:$H$8,Ustawienia!$I$4:$I$8),"")</f>
        <v/>
      </c>
      <c r="H157" s="4"/>
      <c r="I157" s="4"/>
    </row>
    <row r="158" spans="1:9" x14ac:dyDescent="0.25">
      <c r="A158" s="4"/>
      <c r="B158" s="4" t="str">
        <f ca="1">IFERROR(_xludf.XLOOKUP(A158,Pracownicy!$A$2:$A$501,Pracownicy!$B$2:$B$501),"")</f>
        <v/>
      </c>
      <c r="C158" s="4"/>
      <c r="D158" s="4" t="str">
        <f ca="1">IFERROR(_xludf.XLOOKUP(A158,Milestones!$A$2:$A$501,Milestones!$C$2:$C$501),"")</f>
        <v/>
      </c>
      <c r="E158" s="4"/>
      <c r="F158" s="4"/>
      <c r="G158" s="4" t="str">
        <f ca="1">IFERROR(_xludf.XLOOKUP(F158,Ustawienia!$H$4:$H$8,Ustawienia!$I$4:$I$8),"")</f>
        <v/>
      </c>
      <c r="H158" s="4"/>
      <c r="I158" s="4"/>
    </row>
    <row r="159" spans="1:9" x14ac:dyDescent="0.25">
      <c r="A159" s="4"/>
      <c r="B159" s="4" t="str">
        <f ca="1">IFERROR(_xludf.XLOOKUP(A159,Pracownicy!$A$2:$A$501,Pracownicy!$B$2:$B$501),"")</f>
        <v/>
      </c>
      <c r="C159" s="4"/>
      <c r="D159" s="4" t="str">
        <f ca="1">IFERROR(_xludf.XLOOKUP(A159,Milestones!$A$2:$A$501,Milestones!$C$2:$C$501),"")</f>
        <v/>
      </c>
      <c r="E159" s="4"/>
      <c r="F159" s="4"/>
      <c r="G159" s="4" t="str">
        <f ca="1">IFERROR(_xludf.XLOOKUP(F159,Ustawienia!$H$4:$H$8,Ustawienia!$I$4:$I$8),"")</f>
        <v/>
      </c>
      <c r="H159" s="4"/>
      <c r="I159" s="4"/>
    </row>
    <row r="160" spans="1:9" x14ac:dyDescent="0.25">
      <c r="A160" s="4"/>
      <c r="B160" s="4" t="str">
        <f ca="1">IFERROR(_xludf.XLOOKUP(A160,Pracownicy!$A$2:$A$501,Pracownicy!$B$2:$B$501),"")</f>
        <v/>
      </c>
      <c r="C160" s="4"/>
      <c r="D160" s="4" t="str">
        <f ca="1">IFERROR(_xludf.XLOOKUP(A160,Milestones!$A$2:$A$501,Milestones!$C$2:$C$501),"")</f>
        <v/>
      </c>
      <c r="E160" s="4"/>
      <c r="F160" s="4"/>
      <c r="G160" s="4" t="str">
        <f ca="1">IFERROR(_xludf.XLOOKUP(F160,Ustawienia!$H$4:$H$8,Ustawienia!$I$4:$I$8),"")</f>
        <v/>
      </c>
      <c r="H160" s="4"/>
      <c r="I160" s="4"/>
    </row>
    <row r="161" spans="1:9" x14ac:dyDescent="0.25">
      <c r="A161" s="4"/>
      <c r="B161" s="4" t="str">
        <f ca="1">IFERROR(_xludf.XLOOKUP(A161,Pracownicy!$A$2:$A$501,Pracownicy!$B$2:$B$501),"")</f>
        <v/>
      </c>
      <c r="C161" s="4"/>
      <c r="D161" s="4" t="str">
        <f ca="1">IFERROR(_xludf.XLOOKUP(A161,Milestones!$A$2:$A$501,Milestones!$C$2:$C$501),"")</f>
        <v/>
      </c>
      <c r="E161" s="4"/>
      <c r="F161" s="4"/>
      <c r="G161" s="4" t="str">
        <f ca="1">IFERROR(_xludf.XLOOKUP(F161,Ustawienia!$H$4:$H$8,Ustawienia!$I$4:$I$8),"")</f>
        <v/>
      </c>
      <c r="H161" s="4"/>
      <c r="I161" s="4"/>
    </row>
    <row r="162" spans="1:9" x14ac:dyDescent="0.25">
      <c r="A162" s="4"/>
      <c r="B162" s="4" t="str">
        <f ca="1">IFERROR(_xludf.XLOOKUP(A162,Pracownicy!$A$2:$A$501,Pracownicy!$B$2:$B$501),"")</f>
        <v/>
      </c>
      <c r="C162" s="4"/>
      <c r="D162" s="4" t="str">
        <f ca="1">IFERROR(_xludf.XLOOKUP(A162,Milestones!$A$2:$A$501,Milestones!$C$2:$C$501),"")</f>
        <v/>
      </c>
      <c r="E162" s="4"/>
      <c r="F162" s="4"/>
      <c r="G162" s="4" t="str">
        <f ca="1">IFERROR(_xludf.XLOOKUP(F162,Ustawienia!$H$4:$H$8,Ustawienia!$I$4:$I$8),"")</f>
        <v/>
      </c>
      <c r="H162" s="4"/>
      <c r="I162" s="4"/>
    </row>
    <row r="163" spans="1:9" x14ac:dyDescent="0.25">
      <c r="A163" s="4"/>
      <c r="B163" s="4" t="str">
        <f ca="1">IFERROR(_xludf.XLOOKUP(A163,Pracownicy!$A$2:$A$501,Pracownicy!$B$2:$B$501),"")</f>
        <v/>
      </c>
      <c r="C163" s="4"/>
      <c r="D163" s="4" t="str">
        <f ca="1">IFERROR(_xludf.XLOOKUP(A163,Milestones!$A$2:$A$501,Milestones!$C$2:$C$501),"")</f>
        <v/>
      </c>
      <c r="E163" s="4"/>
      <c r="F163" s="4"/>
      <c r="G163" s="4" t="str">
        <f ca="1">IFERROR(_xludf.XLOOKUP(F163,Ustawienia!$H$4:$H$8,Ustawienia!$I$4:$I$8),"")</f>
        <v/>
      </c>
      <c r="H163" s="4"/>
      <c r="I163" s="4"/>
    </row>
    <row r="164" spans="1:9" x14ac:dyDescent="0.25">
      <c r="A164" s="4"/>
      <c r="B164" s="4" t="str">
        <f ca="1">IFERROR(_xludf.XLOOKUP(A164,Pracownicy!$A$2:$A$501,Pracownicy!$B$2:$B$501),"")</f>
        <v/>
      </c>
      <c r="C164" s="4"/>
      <c r="D164" s="4" t="str">
        <f ca="1">IFERROR(_xludf.XLOOKUP(A164,Milestones!$A$2:$A$501,Milestones!$C$2:$C$501),"")</f>
        <v/>
      </c>
      <c r="E164" s="4"/>
      <c r="F164" s="4"/>
      <c r="G164" s="4" t="str">
        <f ca="1">IFERROR(_xludf.XLOOKUP(F164,Ustawienia!$H$4:$H$8,Ustawienia!$I$4:$I$8),"")</f>
        <v/>
      </c>
      <c r="H164" s="4"/>
      <c r="I164" s="4"/>
    </row>
    <row r="165" spans="1:9" x14ac:dyDescent="0.25">
      <c r="A165" s="4"/>
      <c r="B165" s="4" t="str">
        <f ca="1">IFERROR(_xludf.XLOOKUP(A165,Pracownicy!$A$2:$A$501,Pracownicy!$B$2:$B$501),"")</f>
        <v/>
      </c>
      <c r="C165" s="4"/>
      <c r="D165" s="4" t="str">
        <f ca="1">IFERROR(_xludf.XLOOKUP(A165,Milestones!$A$2:$A$501,Milestones!$C$2:$C$501),"")</f>
        <v/>
      </c>
      <c r="E165" s="4"/>
      <c r="F165" s="4"/>
      <c r="G165" s="4" t="str">
        <f ca="1">IFERROR(_xludf.XLOOKUP(F165,Ustawienia!$H$4:$H$8,Ustawienia!$I$4:$I$8),"")</f>
        <v/>
      </c>
      <c r="H165" s="4"/>
      <c r="I165" s="4"/>
    </row>
    <row r="166" spans="1:9" x14ac:dyDescent="0.25">
      <c r="A166" s="4"/>
      <c r="B166" s="4" t="str">
        <f ca="1">IFERROR(_xludf.XLOOKUP(A166,Pracownicy!$A$2:$A$501,Pracownicy!$B$2:$B$501),"")</f>
        <v/>
      </c>
      <c r="C166" s="4"/>
      <c r="D166" s="4" t="str">
        <f ca="1">IFERROR(_xludf.XLOOKUP(A166,Milestones!$A$2:$A$501,Milestones!$C$2:$C$501),"")</f>
        <v/>
      </c>
      <c r="E166" s="4"/>
      <c r="F166" s="4"/>
      <c r="G166" s="4" t="str">
        <f ca="1">IFERROR(_xludf.XLOOKUP(F166,Ustawienia!$H$4:$H$8,Ustawienia!$I$4:$I$8),"")</f>
        <v/>
      </c>
      <c r="H166" s="4"/>
      <c r="I166" s="4"/>
    </row>
    <row r="167" spans="1:9" x14ac:dyDescent="0.25">
      <c r="A167" s="4"/>
      <c r="B167" s="4" t="str">
        <f ca="1">IFERROR(_xludf.XLOOKUP(A167,Pracownicy!$A$2:$A$501,Pracownicy!$B$2:$B$501),"")</f>
        <v/>
      </c>
      <c r="C167" s="4"/>
      <c r="D167" s="4" t="str">
        <f ca="1">IFERROR(_xludf.XLOOKUP(A167,Milestones!$A$2:$A$501,Milestones!$C$2:$C$501),"")</f>
        <v/>
      </c>
      <c r="E167" s="4"/>
      <c r="F167" s="4"/>
      <c r="G167" s="4" t="str">
        <f ca="1">IFERROR(_xludf.XLOOKUP(F167,Ustawienia!$H$4:$H$8,Ustawienia!$I$4:$I$8),"")</f>
        <v/>
      </c>
      <c r="H167" s="4"/>
      <c r="I167" s="4"/>
    </row>
    <row r="168" spans="1:9" x14ac:dyDescent="0.25">
      <c r="A168" s="4"/>
      <c r="B168" s="4" t="str">
        <f ca="1">IFERROR(_xludf.XLOOKUP(A168,Pracownicy!$A$2:$A$501,Pracownicy!$B$2:$B$501),"")</f>
        <v/>
      </c>
      <c r="C168" s="4"/>
      <c r="D168" s="4" t="str">
        <f ca="1">IFERROR(_xludf.XLOOKUP(A168,Milestones!$A$2:$A$501,Milestones!$C$2:$C$501),"")</f>
        <v/>
      </c>
      <c r="E168" s="4"/>
      <c r="F168" s="4"/>
      <c r="G168" s="4" t="str">
        <f ca="1">IFERROR(_xludf.XLOOKUP(F168,Ustawienia!$H$4:$H$8,Ustawienia!$I$4:$I$8),"")</f>
        <v/>
      </c>
      <c r="H168" s="4"/>
      <c r="I168" s="4"/>
    </row>
    <row r="169" spans="1:9" x14ac:dyDescent="0.25">
      <c r="A169" s="4"/>
      <c r="B169" s="4" t="str">
        <f ca="1">IFERROR(_xludf.XLOOKUP(A169,Pracownicy!$A$2:$A$501,Pracownicy!$B$2:$B$501),"")</f>
        <v/>
      </c>
      <c r="C169" s="4"/>
      <c r="D169" s="4" t="str">
        <f ca="1">IFERROR(_xludf.XLOOKUP(A169,Milestones!$A$2:$A$501,Milestones!$C$2:$C$501),"")</f>
        <v/>
      </c>
      <c r="E169" s="4"/>
      <c r="F169" s="4"/>
      <c r="G169" s="4" t="str">
        <f ca="1">IFERROR(_xludf.XLOOKUP(F169,Ustawienia!$H$4:$H$8,Ustawienia!$I$4:$I$8),"")</f>
        <v/>
      </c>
      <c r="H169" s="4"/>
      <c r="I169" s="4"/>
    </row>
    <row r="170" spans="1:9" x14ac:dyDescent="0.25">
      <c r="A170" s="4"/>
      <c r="B170" s="4" t="str">
        <f ca="1">IFERROR(_xludf.XLOOKUP(A170,Pracownicy!$A$2:$A$501,Pracownicy!$B$2:$B$501),"")</f>
        <v/>
      </c>
      <c r="C170" s="4"/>
      <c r="D170" s="4" t="str">
        <f ca="1">IFERROR(_xludf.XLOOKUP(A170,Milestones!$A$2:$A$501,Milestones!$C$2:$C$501),"")</f>
        <v/>
      </c>
      <c r="E170" s="4"/>
      <c r="F170" s="4"/>
      <c r="G170" s="4" t="str">
        <f ca="1">IFERROR(_xludf.XLOOKUP(F170,Ustawienia!$H$4:$H$8,Ustawienia!$I$4:$I$8),"")</f>
        <v/>
      </c>
      <c r="H170" s="4"/>
      <c r="I170" s="4"/>
    </row>
    <row r="171" spans="1:9" x14ac:dyDescent="0.25">
      <c r="A171" s="4"/>
      <c r="B171" s="4" t="str">
        <f ca="1">IFERROR(_xludf.XLOOKUP(A171,Pracownicy!$A$2:$A$501,Pracownicy!$B$2:$B$501),"")</f>
        <v/>
      </c>
      <c r="C171" s="4"/>
      <c r="D171" s="4" t="str">
        <f ca="1">IFERROR(_xludf.XLOOKUP(A171,Milestones!$A$2:$A$501,Milestones!$C$2:$C$501),"")</f>
        <v/>
      </c>
      <c r="E171" s="4"/>
      <c r="F171" s="4"/>
      <c r="G171" s="4" t="str">
        <f ca="1">IFERROR(_xludf.XLOOKUP(F171,Ustawienia!$H$4:$H$8,Ustawienia!$I$4:$I$8),"")</f>
        <v/>
      </c>
      <c r="H171" s="4"/>
      <c r="I171" s="4"/>
    </row>
    <row r="172" spans="1:9" x14ac:dyDescent="0.25">
      <c r="A172" s="4"/>
      <c r="B172" s="4" t="str">
        <f ca="1">IFERROR(_xludf.XLOOKUP(A172,Pracownicy!$A$2:$A$501,Pracownicy!$B$2:$B$501),"")</f>
        <v/>
      </c>
      <c r="C172" s="4"/>
      <c r="D172" s="4" t="str">
        <f ca="1">IFERROR(_xludf.XLOOKUP(A172,Milestones!$A$2:$A$501,Milestones!$C$2:$C$501),"")</f>
        <v/>
      </c>
      <c r="E172" s="4"/>
      <c r="F172" s="4"/>
      <c r="G172" s="4" t="str">
        <f ca="1">IFERROR(_xludf.XLOOKUP(F172,Ustawienia!$H$4:$H$8,Ustawienia!$I$4:$I$8),"")</f>
        <v/>
      </c>
      <c r="H172" s="4"/>
      <c r="I172" s="4"/>
    </row>
    <row r="173" spans="1:9" x14ac:dyDescent="0.25">
      <c r="A173" s="4"/>
      <c r="B173" s="4" t="str">
        <f ca="1">IFERROR(_xludf.XLOOKUP(A173,Pracownicy!$A$2:$A$501,Pracownicy!$B$2:$B$501),"")</f>
        <v/>
      </c>
      <c r="C173" s="4"/>
      <c r="D173" s="4" t="str">
        <f ca="1">IFERROR(_xludf.XLOOKUP(A173,Milestones!$A$2:$A$501,Milestones!$C$2:$C$501),"")</f>
        <v/>
      </c>
      <c r="E173" s="4"/>
      <c r="F173" s="4"/>
      <c r="G173" s="4" t="str">
        <f ca="1">IFERROR(_xludf.XLOOKUP(F173,Ustawienia!$H$4:$H$8,Ustawienia!$I$4:$I$8),"")</f>
        <v/>
      </c>
      <c r="H173" s="4"/>
      <c r="I173" s="4"/>
    </row>
    <row r="174" spans="1:9" x14ac:dyDescent="0.25">
      <c r="A174" s="4"/>
      <c r="B174" s="4" t="str">
        <f ca="1">IFERROR(_xludf.XLOOKUP(A174,Pracownicy!$A$2:$A$501,Pracownicy!$B$2:$B$501),"")</f>
        <v/>
      </c>
      <c r="C174" s="4"/>
      <c r="D174" s="4" t="str">
        <f ca="1">IFERROR(_xludf.XLOOKUP(A174,Milestones!$A$2:$A$501,Milestones!$C$2:$C$501),"")</f>
        <v/>
      </c>
      <c r="E174" s="4"/>
      <c r="F174" s="4"/>
      <c r="G174" s="4" t="str">
        <f ca="1">IFERROR(_xludf.XLOOKUP(F174,Ustawienia!$H$4:$H$8,Ustawienia!$I$4:$I$8),"")</f>
        <v/>
      </c>
      <c r="H174" s="4"/>
      <c r="I174" s="4"/>
    </row>
    <row r="175" spans="1:9" x14ac:dyDescent="0.25">
      <c r="A175" s="4"/>
      <c r="B175" s="4" t="str">
        <f ca="1">IFERROR(_xludf.XLOOKUP(A175,Pracownicy!$A$2:$A$501,Pracownicy!$B$2:$B$501),"")</f>
        <v/>
      </c>
      <c r="C175" s="4"/>
      <c r="D175" s="4" t="str">
        <f ca="1">IFERROR(_xludf.XLOOKUP(A175,Milestones!$A$2:$A$501,Milestones!$C$2:$C$501),"")</f>
        <v/>
      </c>
      <c r="E175" s="4"/>
      <c r="F175" s="4"/>
      <c r="G175" s="4" t="str">
        <f ca="1">IFERROR(_xludf.XLOOKUP(F175,Ustawienia!$H$4:$H$8,Ustawienia!$I$4:$I$8),"")</f>
        <v/>
      </c>
      <c r="H175" s="4"/>
      <c r="I175" s="4"/>
    </row>
    <row r="176" spans="1:9" x14ac:dyDescent="0.25">
      <c r="A176" s="4"/>
      <c r="B176" s="4" t="str">
        <f ca="1">IFERROR(_xludf.XLOOKUP(A176,Pracownicy!$A$2:$A$501,Pracownicy!$B$2:$B$501),"")</f>
        <v/>
      </c>
      <c r="C176" s="4"/>
      <c r="D176" s="4" t="str">
        <f ca="1">IFERROR(_xludf.XLOOKUP(A176,Milestones!$A$2:$A$501,Milestones!$C$2:$C$501),"")</f>
        <v/>
      </c>
      <c r="E176" s="4"/>
      <c r="F176" s="4"/>
      <c r="G176" s="4" t="str">
        <f ca="1">IFERROR(_xludf.XLOOKUP(F176,Ustawienia!$H$4:$H$8,Ustawienia!$I$4:$I$8),"")</f>
        <v/>
      </c>
      <c r="H176" s="4"/>
      <c r="I176" s="4"/>
    </row>
    <row r="177" spans="1:9" x14ac:dyDescent="0.25">
      <c r="A177" s="4"/>
      <c r="B177" s="4" t="str">
        <f ca="1">IFERROR(_xludf.XLOOKUP(A177,Pracownicy!$A$2:$A$501,Pracownicy!$B$2:$B$501),"")</f>
        <v/>
      </c>
      <c r="C177" s="4"/>
      <c r="D177" s="4" t="str">
        <f ca="1">IFERROR(_xludf.XLOOKUP(A177,Milestones!$A$2:$A$501,Milestones!$C$2:$C$501),"")</f>
        <v/>
      </c>
      <c r="E177" s="4"/>
      <c r="F177" s="4"/>
      <c r="G177" s="4" t="str">
        <f ca="1">IFERROR(_xludf.XLOOKUP(F177,Ustawienia!$H$4:$H$8,Ustawienia!$I$4:$I$8),"")</f>
        <v/>
      </c>
      <c r="H177" s="4"/>
      <c r="I177" s="4"/>
    </row>
    <row r="178" spans="1:9" x14ac:dyDescent="0.25">
      <c r="A178" s="4"/>
      <c r="B178" s="4" t="str">
        <f ca="1">IFERROR(_xludf.XLOOKUP(A178,Pracownicy!$A$2:$A$501,Pracownicy!$B$2:$B$501),"")</f>
        <v/>
      </c>
      <c r="C178" s="4"/>
      <c r="D178" s="4" t="str">
        <f ca="1">IFERROR(_xludf.XLOOKUP(A178,Milestones!$A$2:$A$501,Milestones!$C$2:$C$501),"")</f>
        <v/>
      </c>
      <c r="E178" s="4"/>
      <c r="F178" s="4"/>
      <c r="G178" s="4" t="str">
        <f ca="1">IFERROR(_xludf.XLOOKUP(F178,Ustawienia!$H$4:$H$8,Ustawienia!$I$4:$I$8),"")</f>
        <v/>
      </c>
      <c r="H178" s="4"/>
      <c r="I178" s="4"/>
    </row>
    <row r="179" spans="1:9" x14ac:dyDescent="0.25">
      <c r="A179" s="4"/>
      <c r="B179" s="4" t="str">
        <f ca="1">IFERROR(_xludf.XLOOKUP(A179,Pracownicy!$A$2:$A$501,Pracownicy!$B$2:$B$501),"")</f>
        <v/>
      </c>
      <c r="C179" s="4"/>
      <c r="D179" s="4" t="str">
        <f ca="1">IFERROR(_xludf.XLOOKUP(A179,Milestones!$A$2:$A$501,Milestones!$C$2:$C$501),"")</f>
        <v/>
      </c>
      <c r="E179" s="4"/>
      <c r="F179" s="4"/>
      <c r="G179" s="4" t="str">
        <f ca="1">IFERROR(_xludf.XLOOKUP(F179,Ustawienia!$H$4:$H$8,Ustawienia!$I$4:$I$8),"")</f>
        <v/>
      </c>
      <c r="H179" s="4"/>
      <c r="I179" s="4"/>
    </row>
    <row r="180" spans="1:9" x14ac:dyDescent="0.25">
      <c r="A180" s="4"/>
      <c r="B180" s="4" t="str">
        <f ca="1">IFERROR(_xludf.XLOOKUP(A180,Pracownicy!$A$2:$A$501,Pracownicy!$B$2:$B$501),"")</f>
        <v/>
      </c>
      <c r="C180" s="4"/>
      <c r="D180" s="4" t="str">
        <f ca="1">IFERROR(_xludf.XLOOKUP(A180,Milestones!$A$2:$A$501,Milestones!$C$2:$C$501),"")</f>
        <v/>
      </c>
      <c r="E180" s="4"/>
      <c r="F180" s="4"/>
      <c r="G180" s="4" t="str">
        <f ca="1">IFERROR(_xludf.XLOOKUP(F180,Ustawienia!$H$4:$H$8,Ustawienia!$I$4:$I$8),"")</f>
        <v/>
      </c>
      <c r="H180" s="4"/>
      <c r="I180" s="4"/>
    </row>
    <row r="181" spans="1:9" x14ac:dyDescent="0.25">
      <c r="A181" s="4"/>
      <c r="B181" s="4" t="str">
        <f ca="1">IFERROR(_xludf.XLOOKUP(A181,Pracownicy!$A$2:$A$501,Pracownicy!$B$2:$B$501),"")</f>
        <v/>
      </c>
      <c r="C181" s="4"/>
      <c r="D181" s="4" t="str">
        <f ca="1">IFERROR(_xludf.XLOOKUP(A181,Milestones!$A$2:$A$501,Milestones!$C$2:$C$501),"")</f>
        <v/>
      </c>
      <c r="E181" s="4"/>
      <c r="F181" s="4"/>
      <c r="G181" s="4" t="str">
        <f ca="1">IFERROR(_xludf.XLOOKUP(F181,Ustawienia!$H$4:$H$8,Ustawienia!$I$4:$I$8),"")</f>
        <v/>
      </c>
      <c r="H181" s="4"/>
      <c r="I181" s="4"/>
    </row>
    <row r="182" spans="1:9" x14ac:dyDescent="0.25">
      <c r="A182" s="4"/>
      <c r="B182" s="4" t="str">
        <f ca="1">IFERROR(_xludf.XLOOKUP(A182,Pracownicy!$A$2:$A$501,Pracownicy!$B$2:$B$501),"")</f>
        <v/>
      </c>
      <c r="C182" s="4"/>
      <c r="D182" s="4" t="str">
        <f ca="1">IFERROR(_xludf.XLOOKUP(A182,Milestones!$A$2:$A$501,Milestones!$C$2:$C$501),"")</f>
        <v/>
      </c>
      <c r="E182" s="4"/>
      <c r="F182" s="4"/>
      <c r="G182" s="4" t="str">
        <f ca="1">IFERROR(_xludf.XLOOKUP(F182,Ustawienia!$H$4:$H$8,Ustawienia!$I$4:$I$8),"")</f>
        <v/>
      </c>
      <c r="H182" s="4"/>
      <c r="I182" s="4"/>
    </row>
    <row r="183" spans="1:9" x14ac:dyDescent="0.25">
      <c r="A183" s="4"/>
      <c r="B183" s="4" t="str">
        <f ca="1">IFERROR(_xludf.XLOOKUP(A183,Pracownicy!$A$2:$A$501,Pracownicy!$B$2:$B$501),"")</f>
        <v/>
      </c>
      <c r="C183" s="4"/>
      <c r="D183" s="4" t="str">
        <f ca="1">IFERROR(_xludf.XLOOKUP(A183,Milestones!$A$2:$A$501,Milestones!$C$2:$C$501),"")</f>
        <v/>
      </c>
      <c r="E183" s="4"/>
      <c r="F183" s="4"/>
      <c r="G183" s="4" t="str">
        <f ca="1">IFERROR(_xludf.XLOOKUP(F183,Ustawienia!$H$4:$H$8,Ustawienia!$I$4:$I$8),"")</f>
        <v/>
      </c>
      <c r="H183" s="4"/>
      <c r="I183" s="4"/>
    </row>
    <row r="184" spans="1:9" x14ac:dyDescent="0.25">
      <c r="A184" s="4"/>
      <c r="B184" s="4" t="str">
        <f ca="1">IFERROR(_xludf.XLOOKUP(A184,Pracownicy!$A$2:$A$501,Pracownicy!$B$2:$B$501),"")</f>
        <v/>
      </c>
      <c r="C184" s="4"/>
      <c r="D184" s="4" t="str">
        <f ca="1">IFERROR(_xludf.XLOOKUP(A184,Milestones!$A$2:$A$501,Milestones!$C$2:$C$501),"")</f>
        <v/>
      </c>
      <c r="E184" s="4"/>
      <c r="F184" s="4"/>
      <c r="G184" s="4" t="str">
        <f ca="1">IFERROR(_xludf.XLOOKUP(F184,Ustawienia!$H$4:$H$8,Ustawienia!$I$4:$I$8),"")</f>
        <v/>
      </c>
      <c r="H184" s="4"/>
      <c r="I184" s="4"/>
    </row>
    <row r="185" spans="1:9" x14ac:dyDescent="0.25">
      <c r="A185" s="4"/>
      <c r="B185" s="4" t="str">
        <f ca="1">IFERROR(_xludf.XLOOKUP(A185,Pracownicy!$A$2:$A$501,Pracownicy!$B$2:$B$501),"")</f>
        <v/>
      </c>
      <c r="C185" s="4"/>
      <c r="D185" s="4" t="str">
        <f ca="1">IFERROR(_xludf.XLOOKUP(A185,Milestones!$A$2:$A$501,Milestones!$C$2:$C$501),"")</f>
        <v/>
      </c>
      <c r="E185" s="4"/>
      <c r="F185" s="4"/>
      <c r="G185" s="4" t="str">
        <f ca="1">IFERROR(_xludf.XLOOKUP(F185,Ustawienia!$H$4:$H$8,Ustawienia!$I$4:$I$8),"")</f>
        <v/>
      </c>
      <c r="H185" s="4"/>
      <c r="I185" s="4"/>
    </row>
    <row r="186" spans="1:9" x14ac:dyDescent="0.25">
      <c r="A186" s="4"/>
      <c r="B186" s="4" t="str">
        <f ca="1">IFERROR(_xludf.XLOOKUP(A186,Pracownicy!$A$2:$A$501,Pracownicy!$B$2:$B$501),"")</f>
        <v/>
      </c>
      <c r="C186" s="4"/>
      <c r="D186" s="4" t="str">
        <f ca="1">IFERROR(_xludf.XLOOKUP(A186,Milestones!$A$2:$A$501,Milestones!$C$2:$C$501),"")</f>
        <v/>
      </c>
      <c r="E186" s="4"/>
      <c r="F186" s="4"/>
      <c r="G186" s="4" t="str">
        <f ca="1">IFERROR(_xludf.XLOOKUP(F186,Ustawienia!$H$4:$H$8,Ustawienia!$I$4:$I$8),"")</f>
        <v/>
      </c>
      <c r="H186" s="4"/>
      <c r="I186" s="4"/>
    </row>
    <row r="187" spans="1:9" x14ac:dyDescent="0.25">
      <c r="A187" s="4"/>
      <c r="B187" s="4" t="str">
        <f ca="1">IFERROR(_xludf.XLOOKUP(A187,Pracownicy!$A$2:$A$501,Pracownicy!$B$2:$B$501),"")</f>
        <v/>
      </c>
      <c r="C187" s="4"/>
      <c r="D187" s="4" t="str">
        <f ca="1">IFERROR(_xludf.XLOOKUP(A187,Milestones!$A$2:$A$501,Milestones!$C$2:$C$501),"")</f>
        <v/>
      </c>
      <c r="E187" s="4"/>
      <c r="F187" s="4"/>
      <c r="G187" s="4" t="str">
        <f ca="1">IFERROR(_xludf.XLOOKUP(F187,Ustawienia!$H$4:$H$8,Ustawienia!$I$4:$I$8),"")</f>
        <v/>
      </c>
      <c r="H187" s="4"/>
      <c r="I187" s="4"/>
    </row>
    <row r="188" spans="1:9" x14ac:dyDescent="0.25">
      <c r="A188" s="4"/>
      <c r="B188" s="4" t="str">
        <f ca="1">IFERROR(_xludf.XLOOKUP(A188,Pracownicy!$A$2:$A$501,Pracownicy!$B$2:$B$501),"")</f>
        <v/>
      </c>
      <c r="C188" s="4"/>
      <c r="D188" s="4" t="str">
        <f ca="1">IFERROR(_xludf.XLOOKUP(A188,Milestones!$A$2:$A$501,Milestones!$C$2:$C$501),"")</f>
        <v/>
      </c>
      <c r="E188" s="4"/>
      <c r="F188" s="4"/>
      <c r="G188" s="4" t="str">
        <f ca="1">IFERROR(_xludf.XLOOKUP(F188,Ustawienia!$H$4:$H$8,Ustawienia!$I$4:$I$8),"")</f>
        <v/>
      </c>
      <c r="H188" s="4"/>
      <c r="I188" s="4"/>
    </row>
    <row r="189" spans="1:9" x14ac:dyDescent="0.25">
      <c r="A189" s="4"/>
      <c r="B189" s="4" t="str">
        <f ca="1">IFERROR(_xludf.XLOOKUP(A189,Pracownicy!$A$2:$A$501,Pracownicy!$B$2:$B$501),"")</f>
        <v/>
      </c>
      <c r="C189" s="4"/>
      <c r="D189" s="4" t="str">
        <f ca="1">IFERROR(_xludf.XLOOKUP(A189,Milestones!$A$2:$A$501,Milestones!$C$2:$C$501),"")</f>
        <v/>
      </c>
      <c r="E189" s="4"/>
      <c r="F189" s="4"/>
      <c r="G189" s="4" t="str">
        <f ca="1">IFERROR(_xludf.XLOOKUP(F189,Ustawienia!$H$4:$H$8,Ustawienia!$I$4:$I$8),"")</f>
        <v/>
      </c>
      <c r="H189" s="4"/>
      <c r="I189" s="4"/>
    </row>
    <row r="190" spans="1:9" x14ac:dyDescent="0.25">
      <c r="A190" s="4"/>
      <c r="B190" s="4" t="str">
        <f ca="1">IFERROR(_xludf.XLOOKUP(A190,Pracownicy!$A$2:$A$501,Pracownicy!$B$2:$B$501),"")</f>
        <v/>
      </c>
      <c r="C190" s="4"/>
      <c r="D190" s="4" t="str">
        <f ca="1">IFERROR(_xludf.XLOOKUP(A190,Milestones!$A$2:$A$501,Milestones!$C$2:$C$501),"")</f>
        <v/>
      </c>
      <c r="E190" s="4"/>
      <c r="F190" s="4"/>
      <c r="G190" s="4" t="str">
        <f ca="1">IFERROR(_xludf.XLOOKUP(F190,Ustawienia!$H$4:$H$8,Ustawienia!$I$4:$I$8),"")</f>
        <v/>
      </c>
      <c r="H190" s="4"/>
      <c r="I190" s="4"/>
    </row>
    <row r="191" spans="1:9" x14ac:dyDescent="0.25">
      <c r="A191" s="4"/>
      <c r="B191" s="4" t="str">
        <f ca="1">IFERROR(_xludf.XLOOKUP(A191,Pracownicy!$A$2:$A$501,Pracownicy!$B$2:$B$501),"")</f>
        <v/>
      </c>
      <c r="C191" s="4"/>
      <c r="D191" s="4" t="str">
        <f ca="1">IFERROR(_xludf.XLOOKUP(A191,Milestones!$A$2:$A$501,Milestones!$C$2:$C$501),"")</f>
        <v/>
      </c>
      <c r="E191" s="4"/>
      <c r="F191" s="4"/>
      <c r="G191" s="4" t="str">
        <f ca="1">IFERROR(_xludf.XLOOKUP(F191,Ustawienia!$H$4:$H$8,Ustawienia!$I$4:$I$8),"")</f>
        <v/>
      </c>
      <c r="H191" s="4"/>
      <c r="I191" s="4"/>
    </row>
    <row r="192" spans="1:9" x14ac:dyDescent="0.25">
      <c r="A192" s="4"/>
      <c r="B192" s="4" t="str">
        <f ca="1">IFERROR(_xludf.XLOOKUP(A192,Pracownicy!$A$2:$A$501,Pracownicy!$B$2:$B$501),"")</f>
        <v/>
      </c>
      <c r="C192" s="4"/>
      <c r="D192" s="4" t="str">
        <f ca="1">IFERROR(_xludf.XLOOKUP(A192,Milestones!$A$2:$A$501,Milestones!$C$2:$C$501),"")</f>
        <v/>
      </c>
      <c r="E192" s="4"/>
      <c r="F192" s="4"/>
      <c r="G192" s="4" t="str">
        <f ca="1">IFERROR(_xludf.XLOOKUP(F192,Ustawienia!$H$4:$H$8,Ustawienia!$I$4:$I$8),"")</f>
        <v/>
      </c>
      <c r="H192" s="4"/>
      <c r="I192" s="4"/>
    </row>
    <row r="193" spans="1:9" x14ac:dyDescent="0.25">
      <c r="A193" s="4"/>
      <c r="B193" s="4" t="str">
        <f ca="1">IFERROR(_xludf.XLOOKUP(A193,Pracownicy!$A$2:$A$501,Pracownicy!$B$2:$B$501),"")</f>
        <v/>
      </c>
      <c r="C193" s="4"/>
      <c r="D193" s="4" t="str">
        <f ca="1">IFERROR(_xludf.XLOOKUP(A193,Milestones!$A$2:$A$501,Milestones!$C$2:$C$501),"")</f>
        <v/>
      </c>
      <c r="E193" s="4"/>
      <c r="F193" s="4"/>
      <c r="G193" s="4" t="str">
        <f ca="1">IFERROR(_xludf.XLOOKUP(F193,Ustawienia!$H$4:$H$8,Ustawienia!$I$4:$I$8),"")</f>
        <v/>
      </c>
      <c r="H193" s="4"/>
      <c r="I193" s="4"/>
    </row>
    <row r="194" spans="1:9" x14ac:dyDescent="0.25">
      <c r="A194" s="4"/>
      <c r="B194" s="4" t="str">
        <f ca="1">IFERROR(_xludf.XLOOKUP(A194,Pracownicy!$A$2:$A$501,Pracownicy!$B$2:$B$501),"")</f>
        <v/>
      </c>
      <c r="C194" s="4"/>
      <c r="D194" s="4" t="str">
        <f ca="1">IFERROR(_xludf.XLOOKUP(A194,Milestones!$A$2:$A$501,Milestones!$C$2:$C$501),"")</f>
        <v/>
      </c>
      <c r="E194" s="4"/>
      <c r="F194" s="4"/>
      <c r="G194" s="4" t="str">
        <f ca="1">IFERROR(_xludf.XLOOKUP(F194,Ustawienia!$H$4:$H$8,Ustawienia!$I$4:$I$8),"")</f>
        <v/>
      </c>
      <c r="H194" s="4"/>
      <c r="I194" s="4"/>
    </row>
    <row r="195" spans="1:9" x14ac:dyDescent="0.25">
      <c r="A195" s="4"/>
      <c r="B195" s="4" t="str">
        <f ca="1">IFERROR(_xludf.XLOOKUP(A195,Pracownicy!$A$2:$A$501,Pracownicy!$B$2:$B$501),"")</f>
        <v/>
      </c>
      <c r="C195" s="4"/>
      <c r="D195" s="4" t="str">
        <f ca="1">IFERROR(_xludf.XLOOKUP(A195,Milestones!$A$2:$A$501,Milestones!$C$2:$C$501),"")</f>
        <v/>
      </c>
      <c r="E195" s="4"/>
      <c r="F195" s="4"/>
      <c r="G195" s="4" t="str">
        <f ca="1">IFERROR(_xludf.XLOOKUP(F195,Ustawienia!$H$4:$H$8,Ustawienia!$I$4:$I$8),"")</f>
        <v/>
      </c>
      <c r="H195" s="4"/>
      <c r="I195" s="4"/>
    </row>
    <row r="196" spans="1:9" x14ac:dyDescent="0.25">
      <c r="A196" s="4"/>
      <c r="B196" s="4" t="str">
        <f ca="1">IFERROR(_xludf.XLOOKUP(A196,Pracownicy!$A$2:$A$501,Pracownicy!$B$2:$B$501),"")</f>
        <v/>
      </c>
      <c r="C196" s="4"/>
      <c r="D196" s="4" t="str">
        <f ca="1">IFERROR(_xludf.XLOOKUP(A196,Milestones!$A$2:$A$501,Milestones!$C$2:$C$501),"")</f>
        <v/>
      </c>
      <c r="E196" s="4"/>
      <c r="F196" s="4"/>
      <c r="G196" s="4" t="str">
        <f ca="1">IFERROR(_xludf.XLOOKUP(F196,Ustawienia!$H$4:$H$8,Ustawienia!$I$4:$I$8),"")</f>
        <v/>
      </c>
      <c r="H196" s="4"/>
      <c r="I196" s="4"/>
    </row>
    <row r="197" spans="1:9" x14ac:dyDescent="0.25">
      <c r="A197" s="4"/>
      <c r="B197" s="4" t="str">
        <f ca="1">IFERROR(_xludf.XLOOKUP(A197,Pracownicy!$A$2:$A$501,Pracownicy!$B$2:$B$501),"")</f>
        <v/>
      </c>
      <c r="C197" s="4"/>
      <c r="D197" s="4" t="str">
        <f ca="1">IFERROR(_xludf.XLOOKUP(A197,Milestones!$A$2:$A$501,Milestones!$C$2:$C$501),"")</f>
        <v/>
      </c>
      <c r="E197" s="4"/>
      <c r="F197" s="4"/>
      <c r="G197" s="4" t="str">
        <f ca="1">IFERROR(_xludf.XLOOKUP(F197,Ustawienia!$H$4:$H$8,Ustawienia!$I$4:$I$8),"")</f>
        <v/>
      </c>
      <c r="H197" s="4"/>
      <c r="I197" s="4"/>
    </row>
    <row r="198" spans="1:9" x14ac:dyDescent="0.25">
      <c r="A198" s="4"/>
      <c r="B198" s="4" t="str">
        <f ca="1">IFERROR(_xludf.XLOOKUP(A198,Pracownicy!$A$2:$A$501,Pracownicy!$B$2:$B$501),"")</f>
        <v/>
      </c>
      <c r="C198" s="4"/>
      <c r="D198" s="4" t="str">
        <f ca="1">IFERROR(_xludf.XLOOKUP(A198,Milestones!$A$2:$A$501,Milestones!$C$2:$C$501),"")</f>
        <v/>
      </c>
      <c r="E198" s="4"/>
      <c r="F198" s="4"/>
      <c r="G198" s="4" t="str">
        <f ca="1">IFERROR(_xludf.XLOOKUP(F198,Ustawienia!$H$4:$H$8,Ustawienia!$I$4:$I$8),"")</f>
        <v/>
      </c>
      <c r="H198" s="4"/>
      <c r="I198" s="4"/>
    </row>
    <row r="199" spans="1:9" x14ac:dyDescent="0.25">
      <c r="A199" s="4"/>
      <c r="B199" s="4" t="str">
        <f ca="1">IFERROR(_xludf.XLOOKUP(A199,Pracownicy!$A$2:$A$501,Pracownicy!$B$2:$B$501),"")</f>
        <v/>
      </c>
      <c r="C199" s="4"/>
      <c r="D199" s="4" t="str">
        <f ca="1">IFERROR(_xludf.XLOOKUP(A199,Milestones!$A$2:$A$501,Milestones!$C$2:$C$501),"")</f>
        <v/>
      </c>
      <c r="E199" s="4"/>
      <c r="F199" s="4"/>
      <c r="G199" s="4" t="str">
        <f ca="1">IFERROR(_xludf.XLOOKUP(F199,Ustawienia!$H$4:$H$8,Ustawienia!$I$4:$I$8),"")</f>
        <v/>
      </c>
      <c r="H199" s="4"/>
      <c r="I199" s="4"/>
    </row>
    <row r="200" spans="1:9" x14ac:dyDescent="0.25">
      <c r="A200" s="4"/>
      <c r="B200" s="4" t="str">
        <f ca="1">IFERROR(_xludf.XLOOKUP(A200,Pracownicy!$A$2:$A$501,Pracownicy!$B$2:$B$501),"")</f>
        <v/>
      </c>
      <c r="C200" s="4"/>
      <c r="D200" s="4" t="str">
        <f ca="1">IFERROR(_xludf.XLOOKUP(A200,Milestones!$A$2:$A$501,Milestones!$C$2:$C$501),"")</f>
        <v/>
      </c>
      <c r="E200" s="4"/>
      <c r="F200" s="4"/>
      <c r="G200" s="4" t="str">
        <f ca="1">IFERROR(_xludf.XLOOKUP(F200,Ustawienia!$H$4:$H$8,Ustawienia!$I$4:$I$8),"")</f>
        <v/>
      </c>
      <c r="H200" s="4"/>
      <c r="I200" s="4"/>
    </row>
    <row r="201" spans="1:9" x14ac:dyDescent="0.25">
      <c r="A201" s="4"/>
      <c r="B201" s="4" t="str">
        <f ca="1">IFERROR(_xludf.XLOOKUP(A201,Pracownicy!$A$2:$A$501,Pracownicy!$B$2:$B$501),"")</f>
        <v/>
      </c>
      <c r="C201" s="4"/>
      <c r="D201" s="4" t="str">
        <f ca="1">IFERROR(_xludf.XLOOKUP(A201,Milestones!$A$2:$A$501,Milestones!$C$2:$C$501),"")</f>
        <v/>
      </c>
      <c r="E201" s="4"/>
      <c r="F201" s="4"/>
      <c r="G201" s="4" t="str">
        <f ca="1">IFERROR(_xludf.XLOOKUP(F201,Ustawienia!$H$4:$H$8,Ustawienia!$I$4:$I$8),"")</f>
        <v/>
      </c>
      <c r="H201" s="4"/>
      <c r="I201" s="4"/>
    </row>
    <row r="202" spans="1:9" x14ac:dyDescent="0.25">
      <c r="A202" s="4"/>
      <c r="B202" s="4" t="str">
        <f ca="1">IFERROR(_xludf.XLOOKUP(A202,Pracownicy!$A$2:$A$501,Pracownicy!$B$2:$B$501),"")</f>
        <v/>
      </c>
      <c r="C202" s="4"/>
      <c r="D202" s="4" t="str">
        <f ca="1">IFERROR(_xludf.XLOOKUP(A202,Milestones!$A$2:$A$501,Milestones!$C$2:$C$501),"")</f>
        <v/>
      </c>
      <c r="E202" s="4"/>
      <c r="F202" s="4"/>
      <c r="G202" s="4" t="str">
        <f ca="1">IFERROR(_xludf.XLOOKUP(F202,Ustawienia!$H$4:$H$8,Ustawienia!$I$4:$I$8),"")</f>
        <v/>
      </c>
      <c r="H202" s="4"/>
      <c r="I202" s="4"/>
    </row>
    <row r="203" spans="1:9" x14ac:dyDescent="0.25">
      <c r="A203" s="4"/>
      <c r="B203" s="4" t="str">
        <f ca="1">IFERROR(_xludf.XLOOKUP(A203,Pracownicy!$A$2:$A$501,Pracownicy!$B$2:$B$501),"")</f>
        <v/>
      </c>
      <c r="C203" s="4"/>
      <c r="D203" s="4" t="str">
        <f ca="1">IFERROR(_xludf.XLOOKUP(A203,Milestones!$A$2:$A$501,Milestones!$C$2:$C$501),"")</f>
        <v/>
      </c>
      <c r="E203" s="4"/>
      <c r="F203" s="4"/>
      <c r="G203" s="4" t="str">
        <f ca="1">IFERROR(_xludf.XLOOKUP(F203,Ustawienia!$H$4:$H$8,Ustawienia!$I$4:$I$8),"")</f>
        <v/>
      </c>
      <c r="H203" s="4"/>
      <c r="I203" s="4"/>
    </row>
    <row r="204" spans="1:9" x14ac:dyDescent="0.25">
      <c r="A204" s="4"/>
      <c r="B204" s="4" t="str">
        <f ca="1">IFERROR(_xludf.XLOOKUP(A204,Pracownicy!$A$2:$A$501,Pracownicy!$B$2:$B$501),"")</f>
        <v/>
      </c>
      <c r="C204" s="4"/>
      <c r="D204" s="4" t="str">
        <f ca="1">IFERROR(_xludf.XLOOKUP(A204,Milestones!$A$2:$A$501,Milestones!$C$2:$C$501),"")</f>
        <v/>
      </c>
      <c r="E204" s="4"/>
      <c r="F204" s="4"/>
      <c r="G204" s="4" t="str">
        <f ca="1">IFERROR(_xludf.XLOOKUP(F204,Ustawienia!$H$4:$H$8,Ustawienia!$I$4:$I$8),"")</f>
        <v/>
      </c>
      <c r="H204" s="4"/>
      <c r="I204" s="4"/>
    </row>
    <row r="205" spans="1:9" x14ac:dyDescent="0.25">
      <c r="A205" s="4"/>
      <c r="B205" s="4" t="str">
        <f ca="1">IFERROR(_xludf.XLOOKUP(A205,Pracownicy!$A$2:$A$501,Pracownicy!$B$2:$B$501),"")</f>
        <v/>
      </c>
      <c r="C205" s="4"/>
      <c r="D205" s="4" t="str">
        <f ca="1">IFERROR(_xludf.XLOOKUP(A205,Milestones!$A$2:$A$501,Milestones!$C$2:$C$501),"")</f>
        <v/>
      </c>
      <c r="E205" s="4"/>
      <c r="F205" s="4"/>
      <c r="G205" s="4" t="str">
        <f ca="1">IFERROR(_xludf.XLOOKUP(F205,Ustawienia!$H$4:$H$8,Ustawienia!$I$4:$I$8),"")</f>
        <v/>
      </c>
      <c r="H205" s="4"/>
      <c r="I205" s="4"/>
    </row>
    <row r="206" spans="1:9" x14ac:dyDescent="0.25">
      <c r="A206" s="4"/>
      <c r="B206" s="4" t="str">
        <f ca="1">IFERROR(_xludf.XLOOKUP(A206,Pracownicy!$A$2:$A$501,Pracownicy!$B$2:$B$501),"")</f>
        <v/>
      </c>
      <c r="C206" s="4"/>
      <c r="D206" s="4" t="str">
        <f ca="1">IFERROR(_xludf.XLOOKUP(A206,Milestones!$A$2:$A$501,Milestones!$C$2:$C$501),"")</f>
        <v/>
      </c>
      <c r="E206" s="4"/>
      <c r="F206" s="4"/>
      <c r="G206" s="4" t="str">
        <f ca="1">IFERROR(_xludf.XLOOKUP(F206,Ustawienia!$H$4:$H$8,Ustawienia!$I$4:$I$8),"")</f>
        <v/>
      </c>
      <c r="H206" s="4"/>
      <c r="I206" s="4"/>
    </row>
    <row r="207" spans="1:9" x14ac:dyDescent="0.25">
      <c r="A207" s="4"/>
      <c r="B207" s="4" t="str">
        <f ca="1">IFERROR(_xludf.XLOOKUP(A207,Pracownicy!$A$2:$A$501,Pracownicy!$B$2:$B$501),"")</f>
        <v/>
      </c>
      <c r="C207" s="4"/>
      <c r="D207" s="4" t="str">
        <f ca="1">IFERROR(_xludf.XLOOKUP(A207,Milestones!$A$2:$A$501,Milestones!$C$2:$C$501),"")</f>
        <v/>
      </c>
      <c r="E207" s="4"/>
      <c r="F207" s="4"/>
      <c r="G207" s="4" t="str">
        <f ca="1">IFERROR(_xludf.XLOOKUP(F207,Ustawienia!$H$4:$H$8,Ustawienia!$I$4:$I$8),"")</f>
        <v/>
      </c>
      <c r="H207" s="4"/>
      <c r="I207" s="4"/>
    </row>
    <row r="208" spans="1:9" x14ac:dyDescent="0.25">
      <c r="A208" s="4"/>
      <c r="B208" s="4" t="str">
        <f ca="1">IFERROR(_xludf.XLOOKUP(A208,Pracownicy!$A$2:$A$501,Pracownicy!$B$2:$B$501),"")</f>
        <v/>
      </c>
      <c r="C208" s="4"/>
      <c r="D208" s="4" t="str">
        <f ca="1">IFERROR(_xludf.XLOOKUP(A208,Milestones!$A$2:$A$501,Milestones!$C$2:$C$501),"")</f>
        <v/>
      </c>
      <c r="E208" s="4"/>
      <c r="F208" s="4"/>
      <c r="G208" s="4" t="str">
        <f ca="1">IFERROR(_xludf.XLOOKUP(F208,Ustawienia!$H$4:$H$8,Ustawienia!$I$4:$I$8),"")</f>
        <v/>
      </c>
      <c r="H208" s="4"/>
      <c r="I208" s="4"/>
    </row>
    <row r="209" spans="1:9" x14ac:dyDescent="0.25">
      <c r="A209" s="4"/>
      <c r="B209" s="4" t="str">
        <f ca="1">IFERROR(_xludf.XLOOKUP(A209,Pracownicy!$A$2:$A$501,Pracownicy!$B$2:$B$501),"")</f>
        <v/>
      </c>
      <c r="C209" s="4"/>
      <c r="D209" s="4" t="str">
        <f ca="1">IFERROR(_xludf.XLOOKUP(A209,Milestones!$A$2:$A$501,Milestones!$C$2:$C$501),"")</f>
        <v/>
      </c>
      <c r="E209" s="4"/>
      <c r="F209" s="4"/>
      <c r="G209" s="4" t="str">
        <f ca="1">IFERROR(_xludf.XLOOKUP(F209,Ustawienia!$H$4:$H$8,Ustawienia!$I$4:$I$8),"")</f>
        <v/>
      </c>
      <c r="H209" s="4"/>
      <c r="I209" s="4"/>
    </row>
    <row r="210" spans="1:9" x14ac:dyDescent="0.25">
      <c r="A210" s="4"/>
      <c r="B210" s="4" t="str">
        <f ca="1">IFERROR(_xludf.XLOOKUP(A210,Pracownicy!$A$2:$A$501,Pracownicy!$B$2:$B$501),"")</f>
        <v/>
      </c>
      <c r="C210" s="4"/>
      <c r="D210" s="4" t="str">
        <f ca="1">IFERROR(_xludf.XLOOKUP(A210,Milestones!$A$2:$A$501,Milestones!$C$2:$C$501),"")</f>
        <v/>
      </c>
      <c r="E210" s="4"/>
      <c r="F210" s="4"/>
      <c r="G210" s="4" t="str">
        <f ca="1">IFERROR(_xludf.XLOOKUP(F210,Ustawienia!$H$4:$H$8,Ustawienia!$I$4:$I$8),"")</f>
        <v/>
      </c>
      <c r="H210" s="4"/>
      <c r="I210" s="4"/>
    </row>
    <row r="211" spans="1:9" x14ac:dyDescent="0.25">
      <c r="A211" s="4"/>
      <c r="B211" s="4" t="str">
        <f ca="1">IFERROR(_xludf.XLOOKUP(A211,Pracownicy!$A$2:$A$501,Pracownicy!$B$2:$B$501),"")</f>
        <v/>
      </c>
      <c r="C211" s="4"/>
      <c r="D211" s="4" t="str">
        <f ca="1">IFERROR(_xludf.XLOOKUP(A211,Milestones!$A$2:$A$501,Milestones!$C$2:$C$501),"")</f>
        <v/>
      </c>
      <c r="E211" s="4"/>
      <c r="F211" s="4"/>
      <c r="G211" s="4" t="str">
        <f ca="1">IFERROR(_xludf.XLOOKUP(F211,Ustawienia!$H$4:$H$8,Ustawienia!$I$4:$I$8),"")</f>
        <v/>
      </c>
      <c r="H211" s="4"/>
      <c r="I211" s="4"/>
    </row>
    <row r="212" spans="1:9" x14ac:dyDescent="0.25">
      <c r="A212" s="4"/>
      <c r="B212" s="4" t="str">
        <f ca="1">IFERROR(_xludf.XLOOKUP(A212,Pracownicy!$A$2:$A$501,Pracownicy!$B$2:$B$501),"")</f>
        <v/>
      </c>
      <c r="C212" s="4"/>
      <c r="D212" s="4" t="str">
        <f ca="1">IFERROR(_xludf.XLOOKUP(A212,Milestones!$A$2:$A$501,Milestones!$C$2:$C$501),"")</f>
        <v/>
      </c>
      <c r="E212" s="4"/>
      <c r="F212" s="4"/>
      <c r="G212" s="4" t="str">
        <f ca="1">IFERROR(_xludf.XLOOKUP(F212,Ustawienia!$H$4:$H$8,Ustawienia!$I$4:$I$8),"")</f>
        <v/>
      </c>
      <c r="H212" s="4"/>
      <c r="I212" s="4"/>
    </row>
    <row r="213" spans="1:9" x14ac:dyDescent="0.25">
      <c r="A213" s="4"/>
      <c r="B213" s="4" t="str">
        <f ca="1">IFERROR(_xludf.XLOOKUP(A213,Pracownicy!$A$2:$A$501,Pracownicy!$B$2:$B$501),"")</f>
        <v/>
      </c>
      <c r="C213" s="4"/>
      <c r="D213" s="4" t="str">
        <f ca="1">IFERROR(_xludf.XLOOKUP(A213,Milestones!$A$2:$A$501,Milestones!$C$2:$C$501),"")</f>
        <v/>
      </c>
      <c r="E213" s="4"/>
      <c r="F213" s="4"/>
      <c r="G213" s="4" t="str">
        <f ca="1">IFERROR(_xludf.XLOOKUP(F213,Ustawienia!$H$4:$H$8,Ustawienia!$I$4:$I$8),"")</f>
        <v/>
      </c>
      <c r="H213" s="4"/>
      <c r="I213" s="4"/>
    </row>
    <row r="214" spans="1:9" x14ac:dyDescent="0.25">
      <c r="A214" s="4"/>
      <c r="B214" s="4" t="str">
        <f ca="1">IFERROR(_xludf.XLOOKUP(A214,Pracownicy!$A$2:$A$501,Pracownicy!$B$2:$B$501),"")</f>
        <v/>
      </c>
      <c r="C214" s="4"/>
      <c r="D214" s="4" t="str">
        <f ca="1">IFERROR(_xludf.XLOOKUP(A214,Milestones!$A$2:$A$501,Milestones!$C$2:$C$501),"")</f>
        <v/>
      </c>
      <c r="E214" s="4"/>
      <c r="F214" s="4"/>
      <c r="G214" s="4" t="str">
        <f ca="1">IFERROR(_xludf.XLOOKUP(F214,Ustawienia!$H$4:$H$8,Ustawienia!$I$4:$I$8),"")</f>
        <v/>
      </c>
      <c r="H214" s="4"/>
      <c r="I214" s="4"/>
    </row>
    <row r="215" spans="1:9" x14ac:dyDescent="0.25">
      <c r="A215" s="4"/>
      <c r="B215" s="4" t="str">
        <f ca="1">IFERROR(_xludf.XLOOKUP(A215,Pracownicy!$A$2:$A$501,Pracownicy!$B$2:$B$501),"")</f>
        <v/>
      </c>
      <c r="C215" s="4"/>
      <c r="D215" s="4" t="str">
        <f ca="1">IFERROR(_xludf.XLOOKUP(A215,Milestones!$A$2:$A$501,Milestones!$C$2:$C$501),"")</f>
        <v/>
      </c>
      <c r="E215" s="4"/>
      <c r="F215" s="4"/>
      <c r="G215" s="4" t="str">
        <f ca="1">IFERROR(_xludf.XLOOKUP(F215,Ustawienia!$H$4:$H$8,Ustawienia!$I$4:$I$8),"")</f>
        <v/>
      </c>
      <c r="H215" s="4"/>
      <c r="I215" s="4"/>
    </row>
    <row r="216" spans="1:9" x14ac:dyDescent="0.25">
      <c r="A216" s="4"/>
      <c r="B216" s="4" t="str">
        <f ca="1">IFERROR(_xludf.XLOOKUP(A216,Pracownicy!$A$2:$A$501,Pracownicy!$B$2:$B$501),"")</f>
        <v/>
      </c>
      <c r="C216" s="4"/>
      <c r="D216" s="4" t="str">
        <f ca="1">IFERROR(_xludf.XLOOKUP(A216,Milestones!$A$2:$A$501,Milestones!$C$2:$C$501),"")</f>
        <v/>
      </c>
      <c r="E216" s="4"/>
      <c r="F216" s="4"/>
      <c r="G216" s="4" t="str">
        <f ca="1">IFERROR(_xludf.XLOOKUP(F216,Ustawienia!$H$4:$H$8,Ustawienia!$I$4:$I$8),"")</f>
        <v/>
      </c>
      <c r="H216" s="4"/>
      <c r="I216" s="4"/>
    </row>
    <row r="217" spans="1:9" x14ac:dyDescent="0.25">
      <c r="A217" s="4"/>
      <c r="B217" s="4" t="str">
        <f ca="1">IFERROR(_xludf.XLOOKUP(A217,Pracownicy!$A$2:$A$501,Pracownicy!$B$2:$B$501),"")</f>
        <v/>
      </c>
      <c r="C217" s="4"/>
      <c r="D217" s="4" t="str">
        <f ca="1">IFERROR(_xludf.XLOOKUP(A217,Milestones!$A$2:$A$501,Milestones!$C$2:$C$501),"")</f>
        <v/>
      </c>
      <c r="E217" s="4"/>
      <c r="F217" s="4"/>
      <c r="G217" s="4" t="str">
        <f ca="1">IFERROR(_xludf.XLOOKUP(F217,Ustawienia!$H$4:$H$8,Ustawienia!$I$4:$I$8),"")</f>
        <v/>
      </c>
      <c r="H217" s="4"/>
      <c r="I217" s="4"/>
    </row>
    <row r="218" spans="1:9" x14ac:dyDescent="0.25">
      <c r="A218" s="4"/>
      <c r="B218" s="4" t="str">
        <f ca="1">IFERROR(_xludf.XLOOKUP(A218,Pracownicy!$A$2:$A$501,Pracownicy!$B$2:$B$501),"")</f>
        <v/>
      </c>
      <c r="C218" s="4"/>
      <c r="D218" s="4" t="str">
        <f ca="1">IFERROR(_xludf.XLOOKUP(A218,Milestones!$A$2:$A$501,Milestones!$C$2:$C$501),"")</f>
        <v/>
      </c>
      <c r="E218" s="4"/>
      <c r="F218" s="4"/>
      <c r="G218" s="4" t="str">
        <f ca="1">IFERROR(_xludf.XLOOKUP(F218,Ustawienia!$H$4:$H$8,Ustawienia!$I$4:$I$8),"")</f>
        <v/>
      </c>
      <c r="H218" s="4"/>
      <c r="I218" s="4"/>
    </row>
    <row r="219" spans="1:9" x14ac:dyDescent="0.25">
      <c r="A219" s="4"/>
      <c r="B219" s="4" t="str">
        <f ca="1">IFERROR(_xludf.XLOOKUP(A219,Pracownicy!$A$2:$A$501,Pracownicy!$B$2:$B$501),"")</f>
        <v/>
      </c>
      <c r="C219" s="4"/>
      <c r="D219" s="4" t="str">
        <f ca="1">IFERROR(_xludf.XLOOKUP(A219,Milestones!$A$2:$A$501,Milestones!$C$2:$C$501),"")</f>
        <v/>
      </c>
      <c r="E219" s="4"/>
      <c r="F219" s="4"/>
      <c r="G219" s="4" t="str">
        <f ca="1">IFERROR(_xludf.XLOOKUP(F219,Ustawienia!$H$4:$H$8,Ustawienia!$I$4:$I$8),"")</f>
        <v/>
      </c>
      <c r="H219" s="4"/>
      <c r="I219" s="4"/>
    </row>
    <row r="220" spans="1:9" x14ac:dyDescent="0.25">
      <c r="A220" s="4"/>
      <c r="B220" s="4" t="str">
        <f ca="1">IFERROR(_xludf.XLOOKUP(A220,Pracownicy!$A$2:$A$501,Pracownicy!$B$2:$B$501),"")</f>
        <v/>
      </c>
      <c r="C220" s="4"/>
      <c r="D220" s="4" t="str">
        <f ca="1">IFERROR(_xludf.XLOOKUP(A220,Milestones!$A$2:$A$501,Milestones!$C$2:$C$501),"")</f>
        <v/>
      </c>
      <c r="E220" s="4"/>
      <c r="F220" s="4"/>
      <c r="G220" s="4" t="str">
        <f ca="1">IFERROR(_xludf.XLOOKUP(F220,Ustawienia!$H$4:$H$8,Ustawienia!$I$4:$I$8),"")</f>
        <v/>
      </c>
      <c r="H220" s="4"/>
      <c r="I220" s="4"/>
    </row>
    <row r="221" spans="1:9" x14ac:dyDescent="0.25">
      <c r="A221" s="4"/>
      <c r="B221" s="4" t="str">
        <f ca="1">IFERROR(_xludf.XLOOKUP(A221,Pracownicy!$A$2:$A$501,Pracownicy!$B$2:$B$501),"")</f>
        <v/>
      </c>
      <c r="C221" s="4"/>
      <c r="D221" s="4" t="str">
        <f ca="1">IFERROR(_xludf.XLOOKUP(A221,Milestones!$A$2:$A$501,Milestones!$C$2:$C$501),"")</f>
        <v/>
      </c>
      <c r="E221" s="4"/>
      <c r="F221" s="4"/>
      <c r="G221" s="4" t="str">
        <f ca="1">IFERROR(_xludf.XLOOKUP(F221,Ustawienia!$H$4:$H$8,Ustawienia!$I$4:$I$8),"")</f>
        <v/>
      </c>
      <c r="H221" s="4"/>
      <c r="I221" s="4"/>
    </row>
    <row r="222" spans="1:9" x14ac:dyDescent="0.25">
      <c r="A222" s="4"/>
      <c r="B222" s="4" t="str">
        <f ca="1">IFERROR(_xludf.XLOOKUP(A222,Pracownicy!$A$2:$A$501,Pracownicy!$B$2:$B$501),"")</f>
        <v/>
      </c>
      <c r="C222" s="4"/>
      <c r="D222" s="4" t="str">
        <f ca="1">IFERROR(_xludf.XLOOKUP(A222,Milestones!$A$2:$A$501,Milestones!$C$2:$C$501),"")</f>
        <v/>
      </c>
      <c r="E222" s="4"/>
      <c r="F222" s="4"/>
      <c r="G222" s="4" t="str">
        <f ca="1">IFERROR(_xludf.XLOOKUP(F222,Ustawienia!$H$4:$H$8,Ustawienia!$I$4:$I$8),"")</f>
        <v/>
      </c>
      <c r="H222" s="4"/>
      <c r="I222" s="4"/>
    </row>
    <row r="223" spans="1:9" x14ac:dyDescent="0.25">
      <c r="A223" s="4"/>
      <c r="B223" s="4" t="str">
        <f ca="1">IFERROR(_xludf.XLOOKUP(A223,Pracownicy!$A$2:$A$501,Pracownicy!$B$2:$B$501),"")</f>
        <v/>
      </c>
      <c r="C223" s="4"/>
      <c r="D223" s="4" t="str">
        <f ca="1">IFERROR(_xludf.XLOOKUP(A223,Milestones!$A$2:$A$501,Milestones!$C$2:$C$501),"")</f>
        <v/>
      </c>
      <c r="E223" s="4"/>
      <c r="F223" s="4"/>
      <c r="G223" s="4" t="str">
        <f ca="1">IFERROR(_xludf.XLOOKUP(F223,Ustawienia!$H$4:$H$8,Ustawienia!$I$4:$I$8),"")</f>
        <v/>
      </c>
      <c r="H223" s="4"/>
      <c r="I223" s="4"/>
    </row>
    <row r="224" spans="1:9" x14ac:dyDescent="0.25">
      <c r="A224" s="4"/>
      <c r="B224" s="4" t="str">
        <f ca="1">IFERROR(_xludf.XLOOKUP(A224,Pracownicy!$A$2:$A$501,Pracownicy!$B$2:$B$501),"")</f>
        <v/>
      </c>
      <c r="C224" s="4"/>
      <c r="D224" s="4" t="str">
        <f ca="1">IFERROR(_xludf.XLOOKUP(A224,Milestones!$A$2:$A$501,Milestones!$C$2:$C$501),"")</f>
        <v/>
      </c>
      <c r="E224" s="4"/>
      <c r="F224" s="4"/>
      <c r="G224" s="4" t="str">
        <f ca="1">IFERROR(_xludf.XLOOKUP(F224,Ustawienia!$H$4:$H$8,Ustawienia!$I$4:$I$8),"")</f>
        <v/>
      </c>
      <c r="H224" s="4"/>
      <c r="I224" s="4"/>
    </row>
    <row r="225" spans="1:9" x14ac:dyDescent="0.25">
      <c r="A225" s="4"/>
      <c r="B225" s="4" t="str">
        <f ca="1">IFERROR(_xludf.XLOOKUP(A225,Pracownicy!$A$2:$A$501,Pracownicy!$B$2:$B$501),"")</f>
        <v/>
      </c>
      <c r="C225" s="4"/>
      <c r="D225" s="4" t="str">
        <f ca="1">IFERROR(_xludf.XLOOKUP(A225,Milestones!$A$2:$A$501,Milestones!$C$2:$C$501),"")</f>
        <v/>
      </c>
      <c r="E225" s="4"/>
      <c r="F225" s="4"/>
      <c r="G225" s="4" t="str">
        <f ca="1">IFERROR(_xludf.XLOOKUP(F225,Ustawienia!$H$4:$H$8,Ustawienia!$I$4:$I$8),"")</f>
        <v/>
      </c>
      <c r="H225" s="4"/>
      <c r="I225" s="4"/>
    </row>
    <row r="226" spans="1:9" x14ac:dyDescent="0.25">
      <c r="A226" s="4"/>
      <c r="B226" s="4" t="str">
        <f ca="1">IFERROR(_xludf.XLOOKUP(A226,Pracownicy!$A$2:$A$501,Pracownicy!$B$2:$B$501),"")</f>
        <v/>
      </c>
      <c r="C226" s="4"/>
      <c r="D226" s="4" t="str">
        <f ca="1">IFERROR(_xludf.XLOOKUP(A226,Milestones!$A$2:$A$501,Milestones!$C$2:$C$501),"")</f>
        <v/>
      </c>
      <c r="E226" s="4"/>
      <c r="F226" s="4"/>
      <c r="G226" s="4" t="str">
        <f ca="1">IFERROR(_xludf.XLOOKUP(F226,Ustawienia!$H$4:$H$8,Ustawienia!$I$4:$I$8),"")</f>
        <v/>
      </c>
      <c r="H226" s="4"/>
      <c r="I226" s="4"/>
    </row>
    <row r="227" spans="1:9" x14ac:dyDescent="0.25">
      <c r="A227" s="4"/>
      <c r="B227" s="4" t="str">
        <f ca="1">IFERROR(_xludf.XLOOKUP(A227,Pracownicy!$A$2:$A$501,Pracownicy!$B$2:$B$501),"")</f>
        <v/>
      </c>
      <c r="C227" s="4"/>
      <c r="D227" s="4" t="str">
        <f ca="1">IFERROR(_xludf.XLOOKUP(A227,Milestones!$A$2:$A$501,Milestones!$C$2:$C$501),"")</f>
        <v/>
      </c>
      <c r="E227" s="4"/>
      <c r="F227" s="4"/>
      <c r="G227" s="4" t="str">
        <f ca="1">IFERROR(_xludf.XLOOKUP(F227,Ustawienia!$H$4:$H$8,Ustawienia!$I$4:$I$8),"")</f>
        <v/>
      </c>
      <c r="H227" s="4"/>
      <c r="I227" s="4"/>
    </row>
    <row r="228" spans="1:9" x14ac:dyDescent="0.25">
      <c r="A228" s="4"/>
      <c r="B228" s="4" t="str">
        <f ca="1">IFERROR(_xludf.XLOOKUP(A228,Pracownicy!$A$2:$A$501,Pracownicy!$B$2:$B$501),"")</f>
        <v/>
      </c>
      <c r="C228" s="4"/>
      <c r="D228" s="4" t="str">
        <f ca="1">IFERROR(_xludf.XLOOKUP(A228,Milestones!$A$2:$A$501,Milestones!$C$2:$C$501),"")</f>
        <v/>
      </c>
      <c r="E228" s="4"/>
      <c r="F228" s="4"/>
      <c r="G228" s="4" t="str">
        <f ca="1">IFERROR(_xludf.XLOOKUP(F228,Ustawienia!$H$4:$H$8,Ustawienia!$I$4:$I$8),"")</f>
        <v/>
      </c>
      <c r="H228" s="4"/>
      <c r="I228" s="4"/>
    </row>
    <row r="229" spans="1:9" x14ac:dyDescent="0.25">
      <c r="A229" s="4"/>
      <c r="B229" s="4" t="str">
        <f ca="1">IFERROR(_xludf.XLOOKUP(A229,Pracownicy!$A$2:$A$501,Pracownicy!$B$2:$B$501),"")</f>
        <v/>
      </c>
      <c r="C229" s="4"/>
      <c r="D229" s="4" t="str">
        <f ca="1">IFERROR(_xludf.XLOOKUP(A229,Milestones!$A$2:$A$501,Milestones!$C$2:$C$501),"")</f>
        <v/>
      </c>
      <c r="E229" s="4"/>
      <c r="F229" s="4"/>
      <c r="G229" s="4" t="str">
        <f ca="1">IFERROR(_xludf.XLOOKUP(F229,Ustawienia!$H$4:$H$8,Ustawienia!$I$4:$I$8),"")</f>
        <v/>
      </c>
      <c r="H229" s="4"/>
      <c r="I229" s="4"/>
    </row>
    <row r="230" spans="1:9" x14ac:dyDescent="0.25">
      <c r="A230" s="4"/>
      <c r="B230" s="4" t="str">
        <f ca="1">IFERROR(_xludf.XLOOKUP(A230,Pracownicy!$A$2:$A$501,Pracownicy!$B$2:$B$501),"")</f>
        <v/>
      </c>
      <c r="C230" s="4"/>
      <c r="D230" s="4" t="str">
        <f ca="1">IFERROR(_xludf.XLOOKUP(A230,Milestones!$A$2:$A$501,Milestones!$C$2:$C$501),"")</f>
        <v/>
      </c>
      <c r="E230" s="4"/>
      <c r="F230" s="4"/>
      <c r="G230" s="4" t="str">
        <f ca="1">IFERROR(_xludf.XLOOKUP(F230,Ustawienia!$H$4:$H$8,Ustawienia!$I$4:$I$8),"")</f>
        <v/>
      </c>
      <c r="H230" s="4"/>
      <c r="I230" s="4"/>
    </row>
    <row r="231" spans="1:9" x14ac:dyDescent="0.25">
      <c r="A231" s="4"/>
      <c r="B231" s="4" t="str">
        <f ca="1">IFERROR(_xludf.XLOOKUP(A231,Pracownicy!$A$2:$A$501,Pracownicy!$B$2:$B$501),"")</f>
        <v/>
      </c>
      <c r="C231" s="4"/>
      <c r="D231" s="4" t="str">
        <f ca="1">IFERROR(_xludf.XLOOKUP(A231,Milestones!$A$2:$A$501,Milestones!$C$2:$C$501),"")</f>
        <v/>
      </c>
      <c r="E231" s="4"/>
      <c r="F231" s="4"/>
      <c r="G231" s="4" t="str">
        <f ca="1">IFERROR(_xludf.XLOOKUP(F231,Ustawienia!$H$4:$H$8,Ustawienia!$I$4:$I$8),"")</f>
        <v/>
      </c>
      <c r="H231" s="4"/>
      <c r="I231" s="4"/>
    </row>
    <row r="232" spans="1:9" x14ac:dyDescent="0.25">
      <c r="A232" s="4"/>
      <c r="B232" s="4" t="str">
        <f ca="1">IFERROR(_xludf.XLOOKUP(A232,Pracownicy!$A$2:$A$501,Pracownicy!$B$2:$B$501),"")</f>
        <v/>
      </c>
      <c r="C232" s="4"/>
      <c r="D232" s="4" t="str">
        <f ca="1">IFERROR(_xludf.XLOOKUP(A232,Milestones!$A$2:$A$501,Milestones!$C$2:$C$501),"")</f>
        <v/>
      </c>
      <c r="E232" s="4"/>
      <c r="F232" s="4"/>
      <c r="G232" s="4" t="str">
        <f ca="1">IFERROR(_xludf.XLOOKUP(F232,Ustawienia!$H$4:$H$8,Ustawienia!$I$4:$I$8),"")</f>
        <v/>
      </c>
      <c r="H232" s="4"/>
      <c r="I232" s="4"/>
    </row>
    <row r="233" spans="1:9" x14ac:dyDescent="0.25">
      <c r="A233" s="4"/>
      <c r="B233" s="4" t="str">
        <f ca="1">IFERROR(_xludf.XLOOKUP(A233,Pracownicy!$A$2:$A$501,Pracownicy!$B$2:$B$501),"")</f>
        <v/>
      </c>
      <c r="C233" s="4"/>
      <c r="D233" s="4" t="str">
        <f ca="1">IFERROR(_xludf.XLOOKUP(A233,Milestones!$A$2:$A$501,Milestones!$C$2:$C$501),"")</f>
        <v/>
      </c>
      <c r="E233" s="4"/>
      <c r="F233" s="4"/>
      <c r="G233" s="4" t="str">
        <f ca="1">IFERROR(_xludf.XLOOKUP(F233,Ustawienia!$H$4:$H$8,Ustawienia!$I$4:$I$8),"")</f>
        <v/>
      </c>
      <c r="H233" s="4"/>
      <c r="I233" s="4"/>
    </row>
    <row r="234" spans="1:9" x14ac:dyDescent="0.25">
      <c r="A234" s="4"/>
      <c r="B234" s="4" t="str">
        <f ca="1">IFERROR(_xludf.XLOOKUP(A234,Pracownicy!$A$2:$A$501,Pracownicy!$B$2:$B$501),"")</f>
        <v/>
      </c>
      <c r="C234" s="4"/>
      <c r="D234" s="4" t="str">
        <f ca="1">IFERROR(_xludf.XLOOKUP(A234,Milestones!$A$2:$A$501,Milestones!$C$2:$C$501),"")</f>
        <v/>
      </c>
      <c r="E234" s="4"/>
      <c r="F234" s="4"/>
      <c r="G234" s="4" t="str">
        <f ca="1">IFERROR(_xludf.XLOOKUP(F234,Ustawienia!$H$4:$H$8,Ustawienia!$I$4:$I$8),"")</f>
        <v/>
      </c>
      <c r="H234" s="4"/>
      <c r="I234" s="4"/>
    </row>
    <row r="235" spans="1:9" x14ac:dyDescent="0.25">
      <c r="A235" s="4"/>
      <c r="B235" s="4" t="str">
        <f ca="1">IFERROR(_xludf.XLOOKUP(A235,Pracownicy!$A$2:$A$501,Pracownicy!$B$2:$B$501),"")</f>
        <v/>
      </c>
      <c r="C235" s="4"/>
      <c r="D235" s="4" t="str">
        <f ca="1">IFERROR(_xludf.XLOOKUP(A235,Milestones!$A$2:$A$501,Milestones!$C$2:$C$501),"")</f>
        <v/>
      </c>
      <c r="E235" s="4"/>
      <c r="F235" s="4"/>
      <c r="G235" s="4" t="str">
        <f ca="1">IFERROR(_xludf.XLOOKUP(F235,Ustawienia!$H$4:$H$8,Ustawienia!$I$4:$I$8),"")</f>
        <v/>
      </c>
      <c r="H235" s="4"/>
      <c r="I235" s="4"/>
    </row>
    <row r="236" spans="1:9" x14ac:dyDescent="0.25">
      <c r="A236" s="4"/>
      <c r="B236" s="4" t="str">
        <f ca="1">IFERROR(_xludf.XLOOKUP(A236,Pracownicy!$A$2:$A$501,Pracownicy!$B$2:$B$501),"")</f>
        <v/>
      </c>
      <c r="C236" s="4"/>
      <c r="D236" s="4" t="str">
        <f ca="1">IFERROR(_xludf.XLOOKUP(A236,Milestones!$A$2:$A$501,Milestones!$C$2:$C$501),"")</f>
        <v/>
      </c>
      <c r="E236" s="4"/>
      <c r="F236" s="4"/>
      <c r="G236" s="4" t="str">
        <f ca="1">IFERROR(_xludf.XLOOKUP(F236,Ustawienia!$H$4:$H$8,Ustawienia!$I$4:$I$8),"")</f>
        <v/>
      </c>
      <c r="H236" s="4"/>
      <c r="I236" s="4"/>
    </row>
    <row r="237" spans="1:9" x14ac:dyDescent="0.25">
      <c r="A237" s="4"/>
      <c r="B237" s="4" t="str">
        <f ca="1">IFERROR(_xludf.XLOOKUP(A237,Pracownicy!$A$2:$A$501,Pracownicy!$B$2:$B$501),"")</f>
        <v/>
      </c>
      <c r="C237" s="4"/>
      <c r="D237" s="4" t="str">
        <f ca="1">IFERROR(_xludf.XLOOKUP(A237,Milestones!$A$2:$A$501,Milestones!$C$2:$C$501),"")</f>
        <v/>
      </c>
      <c r="E237" s="4"/>
      <c r="F237" s="4"/>
      <c r="G237" s="4" t="str">
        <f ca="1">IFERROR(_xludf.XLOOKUP(F237,Ustawienia!$H$4:$H$8,Ustawienia!$I$4:$I$8),"")</f>
        <v/>
      </c>
      <c r="H237" s="4"/>
      <c r="I237" s="4"/>
    </row>
    <row r="238" spans="1:9" x14ac:dyDescent="0.25">
      <c r="A238" s="4"/>
      <c r="B238" s="4" t="str">
        <f ca="1">IFERROR(_xludf.XLOOKUP(A238,Pracownicy!$A$2:$A$501,Pracownicy!$B$2:$B$501),"")</f>
        <v/>
      </c>
      <c r="C238" s="4"/>
      <c r="D238" s="4" t="str">
        <f ca="1">IFERROR(_xludf.XLOOKUP(A238,Milestones!$A$2:$A$501,Milestones!$C$2:$C$501),"")</f>
        <v/>
      </c>
      <c r="E238" s="4"/>
      <c r="F238" s="4"/>
      <c r="G238" s="4" t="str">
        <f ca="1">IFERROR(_xludf.XLOOKUP(F238,Ustawienia!$H$4:$H$8,Ustawienia!$I$4:$I$8),"")</f>
        <v/>
      </c>
      <c r="H238" s="4"/>
      <c r="I238" s="4"/>
    </row>
    <row r="239" spans="1:9" x14ac:dyDescent="0.25">
      <c r="A239" s="4"/>
      <c r="B239" s="4" t="str">
        <f ca="1">IFERROR(_xludf.XLOOKUP(A239,Pracownicy!$A$2:$A$501,Pracownicy!$B$2:$B$501),"")</f>
        <v/>
      </c>
      <c r="C239" s="4"/>
      <c r="D239" s="4" t="str">
        <f ca="1">IFERROR(_xludf.XLOOKUP(A239,Milestones!$A$2:$A$501,Milestones!$C$2:$C$501),"")</f>
        <v/>
      </c>
      <c r="E239" s="4"/>
      <c r="F239" s="4"/>
      <c r="G239" s="4" t="str">
        <f ca="1">IFERROR(_xludf.XLOOKUP(F239,Ustawienia!$H$4:$H$8,Ustawienia!$I$4:$I$8),"")</f>
        <v/>
      </c>
      <c r="H239" s="4"/>
      <c r="I239" s="4"/>
    </row>
    <row r="240" spans="1:9" x14ac:dyDescent="0.25">
      <c r="A240" s="4"/>
      <c r="B240" s="4" t="str">
        <f ca="1">IFERROR(_xludf.XLOOKUP(A240,Pracownicy!$A$2:$A$501,Pracownicy!$B$2:$B$501),"")</f>
        <v/>
      </c>
      <c r="C240" s="4"/>
      <c r="D240" s="4" t="str">
        <f ca="1">IFERROR(_xludf.XLOOKUP(A240,Milestones!$A$2:$A$501,Milestones!$C$2:$C$501),"")</f>
        <v/>
      </c>
      <c r="E240" s="4"/>
      <c r="F240" s="4"/>
      <c r="G240" s="4" t="str">
        <f ca="1">IFERROR(_xludf.XLOOKUP(F240,Ustawienia!$H$4:$H$8,Ustawienia!$I$4:$I$8),"")</f>
        <v/>
      </c>
      <c r="H240" s="4"/>
      <c r="I240" s="4"/>
    </row>
    <row r="241" spans="1:9" x14ac:dyDescent="0.25">
      <c r="A241" s="4"/>
      <c r="B241" s="4" t="str">
        <f ca="1">IFERROR(_xludf.XLOOKUP(A241,Pracownicy!$A$2:$A$501,Pracownicy!$B$2:$B$501),"")</f>
        <v/>
      </c>
      <c r="C241" s="4"/>
      <c r="D241" s="4" t="str">
        <f ca="1">IFERROR(_xludf.XLOOKUP(A241,Milestones!$A$2:$A$501,Milestones!$C$2:$C$501),"")</f>
        <v/>
      </c>
      <c r="E241" s="4"/>
      <c r="F241" s="4"/>
      <c r="G241" s="4" t="str">
        <f ca="1">IFERROR(_xludf.XLOOKUP(F241,Ustawienia!$H$4:$H$8,Ustawienia!$I$4:$I$8),"")</f>
        <v/>
      </c>
      <c r="H241" s="4"/>
      <c r="I241" s="4"/>
    </row>
    <row r="242" spans="1:9" x14ac:dyDescent="0.25">
      <c r="A242" s="4"/>
      <c r="B242" s="4" t="str">
        <f ca="1">IFERROR(_xludf.XLOOKUP(A242,Pracownicy!$A$2:$A$501,Pracownicy!$B$2:$B$501),"")</f>
        <v/>
      </c>
      <c r="C242" s="4"/>
      <c r="D242" s="4" t="str">
        <f ca="1">IFERROR(_xludf.XLOOKUP(A242,Milestones!$A$2:$A$501,Milestones!$C$2:$C$501),"")</f>
        <v/>
      </c>
      <c r="E242" s="4"/>
      <c r="F242" s="4"/>
      <c r="G242" s="4" t="str">
        <f ca="1">IFERROR(_xludf.XLOOKUP(F242,Ustawienia!$H$4:$H$8,Ustawienia!$I$4:$I$8),"")</f>
        <v/>
      </c>
      <c r="H242" s="4"/>
      <c r="I242" s="4"/>
    </row>
    <row r="243" spans="1:9" x14ac:dyDescent="0.25">
      <c r="A243" s="4"/>
      <c r="B243" s="4" t="str">
        <f ca="1">IFERROR(_xludf.XLOOKUP(A243,Pracownicy!$A$2:$A$501,Pracownicy!$B$2:$B$501),"")</f>
        <v/>
      </c>
      <c r="C243" s="4"/>
      <c r="D243" s="4" t="str">
        <f ca="1">IFERROR(_xludf.XLOOKUP(A243,Milestones!$A$2:$A$501,Milestones!$C$2:$C$501),"")</f>
        <v/>
      </c>
      <c r="E243" s="4"/>
      <c r="F243" s="4"/>
      <c r="G243" s="4" t="str">
        <f ca="1">IFERROR(_xludf.XLOOKUP(F243,Ustawienia!$H$4:$H$8,Ustawienia!$I$4:$I$8),"")</f>
        <v/>
      </c>
      <c r="H243" s="4"/>
      <c r="I243" s="4"/>
    </row>
    <row r="244" spans="1:9" x14ac:dyDescent="0.25">
      <c r="A244" s="4"/>
      <c r="B244" s="4" t="str">
        <f ca="1">IFERROR(_xludf.XLOOKUP(A244,Pracownicy!$A$2:$A$501,Pracownicy!$B$2:$B$501),"")</f>
        <v/>
      </c>
      <c r="C244" s="4"/>
      <c r="D244" s="4" t="str">
        <f ca="1">IFERROR(_xludf.XLOOKUP(A244,Milestones!$A$2:$A$501,Milestones!$C$2:$C$501),"")</f>
        <v/>
      </c>
      <c r="E244" s="4"/>
      <c r="F244" s="4"/>
      <c r="G244" s="4" t="str">
        <f ca="1">IFERROR(_xludf.XLOOKUP(F244,Ustawienia!$H$4:$H$8,Ustawienia!$I$4:$I$8),"")</f>
        <v/>
      </c>
      <c r="H244" s="4"/>
      <c r="I244" s="4"/>
    </row>
    <row r="245" spans="1:9" x14ac:dyDescent="0.25">
      <c r="A245" s="4"/>
      <c r="B245" s="4" t="str">
        <f ca="1">IFERROR(_xludf.XLOOKUP(A245,Pracownicy!$A$2:$A$501,Pracownicy!$B$2:$B$501),"")</f>
        <v/>
      </c>
      <c r="C245" s="4"/>
      <c r="D245" s="4" t="str">
        <f ca="1">IFERROR(_xludf.XLOOKUP(A245,Milestones!$A$2:$A$501,Milestones!$C$2:$C$501),"")</f>
        <v/>
      </c>
      <c r="E245" s="4"/>
      <c r="F245" s="4"/>
      <c r="G245" s="4" t="str">
        <f ca="1">IFERROR(_xludf.XLOOKUP(F245,Ustawienia!$H$4:$H$8,Ustawienia!$I$4:$I$8),"")</f>
        <v/>
      </c>
      <c r="H245" s="4"/>
      <c r="I245" s="4"/>
    </row>
    <row r="246" spans="1:9" x14ac:dyDescent="0.25">
      <c r="A246" s="4"/>
      <c r="B246" s="4" t="str">
        <f ca="1">IFERROR(_xludf.XLOOKUP(A246,Pracownicy!$A$2:$A$501,Pracownicy!$B$2:$B$501),"")</f>
        <v/>
      </c>
      <c r="C246" s="4"/>
      <c r="D246" s="4" t="str">
        <f ca="1">IFERROR(_xludf.XLOOKUP(A246,Milestones!$A$2:$A$501,Milestones!$C$2:$C$501),"")</f>
        <v/>
      </c>
      <c r="E246" s="4"/>
      <c r="F246" s="4"/>
      <c r="G246" s="4" t="str">
        <f ca="1">IFERROR(_xludf.XLOOKUP(F246,Ustawienia!$H$4:$H$8,Ustawienia!$I$4:$I$8),"")</f>
        <v/>
      </c>
      <c r="H246" s="4"/>
      <c r="I246" s="4"/>
    </row>
    <row r="247" spans="1:9" x14ac:dyDescent="0.25">
      <c r="A247" s="4"/>
      <c r="B247" s="4" t="str">
        <f ca="1">IFERROR(_xludf.XLOOKUP(A247,Pracownicy!$A$2:$A$501,Pracownicy!$B$2:$B$501),"")</f>
        <v/>
      </c>
      <c r="C247" s="4"/>
      <c r="D247" s="4" t="str">
        <f ca="1">IFERROR(_xludf.XLOOKUP(A247,Milestones!$A$2:$A$501,Milestones!$C$2:$C$501),"")</f>
        <v/>
      </c>
      <c r="E247" s="4"/>
      <c r="F247" s="4"/>
      <c r="G247" s="4" t="str">
        <f ca="1">IFERROR(_xludf.XLOOKUP(F247,Ustawienia!$H$4:$H$8,Ustawienia!$I$4:$I$8),"")</f>
        <v/>
      </c>
      <c r="H247" s="4"/>
      <c r="I247" s="4"/>
    </row>
    <row r="248" spans="1:9" x14ac:dyDescent="0.25">
      <c r="A248" s="4"/>
      <c r="B248" s="4" t="str">
        <f ca="1">IFERROR(_xludf.XLOOKUP(A248,Pracownicy!$A$2:$A$501,Pracownicy!$B$2:$B$501),"")</f>
        <v/>
      </c>
      <c r="C248" s="4"/>
      <c r="D248" s="4" t="str">
        <f ca="1">IFERROR(_xludf.XLOOKUP(A248,Milestones!$A$2:$A$501,Milestones!$C$2:$C$501),"")</f>
        <v/>
      </c>
      <c r="E248" s="4"/>
      <c r="F248" s="4"/>
      <c r="G248" s="4" t="str">
        <f ca="1">IFERROR(_xludf.XLOOKUP(F248,Ustawienia!$H$4:$H$8,Ustawienia!$I$4:$I$8),"")</f>
        <v/>
      </c>
      <c r="H248" s="4"/>
      <c r="I248" s="4"/>
    </row>
    <row r="249" spans="1:9" x14ac:dyDescent="0.25">
      <c r="A249" s="4"/>
      <c r="B249" s="4" t="str">
        <f ca="1">IFERROR(_xludf.XLOOKUP(A249,Pracownicy!$A$2:$A$501,Pracownicy!$B$2:$B$501),"")</f>
        <v/>
      </c>
      <c r="C249" s="4"/>
      <c r="D249" s="4" t="str">
        <f ca="1">IFERROR(_xludf.XLOOKUP(A249,Milestones!$A$2:$A$501,Milestones!$C$2:$C$501),"")</f>
        <v/>
      </c>
      <c r="E249" s="4"/>
      <c r="F249" s="4"/>
      <c r="G249" s="4" t="str">
        <f ca="1">IFERROR(_xludf.XLOOKUP(F249,Ustawienia!$H$4:$H$8,Ustawienia!$I$4:$I$8),"")</f>
        <v/>
      </c>
      <c r="H249" s="4"/>
      <c r="I249" s="4"/>
    </row>
    <row r="250" spans="1:9" x14ac:dyDescent="0.25">
      <c r="A250" s="4"/>
      <c r="B250" s="4" t="str">
        <f ca="1">IFERROR(_xludf.XLOOKUP(A250,Pracownicy!$A$2:$A$501,Pracownicy!$B$2:$B$501),"")</f>
        <v/>
      </c>
      <c r="C250" s="4"/>
      <c r="D250" s="4" t="str">
        <f ca="1">IFERROR(_xludf.XLOOKUP(A250,Milestones!$A$2:$A$501,Milestones!$C$2:$C$501),"")</f>
        <v/>
      </c>
      <c r="E250" s="4"/>
      <c r="F250" s="4"/>
      <c r="G250" s="4" t="str">
        <f ca="1">IFERROR(_xludf.XLOOKUP(F250,Ustawienia!$H$4:$H$8,Ustawienia!$I$4:$I$8),"")</f>
        <v/>
      </c>
      <c r="H250" s="4"/>
      <c r="I250" s="4"/>
    </row>
    <row r="251" spans="1:9" x14ac:dyDescent="0.25">
      <c r="A251" s="4"/>
      <c r="B251" s="4" t="str">
        <f ca="1">IFERROR(_xludf.XLOOKUP(A251,Pracownicy!$A$2:$A$501,Pracownicy!$B$2:$B$501),"")</f>
        <v/>
      </c>
      <c r="C251" s="4"/>
      <c r="D251" s="4" t="str">
        <f ca="1">IFERROR(_xludf.XLOOKUP(A251,Milestones!$A$2:$A$501,Milestones!$C$2:$C$501),"")</f>
        <v/>
      </c>
      <c r="E251" s="4"/>
      <c r="F251" s="4"/>
      <c r="G251" s="4" t="str">
        <f ca="1">IFERROR(_xludf.XLOOKUP(F251,Ustawienia!$H$4:$H$8,Ustawienia!$I$4:$I$8),"")</f>
        <v/>
      </c>
      <c r="H251" s="4"/>
      <c r="I251" s="4"/>
    </row>
    <row r="252" spans="1:9" x14ac:dyDescent="0.25">
      <c r="A252" s="4"/>
      <c r="B252" s="4" t="str">
        <f ca="1">IFERROR(_xludf.XLOOKUP(A252,Pracownicy!$A$2:$A$501,Pracownicy!$B$2:$B$501),"")</f>
        <v/>
      </c>
      <c r="C252" s="4"/>
      <c r="D252" s="4" t="str">
        <f ca="1">IFERROR(_xludf.XLOOKUP(A252,Milestones!$A$2:$A$501,Milestones!$C$2:$C$501),"")</f>
        <v/>
      </c>
      <c r="E252" s="4"/>
      <c r="F252" s="4"/>
      <c r="G252" s="4" t="str">
        <f ca="1">IFERROR(_xludf.XLOOKUP(F252,Ustawienia!$H$4:$H$8,Ustawienia!$I$4:$I$8),"")</f>
        <v/>
      </c>
      <c r="H252" s="4"/>
      <c r="I252" s="4"/>
    </row>
    <row r="253" spans="1:9" x14ac:dyDescent="0.25">
      <c r="A253" s="4"/>
      <c r="B253" s="4" t="str">
        <f ca="1">IFERROR(_xludf.XLOOKUP(A253,Pracownicy!$A$2:$A$501,Pracownicy!$B$2:$B$501),"")</f>
        <v/>
      </c>
      <c r="C253" s="4"/>
      <c r="D253" s="4" t="str">
        <f ca="1">IFERROR(_xludf.XLOOKUP(A253,Milestones!$A$2:$A$501,Milestones!$C$2:$C$501),"")</f>
        <v/>
      </c>
      <c r="E253" s="4"/>
      <c r="F253" s="4"/>
      <c r="G253" s="4" t="str">
        <f ca="1">IFERROR(_xludf.XLOOKUP(F253,Ustawienia!$H$4:$H$8,Ustawienia!$I$4:$I$8),"")</f>
        <v/>
      </c>
      <c r="H253" s="4"/>
      <c r="I253" s="4"/>
    </row>
    <row r="254" spans="1:9" x14ac:dyDescent="0.25">
      <c r="A254" s="4"/>
      <c r="B254" s="4" t="str">
        <f ca="1">IFERROR(_xludf.XLOOKUP(A254,Pracownicy!$A$2:$A$501,Pracownicy!$B$2:$B$501),"")</f>
        <v/>
      </c>
      <c r="C254" s="4"/>
      <c r="D254" s="4" t="str">
        <f ca="1">IFERROR(_xludf.XLOOKUP(A254,Milestones!$A$2:$A$501,Milestones!$C$2:$C$501),"")</f>
        <v/>
      </c>
      <c r="E254" s="4"/>
      <c r="F254" s="4"/>
      <c r="G254" s="4" t="str">
        <f ca="1">IFERROR(_xludf.XLOOKUP(F254,Ustawienia!$H$4:$H$8,Ustawienia!$I$4:$I$8),"")</f>
        <v/>
      </c>
      <c r="H254" s="4"/>
      <c r="I254" s="4"/>
    </row>
    <row r="255" spans="1:9" x14ac:dyDescent="0.25">
      <c r="A255" s="4"/>
      <c r="B255" s="4" t="str">
        <f ca="1">IFERROR(_xludf.XLOOKUP(A255,Pracownicy!$A$2:$A$501,Pracownicy!$B$2:$B$501),"")</f>
        <v/>
      </c>
      <c r="C255" s="4"/>
      <c r="D255" s="4" t="str">
        <f ca="1">IFERROR(_xludf.XLOOKUP(A255,Milestones!$A$2:$A$501,Milestones!$C$2:$C$501),"")</f>
        <v/>
      </c>
      <c r="E255" s="4"/>
      <c r="F255" s="4"/>
      <c r="G255" s="4" t="str">
        <f ca="1">IFERROR(_xludf.XLOOKUP(F255,Ustawienia!$H$4:$H$8,Ustawienia!$I$4:$I$8),"")</f>
        <v/>
      </c>
      <c r="H255" s="4"/>
      <c r="I255" s="4"/>
    </row>
    <row r="256" spans="1:9" x14ac:dyDescent="0.25">
      <c r="A256" s="4"/>
      <c r="B256" s="4" t="str">
        <f ca="1">IFERROR(_xludf.XLOOKUP(A256,Pracownicy!$A$2:$A$501,Pracownicy!$B$2:$B$501),"")</f>
        <v/>
      </c>
      <c r="C256" s="4"/>
      <c r="D256" s="4" t="str">
        <f ca="1">IFERROR(_xludf.XLOOKUP(A256,Milestones!$A$2:$A$501,Milestones!$C$2:$C$501),"")</f>
        <v/>
      </c>
      <c r="E256" s="4"/>
      <c r="F256" s="4"/>
      <c r="G256" s="4" t="str">
        <f ca="1">IFERROR(_xludf.XLOOKUP(F256,Ustawienia!$H$4:$H$8,Ustawienia!$I$4:$I$8),"")</f>
        <v/>
      </c>
      <c r="H256" s="4"/>
      <c r="I256" s="4"/>
    </row>
    <row r="257" spans="1:9" x14ac:dyDescent="0.25">
      <c r="A257" s="4"/>
      <c r="B257" s="4" t="str">
        <f ca="1">IFERROR(_xludf.XLOOKUP(A257,Pracownicy!$A$2:$A$501,Pracownicy!$B$2:$B$501),"")</f>
        <v/>
      </c>
      <c r="C257" s="4"/>
      <c r="D257" s="4" t="str">
        <f ca="1">IFERROR(_xludf.XLOOKUP(A257,Milestones!$A$2:$A$501,Milestones!$C$2:$C$501),"")</f>
        <v/>
      </c>
      <c r="E257" s="4"/>
      <c r="F257" s="4"/>
      <c r="G257" s="4" t="str">
        <f ca="1">IFERROR(_xludf.XLOOKUP(F257,Ustawienia!$H$4:$H$8,Ustawienia!$I$4:$I$8),"")</f>
        <v/>
      </c>
      <c r="H257" s="4"/>
      <c r="I257" s="4"/>
    </row>
    <row r="258" spans="1:9" x14ac:dyDescent="0.25">
      <c r="A258" s="4"/>
      <c r="B258" s="4" t="str">
        <f ca="1">IFERROR(_xludf.XLOOKUP(A258,Pracownicy!$A$2:$A$501,Pracownicy!$B$2:$B$501),"")</f>
        <v/>
      </c>
      <c r="C258" s="4"/>
      <c r="D258" s="4" t="str">
        <f ca="1">IFERROR(_xludf.XLOOKUP(A258,Milestones!$A$2:$A$501,Milestones!$C$2:$C$501),"")</f>
        <v/>
      </c>
      <c r="E258" s="4"/>
      <c r="F258" s="4"/>
      <c r="G258" s="4" t="str">
        <f ca="1">IFERROR(_xludf.XLOOKUP(F258,Ustawienia!$H$4:$H$8,Ustawienia!$I$4:$I$8),"")</f>
        <v/>
      </c>
      <c r="H258" s="4"/>
      <c r="I258" s="4"/>
    </row>
    <row r="259" spans="1:9" x14ac:dyDescent="0.25">
      <c r="A259" s="4"/>
      <c r="B259" s="4" t="str">
        <f ca="1">IFERROR(_xludf.XLOOKUP(A259,Pracownicy!$A$2:$A$501,Pracownicy!$B$2:$B$501),"")</f>
        <v/>
      </c>
      <c r="C259" s="4"/>
      <c r="D259" s="4" t="str">
        <f ca="1">IFERROR(_xludf.XLOOKUP(A259,Milestones!$A$2:$A$501,Milestones!$C$2:$C$501),"")</f>
        <v/>
      </c>
      <c r="E259" s="4"/>
      <c r="F259" s="4"/>
      <c r="G259" s="4" t="str">
        <f ca="1">IFERROR(_xludf.XLOOKUP(F259,Ustawienia!$H$4:$H$8,Ustawienia!$I$4:$I$8),"")</f>
        <v/>
      </c>
      <c r="H259" s="4"/>
      <c r="I259" s="4"/>
    </row>
    <row r="260" spans="1:9" x14ac:dyDescent="0.25">
      <c r="A260" s="4"/>
      <c r="B260" s="4" t="str">
        <f ca="1">IFERROR(_xludf.XLOOKUP(A260,Pracownicy!$A$2:$A$501,Pracownicy!$B$2:$B$501),"")</f>
        <v/>
      </c>
      <c r="C260" s="4"/>
      <c r="D260" s="4" t="str">
        <f ca="1">IFERROR(_xludf.XLOOKUP(A260,Milestones!$A$2:$A$501,Milestones!$C$2:$C$501),"")</f>
        <v/>
      </c>
      <c r="E260" s="4"/>
      <c r="F260" s="4"/>
      <c r="G260" s="4" t="str">
        <f ca="1">IFERROR(_xludf.XLOOKUP(F260,Ustawienia!$H$4:$H$8,Ustawienia!$I$4:$I$8),"")</f>
        <v/>
      </c>
      <c r="H260" s="4"/>
      <c r="I260" s="4"/>
    </row>
    <row r="261" spans="1:9" x14ac:dyDescent="0.25">
      <c r="A261" s="4"/>
      <c r="B261" s="4" t="str">
        <f ca="1">IFERROR(_xludf.XLOOKUP(A261,Pracownicy!$A$2:$A$501,Pracownicy!$B$2:$B$501),"")</f>
        <v/>
      </c>
      <c r="C261" s="4"/>
      <c r="D261" s="4" t="str">
        <f ca="1">IFERROR(_xludf.XLOOKUP(A261,Milestones!$A$2:$A$501,Milestones!$C$2:$C$501),"")</f>
        <v/>
      </c>
      <c r="E261" s="4"/>
      <c r="F261" s="4"/>
      <c r="G261" s="4" t="str">
        <f ca="1">IFERROR(_xludf.XLOOKUP(F261,Ustawienia!$H$4:$H$8,Ustawienia!$I$4:$I$8),"")</f>
        <v/>
      </c>
      <c r="H261" s="4"/>
      <c r="I261" s="4"/>
    </row>
    <row r="262" spans="1:9" x14ac:dyDescent="0.25">
      <c r="A262" s="4"/>
      <c r="B262" s="4" t="str">
        <f ca="1">IFERROR(_xludf.XLOOKUP(A262,Pracownicy!$A$2:$A$501,Pracownicy!$B$2:$B$501),"")</f>
        <v/>
      </c>
      <c r="C262" s="4"/>
      <c r="D262" s="4" t="str">
        <f ca="1">IFERROR(_xludf.XLOOKUP(A262,Milestones!$A$2:$A$501,Milestones!$C$2:$C$501),"")</f>
        <v/>
      </c>
      <c r="E262" s="4"/>
      <c r="F262" s="4"/>
      <c r="G262" s="4" t="str">
        <f ca="1">IFERROR(_xludf.XLOOKUP(F262,Ustawienia!$H$4:$H$8,Ustawienia!$I$4:$I$8),"")</f>
        <v/>
      </c>
      <c r="H262" s="4"/>
      <c r="I262" s="4"/>
    </row>
    <row r="263" spans="1:9" x14ac:dyDescent="0.25">
      <c r="A263" s="4"/>
      <c r="B263" s="4" t="str">
        <f ca="1">IFERROR(_xludf.XLOOKUP(A263,Pracownicy!$A$2:$A$501,Pracownicy!$B$2:$B$501),"")</f>
        <v/>
      </c>
      <c r="C263" s="4"/>
      <c r="D263" s="4" t="str">
        <f ca="1">IFERROR(_xludf.XLOOKUP(A263,Milestones!$A$2:$A$501,Milestones!$C$2:$C$501),"")</f>
        <v/>
      </c>
      <c r="E263" s="4"/>
      <c r="F263" s="4"/>
      <c r="G263" s="4" t="str">
        <f ca="1">IFERROR(_xludf.XLOOKUP(F263,Ustawienia!$H$4:$H$8,Ustawienia!$I$4:$I$8),"")</f>
        <v/>
      </c>
      <c r="H263" s="4"/>
      <c r="I263" s="4"/>
    </row>
    <row r="264" spans="1:9" x14ac:dyDescent="0.25">
      <c r="A264" s="4"/>
      <c r="B264" s="4" t="str">
        <f ca="1">IFERROR(_xludf.XLOOKUP(A264,Pracownicy!$A$2:$A$501,Pracownicy!$B$2:$B$501),"")</f>
        <v/>
      </c>
      <c r="C264" s="4"/>
      <c r="D264" s="4" t="str">
        <f ca="1">IFERROR(_xludf.XLOOKUP(A264,Milestones!$A$2:$A$501,Milestones!$C$2:$C$501),"")</f>
        <v/>
      </c>
      <c r="E264" s="4"/>
      <c r="F264" s="4"/>
      <c r="G264" s="4" t="str">
        <f ca="1">IFERROR(_xludf.XLOOKUP(F264,Ustawienia!$H$4:$H$8,Ustawienia!$I$4:$I$8),"")</f>
        <v/>
      </c>
      <c r="H264" s="4"/>
      <c r="I264" s="4"/>
    </row>
    <row r="265" spans="1:9" x14ac:dyDescent="0.25">
      <c r="A265" s="4"/>
      <c r="B265" s="4" t="str">
        <f ca="1">IFERROR(_xludf.XLOOKUP(A265,Pracownicy!$A$2:$A$501,Pracownicy!$B$2:$B$501),"")</f>
        <v/>
      </c>
      <c r="C265" s="4"/>
      <c r="D265" s="4" t="str">
        <f ca="1">IFERROR(_xludf.XLOOKUP(A265,Milestones!$A$2:$A$501,Milestones!$C$2:$C$501),"")</f>
        <v/>
      </c>
      <c r="E265" s="4"/>
      <c r="F265" s="4"/>
      <c r="G265" s="4" t="str">
        <f ca="1">IFERROR(_xludf.XLOOKUP(F265,Ustawienia!$H$4:$H$8,Ustawienia!$I$4:$I$8),"")</f>
        <v/>
      </c>
      <c r="H265" s="4"/>
      <c r="I265" s="4"/>
    </row>
    <row r="266" spans="1:9" x14ac:dyDescent="0.25">
      <c r="A266" s="4"/>
      <c r="B266" s="4" t="str">
        <f ca="1">IFERROR(_xludf.XLOOKUP(A266,Pracownicy!$A$2:$A$501,Pracownicy!$B$2:$B$501),"")</f>
        <v/>
      </c>
      <c r="C266" s="4"/>
      <c r="D266" s="4" t="str">
        <f ca="1">IFERROR(_xludf.XLOOKUP(A266,Milestones!$A$2:$A$501,Milestones!$C$2:$C$501),"")</f>
        <v/>
      </c>
      <c r="E266" s="4"/>
      <c r="F266" s="4"/>
      <c r="G266" s="4" t="str">
        <f ca="1">IFERROR(_xludf.XLOOKUP(F266,Ustawienia!$H$4:$H$8,Ustawienia!$I$4:$I$8),"")</f>
        <v/>
      </c>
      <c r="H266" s="4"/>
      <c r="I266" s="4"/>
    </row>
    <row r="267" spans="1:9" x14ac:dyDescent="0.25">
      <c r="A267" s="4"/>
      <c r="B267" s="4" t="str">
        <f ca="1">IFERROR(_xludf.XLOOKUP(A267,Pracownicy!$A$2:$A$501,Pracownicy!$B$2:$B$501),"")</f>
        <v/>
      </c>
      <c r="C267" s="4"/>
      <c r="D267" s="4" t="str">
        <f ca="1">IFERROR(_xludf.XLOOKUP(A267,Milestones!$A$2:$A$501,Milestones!$C$2:$C$501),"")</f>
        <v/>
      </c>
      <c r="E267" s="4"/>
      <c r="F267" s="4"/>
      <c r="G267" s="4" t="str">
        <f ca="1">IFERROR(_xludf.XLOOKUP(F267,Ustawienia!$H$4:$H$8,Ustawienia!$I$4:$I$8),"")</f>
        <v/>
      </c>
      <c r="H267" s="4"/>
      <c r="I267" s="4"/>
    </row>
    <row r="268" spans="1:9" x14ac:dyDescent="0.25">
      <c r="A268" s="4"/>
      <c r="B268" s="4" t="str">
        <f ca="1">IFERROR(_xludf.XLOOKUP(A268,Pracownicy!$A$2:$A$501,Pracownicy!$B$2:$B$501),"")</f>
        <v/>
      </c>
      <c r="C268" s="4"/>
      <c r="D268" s="4" t="str">
        <f ca="1">IFERROR(_xludf.XLOOKUP(A268,Milestones!$A$2:$A$501,Milestones!$C$2:$C$501),"")</f>
        <v/>
      </c>
      <c r="E268" s="4"/>
      <c r="F268" s="4"/>
      <c r="G268" s="4" t="str">
        <f ca="1">IFERROR(_xludf.XLOOKUP(F268,Ustawienia!$H$4:$H$8,Ustawienia!$I$4:$I$8),"")</f>
        <v/>
      </c>
      <c r="H268" s="4"/>
      <c r="I268" s="4"/>
    </row>
    <row r="269" spans="1:9" x14ac:dyDescent="0.25">
      <c r="A269" s="4"/>
      <c r="B269" s="4" t="str">
        <f ca="1">IFERROR(_xludf.XLOOKUP(A269,Pracownicy!$A$2:$A$501,Pracownicy!$B$2:$B$501),"")</f>
        <v/>
      </c>
      <c r="C269" s="4"/>
      <c r="D269" s="4" t="str">
        <f ca="1">IFERROR(_xludf.XLOOKUP(A269,Milestones!$A$2:$A$501,Milestones!$C$2:$C$501),"")</f>
        <v/>
      </c>
      <c r="E269" s="4"/>
      <c r="F269" s="4"/>
      <c r="G269" s="4" t="str">
        <f ca="1">IFERROR(_xludf.XLOOKUP(F269,Ustawienia!$H$4:$H$8,Ustawienia!$I$4:$I$8),"")</f>
        <v/>
      </c>
      <c r="H269" s="4"/>
      <c r="I269" s="4"/>
    </row>
    <row r="270" spans="1:9" x14ac:dyDescent="0.25">
      <c r="A270" s="4"/>
      <c r="B270" s="4" t="str">
        <f ca="1">IFERROR(_xludf.XLOOKUP(A270,Pracownicy!$A$2:$A$501,Pracownicy!$B$2:$B$501),"")</f>
        <v/>
      </c>
      <c r="C270" s="4"/>
      <c r="D270" s="4" t="str">
        <f ca="1">IFERROR(_xludf.XLOOKUP(A270,Milestones!$A$2:$A$501,Milestones!$C$2:$C$501),"")</f>
        <v/>
      </c>
      <c r="E270" s="4"/>
      <c r="F270" s="4"/>
      <c r="G270" s="4" t="str">
        <f ca="1">IFERROR(_xludf.XLOOKUP(F270,Ustawienia!$H$4:$H$8,Ustawienia!$I$4:$I$8),"")</f>
        <v/>
      </c>
      <c r="H270" s="4"/>
      <c r="I270" s="4"/>
    </row>
    <row r="271" spans="1:9" x14ac:dyDescent="0.25">
      <c r="A271" s="4"/>
      <c r="B271" s="4" t="str">
        <f ca="1">IFERROR(_xludf.XLOOKUP(A271,Pracownicy!$A$2:$A$501,Pracownicy!$B$2:$B$501),"")</f>
        <v/>
      </c>
      <c r="C271" s="4"/>
      <c r="D271" s="4" t="str">
        <f ca="1">IFERROR(_xludf.XLOOKUP(A271,Milestones!$A$2:$A$501,Milestones!$C$2:$C$501),"")</f>
        <v/>
      </c>
      <c r="E271" s="4"/>
      <c r="F271" s="4"/>
      <c r="G271" s="4" t="str">
        <f ca="1">IFERROR(_xludf.XLOOKUP(F271,Ustawienia!$H$4:$H$8,Ustawienia!$I$4:$I$8),"")</f>
        <v/>
      </c>
      <c r="H271" s="4"/>
      <c r="I271" s="4"/>
    </row>
    <row r="272" spans="1:9" x14ac:dyDescent="0.25">
      <c r="A272" s="4"/>
      <c r="B272" s="4" t="str">
        <f ca="1">IFERROR(_xludf.XLOOKUP(A272,Pracownicy!$A$2:$A$501,Pracownicy!$B$2:$B$501),"")</f>
        <v/>
      </c>
      <c r="C272" s="4"/>
      <c r="D272" s="4" t="str">
        <f ca="1">IFERROR(_xludf.XLOOKUP(A272,Milestones!$A$2:$A$501,Milestones!$C$2:$C$501),"")</f>
        <v/>
      </c>
      <c r="E272" s="4"/>
      <c r="F272" s="4"/>
      <c r="G272" s="4" t="str">
        <f ca="1">IFERROR(_xludf.XLOOKUP(F272,Ustawienia!$H$4:$H$8,Ustawienia!$I$4:$I$8),"")</f>
        <v/>
      </c>
      <c r="H272" s="4"/>
      <c r="I272" s="4"/>
    </row>
    <row r="273" spans="1:9" x14ac:dyDescent="0.25">
      <c r="A273" s="4"/>
      <c r="B273" s="4" t="str">
        <f ca="1">IFERROR(_xludf.XLOOKUP(A273,Pracownicy!$A$2:$A$501,Pracownicy!$B$2:$B$501),"")</f>
        <v/>
      </c>
      <c r="C273" s="4"/>
      <c r="D273" s="4" t="str">
        <f ca="1">IFERROR(_xludf.XLOOKUP(A273,Milestones!$A$2:$A$501,Milestones!$C$2:$C$501),"")</f>
        <v/>
      </c>
      <c r="E273" s="4"/>
      <c r="F273" s="4"/>
      <c r="G273" s="4" t="str">
        <f ca="1">IFERROR(_xludf.XLOOKUP(F273,Ustawienia!$H$4:$H$8,Ustawienia!$I$4:$I$8),"")</f>
        <v/>
      </c>
      <c r="H273" s="4"/>
      <c r="I273" s="4"/>
    </row>
    <row r="274" spans="1:9" x14ac:dyDescent="0.25">
      <c r="A274" s="4"/>
      <c r="B274" s="4" t="str">
        <f ca="1">IFERROR(_xludf.XLOOKUP(A274,Pracownicy!$A$2:$A$501,Pracownicy!$B$2:$B$501),"")</f>
        <v/>
      </c>
      <c r="C274" s="4"/>
      <c r="D274" s="4" t="str">
        <f ca="1">IFERROR(_xludf.XLOOKUP(A274,Milestones!$A$2:$A$501,Milestones!$C$2:$C$501),"")</f>
        <v/>
      </c>
      <c r="E274" s="4"/>
      <c r="F274" s="4"/>
      <c r="G274" s="4" t="str">
        <f ca="1">IFERROR(_xludf.XLOOKUP(F274,Ustawienia!$H$4:$H$8,Ustawienia!$I$4:$I$8),"")</f>
        <v/>
      </c>
      <c r="H274" s="4"/>
      <c r="I274" s="4"/>
    </row>
    <row r="275" spans="1:9" x14ac:dyDescent="0.25">
      <c r="A275" s="4"/>
      <c r="B275" s="4" t="str">
        <f ca="1">IFERROR(_xludf.XLOOKUP(A275,Pracownicy!$A$2:$A$501,Pracownicy!$B$2:$B$501),"")</f>
        <v/>
      </c>
      <c r="C275" s="4"/>
      <c r="D275" s="4" t="str">
        <f ca="1">IFERROR(_xludf.XLOOKUP(A275,Milestones!$A$2:$A$501,Milestones!$C$2:$C$501),"")</f>
        <v/>
      </c>
      <c r="E275" s="4"/>
      <c r="F275" s="4"/>
      <c r="G275" s="4" t="str">
        <f ca="1">IFERROR(_xludf.XLOOKUP(F275,Ustawienia!$H$4:$H$8,Ustawienia!$I$4:$I$8),"")</f>
        <v/>
      </c>
      <c r="H275" s="4"/>
      <c r="I275" s="4"/>
    </row>
    <row r="276" spans="1:9" x14ac:dyDescent="0.25">
      <c r="A276" s="4"/>
      <c r="B276" s="4" t="str">
        <f ca="1">IFERROR(_xludf.XLOOKUP(A276,Pracownicy!$A$2:$A$501,Pracownicy!$B$2:$B$501),"")</f>
        <v/>
      </c>
      <c r="C276" s="4"/>
      <c r="D276" s="4" t="str">
        <f ca="1">IFERROR(_xludf.XLOOKUP(A276,Milestones!$A$2:$A$501,Milestones!$C$2:$C$501),"")</f>
        <v/>
      </c>
      <c r="E276" s="4"/>
      <c r="F276" s="4"/>
      <c r="G276" s="4" t="str">
        <f ca="1">IFERROR(_xludf.XLOOKUP(F276,Ustawienia!$H$4:$H$8,Ustawienia!$I$4:$I$8),"")</f>
        <v/>
      </c>
      <c r="H276" s="4"/>
      <c r="I276" s="4"/>
    </row>
    <row r="277" spans="1:9" x14ac:dyDescent="0.25">
      <c r="A277" s="4"/>
      <c r="B277" s="4" t="str">
        <f ca="1">IFERROR(_xludf.XLOOKUP(A277,Pracownicy!$A$2:$A$501,Pracownicy!$B$2:$B$501),"")</f>
        <v/>
      </c>
      <c r="C277" s="4"/>
      <c r="D277" s="4" t="str">
        <f ca="1">IFERROR(_xludf.XLOOKUP(A277,Milestones!$A$2:$A$501,Milestones!$C$2:$C$501),"")</f>
        <v/>
      </c>
      <c r="E277" s="4"/>
      <c r="F277" s="4"/>
      <c r="G277" s="4" t="str">
        <f ca="1">IFERROR(_xludf.XLOOKUP(F277,Ustawienia!$H$4:$H$8,Ustawienia!$I$4:$I$8),"")</f>
        <v/>
      </c>
      <c r="H277" s="4"/>
      <c r="I277" s="4"/>
    </row>
    <row r="278" spans="1:9" x14ac:dyDescent="0.25">
      <c r="A278" s="4"/>
      <c r="B278" s="4" t="str">
        <f ca="1">IFERROR(_xludf.XLOOKUP(A278,Pracownicy!$A$2:$A$501,Pracownicy!$B$2:$B$501),"")</f>
        <v/>
      </c>
      <c r="C278" s="4"/>
      <c r="D278" s="4" t="str">
        <f ca="1">IFERROR(_xludf.XLOOKUP(A278,Milestones!$A$2:$A$501,Milestones!$C$2:$C$501),"")</f>
        <v/>
      </c>
      <c r="E278" s="4"/>
      <c r="F278" s="4"/>
      <c r="G278" s="4" t="str">
        <f ca="1">IFERROR(_xludf.XLOOKUP(F278,Ustawienia!$H$4:$H$8,Ustawienia!$I$4:$I$8),"")</f>
        <v/>
      </c>
      <c r="H278" s="4"/>
      <c r="I278" s="4"/>
    </row>
    <row r="279" spans="1:9" x14ac:dyDescent="0.25">
      <c r="A279" s="4"/>
      <c r="B279" s="4" t="str">
        <f ca="1">IFERROR(_xludf.XLOOKUP(A279,Pracownicy!$A$2:$A$501,Pracownicy!$B$2:$B$501),"")</f>
        <v/>
      </c>
      <c r="C279" s="4"/>
      <c r="D279" s="4" t="str">
        <f ca="1">IFERROR(_xludf.XLOOKUP(A279,Milestones!$A$2:$A$501,Milestones!$C$2:$C$501),"")</f>
        <v/>
      </c>
      <c r="E279" s="4"/>
      <c r="F279" s="4"/>
      <c r="G279" s="4" t="str">
        <f ca="1">IFERROR(_xludf.XLOOKUP(F279,Ustawienia!$H$4:$H$8,Ustawienia!$I$4:$I$8),"")</f>
        <v/>
      </c>
      <c r="H279" s="4"/>
      <c r="I279" s="4"/>
    </row>
    <row r="280" spans="1:9" x14ac:dyDescent="0.25">
      <c r="A280" s="4"/>
      <c r="B280" s="4" t="str">
        <f ca="1">IFERROR(_xludf.XLOOKUP(A280,Pracownicy!$A$2:$A$501,Pracownicy!$B$2:$B$501),"")</f>
        <v/>
      </c>
      <c r="C280" s="4"/>
      <c r="D280" s="4" t="str">
        <f ca="1">IFERROR(_xludf.XLOOKUP(A280,Milestones!$A$2:$A$501,Milestones!$C$2:$C$501),"")</f>
        <v/>
      </c>
      <c r="E280" s="4"/>
      <c r="F280" s="4"/>
      <c r="G280" s="4" t="str">
        <f ca="1">IFERROR(_xludf.XLOOKUP(F280,Ustawienia!$H$4:$H$8,Ustawienia!$I$4:$I$8),"")</f>
        <v/>
      </c>
      <c r="H280" s="4"/>
      <c r="I280" s="4"/>
    </row>
    <row r="281" spans="1:9" x14ac:dyDescent="0.25">
      <c r="A281" s="4"/>
      <c r="B281" s="4" t="str">
        <f ca="1">IFERROR(_xludf.XLOOKUP(A281,Pracownicy!$A$2:$A$501,Pracownicy!$B$2:$B$501),"")</f>
        <v/>
      </c>
      <c r="C281" s="4"/>
      <c r="D281" s="4" t="str">
        <f ca="1">IFERROR(_xludf.XLOOKUP(A281,Milestones!$A$2:$A$501,Milestones!$C$2:$C$501),"")</f>
        <v/>
      </c>
      <c r="E281" s="4"/>
      <c r="F281" s="4"/>
      <c r="G281" s="4" t="str">
        <f ca="1">IFERROR(_xludf.XLOOKUP(F281,Ustawienia!$H$4:$H$8,Ustawienia!$I$4:$I$8),"")</f>
        <v/>
      </c>
      <c r="H281" s="4"/>
      <c r="I281" s="4"/>
    </row>
    <row r="282" spans="1:9" x14ac:dyDescent="0.25">
      <c r="A282" s="4"/>
      <c r="B282" s="4" t="str">
        <f ca="1">IFERROR(_xludf.XLOOKUP(A282,Pracownicy!$A$2:$A$501,Pracownicy!$B$2:$B$501),"")</f>
        <v/>
      </c>
      <c r="C282" s="4"/>
      <c r="D282" s="4" t="str">
        <f ca="1">IFERROR(_xludf.XLOOKUP(A282,Milestones!$A$2:$A$501,Milestones!$C$2:$C$501),"")</f>
        <v/>
      </c>
      <c r="E282" s="4"/>
      <c r="F282" s="4"/>
      <c r="G282" s="4" t="str">
        <f ca="1">IFERROR(_xludf.XLOOKUP(F282,Ustawienia!$H$4:$H$8,Ustawienia!$I$4:$I$8),"")</f>
        <v/>
      </c>
      <c r="H282" s="4"/>
      <c r="I282" s="4"/>
    </row>
    <row r="283" spans="1:9" x14ac:dyDescent="0.25">
      <c r="A283" s="4"/>
      <c r="B283" s="4" t="str">
        <f ca="1">IFERROR(_xludf.XLOOKUP(A283,Pracownicy!$A$2:$A$501,Pracownicy!$B$2:$B$501),"")</f>
        <v/>
      </c>
      <c r="C283" s="4"/>
      <c r="D283" s="4" t="str">
        <f ca="1">IFERROR(_xludf.XLOOKUP(A283,Milestones!$A$2:$A$501,Milestones!$C$2:$C$501),"")</f>
        <v/>
      </c>
      <c r="E283" s="4"/>
      <c r="F283" s="4"/>
      <c r="G283" s="4" t="str">
        <f ca="1">IFERROR(_xludf.XLOOKUP(F283,Ustawienia!$H$4:$H$8,Ustawienia!$I$4:$I$8),"")</f>
        <v/>
      </c>
      <c r="H283" s="4"/>
      <c r="I283" s="4"/>
    </row>
    <row r="284" spans="1:9" x14ac:dyDescent="0.25">
      <c r="A284" s="4"/>
      <c r="B284" s="4" t="str">
        <f ca="1">IFERROR(_xludf.XLOOKUP(A284,Pracownicy!$A$2:$A$501,Pracownicy!$B$2:$B$501),"")</f>
        <v/>
      </c>
      <c r="C284" s="4"/>
      <c r="D284" s="4" t="str">
        <f ca="1">IFERROR(_xludf.XLOOKUP(A284,Milestones!$A$2:$A$501,Milestones!$C$2:$C$501),"")</f>
        <v/>
      </c>
      <c r="E284" s="4"/>
      <c r="F284" s="4"/>
      <c r="G284" s="4" t="str">
        <f ca="1">IFERROR(_xludf.XLOOKUP(F284,Ustawienia!$H$4:$H$8,Ustawienia!$I$4:$I$8),"")</f>
        <v/>
      </c>
      <c r="H284" s="4"/>
      <c r="I284" s="4"/>
    </row>
    <row r="285" spans="1:9" x14ac:dyDescent="0.25">
      <c r="A285" s="4"/>
      <c r="B285" s="4" t="str">
        <f ca="1">IFERROR(_xludf.XLOOKUP(A285,Pracownicy!$A$2:$A$501,Pracownicy!$B$2:$B$501),"")</f>
        <v/>
      </c>
      <c r="C285" s="4"/>
      <c r="D285" s="4" t="str">
        <f ca="1">IFERROR(_xludf.XLOOKUP(A285,Milestones!$A$2:$A$501,Milestones!$C$2:$C$501),"")</f>
        <v/>
      </c>
      <c r="E285" s="4"/>
      <c r="F285" s="4"/>
      <c r="G285" s="4" t="str">
        <f ca="1">IFERROR(_xludf.XLOOKUP(F285,Ustawienia!$H$4:$H$8,Ustawienia!$I$4:$I$8),"")</f>
        <v/>
      </c>
      <c r="H285" s="4"/>
      <c r="I285" s="4"/>
    </row>
    <row r="286" spans="1:9" x14ac:dyDescent="0.25">
      <c r="A286" s="4"/>
      <c r="B286" s="4" t="str">
        <f ca="1">IFERROR(_xludf.XLOOKUP(A286,Pracownicy!$A$2:$A$501,Pracownicy!$B$2:$B$501),"")</f>
        <v/>
      </c>
      <c r="C286" s="4"/>
      <c r="D286" s="4" t="str">
        <f ca="1">IFERROR(_xludf.XLOOKUP(A286,Milestones!$A$2:$A$501,Milestones!$C$2:$C$501),"")</f>
        <v/>
      </c>
      <c r="E286" s="4"/>
      <c r="F286" s="4"/>
      <c r="G286" s="4" t="str">
        <f ca="1">IFERROR(_xludf.XLOOKUP(F286,Ustawienia!$H$4:$H$8,Ustawienia!$I$4:$I$8),"")</f>
        <v/>
      </c>
      <c r="H286" s="4"/>
      <c r="I286" s="4"/>
    </row>
    <row r="287" spans="1:9" x14ac:dyDescent="0.25">
      <c r="A287" s="4"/>
      <c r="B287" s="4" t="str">
        <f ca="1">IFERROR(_xludf.XLOOKUP(A287,Pracownicy!$A$2:$A$501,Pracownicy!$B$2:$B$501),"")</f>
        <v/>
      </c>
      <c r="C287" s="4"/>
      <c r="D287" s="4" t="str">
        <f ca="1">IFERROR(_xludf.XLOOKUP(A287,Milestones!$A$2:$A$501,Milestones!$C$2:$C$501),"")</f>
        <v/>
      </c>
      <c r="E287" s="4"/>
      <c r="F287" s="4"/>
      <c r="G287" s="4" t="str">
        <f ca="1">IFERROR(_xludf.XLOOKUP(F287,Ustawienia!$H$4:$H$8,Ustawienia!$I$4:$I$8),"")</f>
        <v/>
      </c>
      <c r="H287" s="4"/>
      <c r="I287" s="4"/>
    </row>
    <row r="288" spans="1:9" x14ac:dyDescent="0.25">
      <c r="A288" s="4"/>
      <c r="B288" s="4" t="str">
        <f ca="1">IFERROR(_xludf.XLOOKUP(A288,Pracownicy!$A$2:$A$501,Pracownicy!$B$2:$B$501),"")</f>
        <v/>
      </c>
      <c r="C288" s="4"/>
      <c r="D288" s="4" t="str">
        <f ca="1">IFERROR(_xludf.XLOOKUP(A288,Milestones!$A$2:$A$501,Milestones!$C$2:$C$501),"")</f>
        <v/>
      </c>
      <c r="E288" s="4"/>
      <c r="F288" s="4"/>
      <c r="G288" s="4" t="str">
        <f ca="1">IFERROR(_xludf.XLOOKUP(F288,Ustawienia!$H$4:$H$8,Ustawienia!$I$4:$I$8),"")</f>
        <v/>
      </c>
      <c r="H288" s="4"/>
      <c r="I288" s="4"/>
    </row>
    <row r="289" spans="1:9" x14ac:dyDescent="0.25">
      <c r="A289" s="4"/>
      <c r="B289" s="4" t="str">
        <f ca="1">IFERROR(_xludf.XLOOKUP(A289,Pracownicy!$A$2:$A$501,Pracownicy!$B$2:$B$501),"")</f>
        <v/>
      </c>
      <c r="C289" s="4"/>
      <c r="D289" s="4" t="str">
        <f ca="1">IFERROR(_xludf.XLOOKUP(A289,Milestones!$A$2:$A$501,Milestones!$C$2:$C$501),"")</f>
        <v/>
      </c>
      <c r="E289" s="4"/>
      <c r="F289" s="4"/>
      <c r="G289" s="4" t="str">
        <f ca="1">IFERROR(_xludf.XLOOKUP(F289,Ustawienia!$H$4:$H$8,Ustawienia!$I$4:$I$8),"")</f>
        <v/>
      </c>
      <c r="H289" s="4"/>
      <c r="I289" s="4"/>
    </row>
    <row r="290" spans="1:9" x14ac:dyDescent="0.25">
      <c r="A290" s="4"/>
      <c r="B290" s="4" t="str">
        <f ca="1">IFERROR(_xludf.XLOOKUP(A290,Pracownicy!$A$2:$A$501,Pracownicy!$B$2:$B$501),"")</f>
        <v/>
      </c>
      <c r="C290" s="4"/>
      <c r="D290" s="4" t="str">
        <f ca="1">IFERROR(_xludf.XLOOKUP(A290,Milestones!$A$2:$A$501,Milestones!$C$2:$C$501),"")</f>
        <v/>
      </c>
      <c r="E290" s="4"/>
      <c r="F290" s="4"/>
      <c r="G290" s="4" t="str">
        <f ca="1">IFERROR(_xludf.XLOOKUP(F290,Ustawienia!$H$4:$H$8,Ustawienia!$I$4:$I$8),"")</f>
        <v/>
      </c>
      <c r="H290" s="4"/>
      <c r="I290" s="4"/>
    </row>
    <row r="291" spans="1:9" x14ac:dyDescent="0.25">
      <c r="A291" s="4"/>
      <c r="B291" s="4" t="str">
        <f ca="1">IFERROR(_xludf.XLOOKUP(A291,Pracownicy!$A$2:$A$501,Pracownicy!$B$2:$B$501),"")</f>
        <v/>
      </c>
      <c r="C291" s="4"/>
      <c r="D291" s="4" t="str">
        <f ca="1">IFERROR(_xludf.XLOOKUP(A291,Milestones!$A$2:$A$501,Milestones!$C$2:$C$501),"")</f>
        <v/>
      </c>
      <c r="E291" s="4"/>
      <c r="F291" s="4"/>
      <c r="G291" s="4" t="str">
        <f ca="1">IFERROR(_xludf.XLOOKUP(F291,Ustawienia!$H$4:$H$8,Ustawienia!$I$4:$I$8),"")</f>
        <v/>
      </c>
      <c r="H291" s="4"/>
      <c r="I291" s="4"/>
    </row>
    <row r="292" spans="1:9" x14ac:dyDescent="0.25">
      <c r="A292" s="4"/>
      <c r="B292" s="4" t="str">
        <f ca="1">IFERROR(_xludf.XLOOKUP(A292,Pracownicy!$A$2:$A$501,Pracownicy!$B$2:$B$501),"")</f>
        <v/>
      </c>
      <c r="C292" s="4"/>
      <c r="D292" s="4" t="str">
        <f ca="1">IFERROR(_xludf.XLOOKUP(A292,Milestones!$A$2:$A$501,Milestones!$C$2:$C$501),"")</f>
        <v/>
      </c>
      <c r="E292" s="4"/>
      <c r="F292" s="4"/>
      <c r="G292" s="4" t="str">
        <f ca="1">IFERROR(_xludf.XLOOKUP(F292,Ustawienia!$H$4:$H$8,Ustawienia!$I$4:$I$8),"")</f>
        <v/>
      </c>
      <c r="H292" s="4"/>
      <c r="I292" s="4"/>
    </row>
    <row r="293" spans="1:9" x14ac:dyDescent="0.25">
      <c r="A293" s="4"/>
      <c r="B293" s="4" t="str">
        <f ca="1">IFERROR(_xludf.XLOOKUP(A293,Pracownicy!$A$2:$A$501,Pracownicy!$B$2:$B$501),"")</f>
        <v/>
      </c>
      <c r="C293" s="4"/>
      <c r="D293" s="4" t="str">
        <f ca="1">IFERROR(_xludf.XLOOKUP(A293,Milestones!$A$2:$A$501,Milestones!$C$2:$C$501),"")</f>
        <v/>
      </c>
      <c r="E293" s="4"/>
      <c r="F293" s="4"/>
      <c r="G293" s="4" t="str">
        <f ca="1">IFERROR(_xludf.XLOOKUP(F293,Ustawienia!$H$4:$H$8,Ustawienia!$I$4:$I$8),"")</f>
        <v/>
      </c>
      <c r="H293" s="4"/>
      <c r="I293" s="4"/>
    </row>
    <row r="294" spans="1:9" x14ac:dyDescent="0.25">
      <c r="A294" s="4"/>
      <c r="B294" s="4" t="str">
        <f ca="1">IFERROR(_xludf.XLOOKUP(A294,Pracownicy!$A$2:$A$501,Pracownicy!$B$2:$B$501),"")</f>
        <v/>
      </c>
      <c r="C294" s="4"/>
      <c r="D294" s="4" t="str">
        <f ca="1">IFERROR(_xludf.XLOOKUP(A294,Milestones!$A$2:$A$501,Milestones!$C$2:$C$501),"")</f>
        <v/>
      </c>
      <c r="E294" s="4"/>
      <c r="F294" s="4"/>
      <c r="G294" s="4" t="str">
        <f ca="1">IFERROR(_xludf.XLOOKUP(F294,Ustawienia!$H$4:$H$8,Ustawienia!$I$4:$I$8),"")</f>
        <v/>
      </c>
      <c r="H294" s="4"/>
      <c r="I294" s="4"/>
    </row>
    <row r="295" spans="1:9" x14ac:dyDescent="0.25">
      <c r="A295" s="4"/>
      <c r="B295" s="4" t="str">
        <f ca="1">IFERROR(_xludf.XLOOKUP(A295,Pracownicy!$A$2:$A$501,Pracownicy!$B$2:$B$501),"")</f>
        <v/>
      </c>
      <c r="C295" s="4"/>
      <c r="D295" s="4" t="str">
        <f ca="1">IFERROR(_xludf.XLOOKUP(A295,Milestones!$A$2:$A$501,Milestones!$C$2:$C$501),"")</f>
        <v/>
      </c>
      <c r="E295" s="4"/>
      <c r="F295" s="4"/>
      <c r="G295" s="4" t="str">
        <f ca="1">IFERROR(_xludf.XLOOKUP(F295,Ustawienia!$H$4:$H$8,Ustawienia!$I$4:$I$8),"")</f>
        <v/>
      </c>
      <c r="H295" s="4"/>
      <c r="I295" s="4"/>
    </row>
    <row r="296" spans="1:9" x14ac:dyDescent="0.25">
      <c r="A296" s="4"/>
      <c r="B296" s="4" t="str">
        <f ca="1">IFERROR(_xludf.XLOOKUP(A296,Pracownicy!$A$2:$A$501,Pracownicy!$B$2:$B$501),"")</f>
        <v/>
      </c>
      <c r="C296" s="4"/>
      <c r="D296" s="4" t="str">
        <f ca="1">IFERROR(_xludf.XLOOKUP(A296,Milestones!$A$2:$A$501,Milestones!$C$2:$C$501),"")</f>
        <v/>
      </c>
      <c r="E296" s="4"/>
      <c r="F296" s="4"/>
      <c r="G296" s="4" t="str">
        <f ca="1">IFERROR(_xludf.XLOOKUP(F296,Ustawienia!$H$4:$H$8,Ustawienia!$I$4:$I$8),"")</f>
        <v/>
      </c>
      <c r="H296" s="4"/>
      <c r="I296" s="4"/>
    </row>
    <row r="297" spans="1:9" x14ac:dyDescent="0.25">
      <c r="A297" s="4"/>
      <c r="B297" s="4" t="str">
        <f ca="1">IFERROR(_xludf.XLOOKUP(A297,Pracownicy!$A$2:$A$501,Pracownicy!$B$2:$B$501),"")</f>
        <v/>
      </c>
      <c r="C297" s="4"/>
      <c r="D297" s="4" t="str">
        <f ca="1">IFERROR(_xludf.XLOOKUP(A297,Milestones!$A$2:$A$501,Milestones!$C$2:$C$501),"")</f>
        <v/>
      </c>
      <c r="E297" s="4"/>
      <c r="F297" s="4"/>
      <c r="G297" s="4" t="str">
        <f ca="1">IFERROR(_xludf.XLOOKUP(F297,Ustawienia!$H$4:$H$8,Ustawienia!$I$4:$I$8),"")</f>
        <v/>
      </c>
      <c r="H297" s="4"/>
      <c r="I297" s="4"/>
    </row>
    <row r="298" spans="1:9" x14ac:dyDescent="0.25">
      <c r="A298" s="4"/>
      <c r="B298" s="4" t="str">
        <f ca="1">IFERROR(_xludf.XLOOKUP(A298,Pracownicy!$A$2:$A$501,Pracownicy!$B$2:$B$501),"")</f>
        <v/>
      </c>
      <c r="C298" s="4"/>
      <c r="D298" s="4" t="str">
        <f ca="1">IFERROR(_xludf.XLOOKUP(A298,Milestones!$A$2:$A$501,Milestones!$C$2:$C$501),"")</f>
        <v/>
      </c>
      <c r="E298" s="4"/>
      <c r="F298" s="4"/>
      <c r="G298" s="4" t="str">
        <f ca="1">IFERROR(_xludf.XLOOKUP(F298,Ustawienia!$H$4:$H$8,Ustawienia!$I$4:$I$8),"")</f>
        <v/>
      </c>
      <c r="H298" s="4"/>
      <c r="I298" s="4"/>
    </row>
    <row r="299" spans="1:9" x14ac:dyDescent="0.25">
      <c r="A299" s="4"/>
      <c r="B299" s="4" t="str">
        <f ca="1">IFERROR(_xludf.XLOOKUP(A299,Pracownicy!$A$2:$A$501,Pracownicy!$B$2:$B$501),"")</f>
        <v/>
      </c>
      <c r="C299" s="4"/>
      <c r="D299" s="4" t="str">
        <f ca="1">IFERROR(_xludf.XLOOKUP(A299,Milestones!$A$2:$A$501,Milestones!$C$2:$C$501),"")</f>
        <v/>
      </c>
      <c r="E299" s="4"/>
      <c r="F299" s="4"/>
      <c r="G299" s="4" t="str">
        <f ca="1">IFERROR(_xludf.XLOOKUP(F299,Ustawienia!$H$4:$H$8,Ustawienia!$I$4:$I$8),"")</f>
        <v/>
      </c>
      <c r="H299" s="4"/>
      <c r="I299" s="4"/>
    </row>
    <row r="300" spans="1:9" x14ac:dyDescent="0.25">
      <c r="A300" s="4"/>
      <c r="B300" s="4" t="str">
        <f ca="1">IFERROR(_xludf.XLOOKUP(A300,Pracownicy!$A$2:$A$501,Pracownicy!$B$2:$B$501),"")</f>
        <v/>
      </c>
      <c r="C300" s="4"/>
      <c r="D300" s="4" t="str">
        <f ca="1">IFERROR(_xludf.XLOOKUP(A300,Milestones!$A$2:$A$501,Milestones!$C$2:$C$501),"")</f>
        <v/>
      </c>
      <c r="E300" s="4"/>
      <c r="F300" s="4"/>
      <c r="G300" s="4" t="str">
        <f ca="1">IFERROR(_xludf.XLOOKUP(F300,Ustawienia!$H$4:$H$8,Ustawienia!$I$4:$I$8),"")</f>
        <v/>
      </c>
      <c r="H300" s="4"/>
      <c r="I300" s="4"/>
    </row>
    <row r="301" spans="1:9" x14ac:dyDescent="0.25">
      <c r="A301" s="4"/>
      <c r="B301" s="4" t="str">
        <f ca="1">IFERROR(_xludf.XLOOKUP(A301,Pracownicy!$A$2:$A$501,Pracownicy!$B$2:$B$501),"")</f>
        <v/>
      </c>
      <c r="C301" s="4"/>
      <c r="D301" s="4" t="str">
        <f ca="1">IFERROR(_xludf.XLOOKUP(A301,Milestones!$A$2:$A$501,Milestones!$C$2:$C$501),"")</f>
        <v/>
      </c>
      <c r="E301" s="4"/>
      <c r="F301" s="4"/>
      <c r="G301" s="4" t="str">
        <f ca="1">IFERROR(_xludf.XLOOKUP(F301,Ustawienia!$H$4:$H$8,Ustawienia!$I$4:$I$8),"")</f>
        <v/>
      </c>
      <c r="H301" s="4"/>
      <c r="I301" s="4"/>
    </row>
    <row r="302" spans="1:9" x14ac:dyDescent="0.25">
      <c r="A302" s="4"/>
      <c r="B302" s="4" t="str">
        <f ca="1">IFERROR(_xludf.XLOOKUP(A302,Pracownicy!$A$2:$A$501,Pracownicy!$B$2:$B$501),"")</f>
        <v/>
      </c>
      <c r="C302" s="4"/>
      <c r="D302" s="4" t="str">
        <f ca="1">IFERROR(_xludf.XLOOKUP(A302,Milestones!$A$2:$A$501,Milestones!$C$2:$C$501),"")</f>
        <v/>
      </c>
      <c r="E302" s="4"/>
      <c r="F302" s="4"/>
      <c r="G302" s="4" t="str">
        <f ca="1">IFERROR(_xludf.XLOOKUP(F302,Ustawienia!$H$4:$H$8,Ustawienia!$I$4:$I$8),"")</f>
        <v/>
      </c>
      <c r="H302" s="4"/>
      <c r="I302" s="4"/>
    </row>
    <row r="303" spans="1:9" x14ac:dyDescent="0.25">
      <c r="A303" s="4"/>
      <c r="B303" s="4" t="str">
        <f ca="1">IFERROR(_xludf.XLOOKUP(A303,Pracownicy!$A$2:$A$501,Pracownicy!$B$2:$B$501),"")</f>
        <v/>
      </c>
      <c r="C303" s="4"/>
      <c r="D303" s="4" t="str">
        <f ca="1">IFERROR(_xludf.XLOOKUP(A303,Milestones!$A$2:$A$501,Milestones!$C$2:$C$501),"")</f>
        <v/>
      </c>
      <c r="E303" s="4"/>
      <c r="F303" s="4"/>
      <c r="G303" s="4" t="str">
        <f ca="1">IFERROR(_xludf.XLOOKUP(F303,Ustawienia!$H$4:$H$8,Ustawienia!$I$4:$I$8),"")</f>
        <v/>
      </c>
      <c r="H303" s="4"/>
      <c r="I303" s="4"/>
    </row>
    <row r="304" spans="1:9" x14ac:dyDescent="0.25">
      <c r="A304" s="4"/>
      <c r="B304" s="4" t="str">
        <f ca="1">IFERROR(_xludf.XLOOKUP(A304,Pracownicy!$A$2:$A$501,Pracownicy!$B$2:$B$501),"")</f>
        <v/>
      </c>
      <c r="C304" s="4"/>
      <c r="D304" s="4" t="str">
        <f ca="1">IFERROR(_xludf.XLOOKUP(A304,Milestones!$A$2:$A$501,Milestones!$C$2:$C$501),"")</f>
        <v/>
      </c>
      <c r="E304" s="4"/>
      <c r="F304" s="4"/>
      <c r="G304" s="4" t="str">
        <f ca="1">IFERROR(_xludf.XLOOKUP(F304,Ustawienia!$H$4:$H$8,Ustawienia!$I$4:$I$8),"")</f>
        <v/>
      </c>
      <c r="H304" s="4"/>
      <c r="I304" s="4"/>
    </row>
    <row r="305" spans="1:9" x14ac:dyDescent="0.25">
      <c r="A305" s="4"/>
      <c r="B305" s="4" t="str">
        <f ca="1">IFERROR(_xludf.XLOOKUP(A305,Pracownicy!$A$2:$A$501,Pracownicy!$B$2:$B$501),"")</f>
        <v/>
      </c>
      <c r="C305" s="4"/>
      <c r="D305" s="4" t="str">
        <f ca="1">IFERROR(_xludf.XLOOKUP(A305,Milestones!$A$2:$A$501,Milestones!$C$2:$C$501),"")</f>
        <v/>
      </c>
      <c r="E305" s="4"/>
      <c r="F305" s="4"/>
      <c r="G305" s="4" t="str">
        <f ca="1">IFERROR(_xludf.XLOOKUP(F305,Ustawienia!$H$4:$H$8,Ustawienia!$I$4:$I$8),"")</f>
        <v/>
      </c>
      <c r="H305" s="4"/>
      <c r="I305" s="4"/>
    </row>
    <row r="306" spans="1:9" x14ac:dyDescent="0.25">
      <c r="A306" s="4"/>
      <c r="B306" s="4" t="str">
        <f ca="1">IFERROR(_xludf.XLOOKUP(A306,Pracownicy!$A$2:$A$501,Pracownicy!$B$2:$B$501),"")</f>
        <v/>
      </c>
      <c r="C306" s="4"/>
      <c r="D306" s="4" t="str">
        <f ca="1">IFERROR(_xludf.XLOOKUP(A306,Milestones!$A$2:$A$501,Milestones!$C$2:$C$501),"")</f>
        <v/>
      </c>
      <c r="E306" s="4"/>
      <c r="F306" s="4"/>
      <c r="G306" s="4" t="str">
        <f ca="1">IFERROR(_xludf.XLOOKUP(F306,Ustawienia!$H$4:$H$8,Ustawienia!$I$4:$I$8),"")</f>
        <v/>
      </c>
      <c r="H306" s="4"/>
      <c r="I306" s="4"/>
    </row>
    <row r="307" spans="1:9" x14ac:dyDescent="0.25">
      <c r="A307" s="4"/>
      <c r="B307" s="4" t="str">
        <f ca="1">IFERROR(_xludf.XLOOKUP(A307,Pracownicy!$A$2:$A$501,Pracownicy!$B$2:$B$501),"")</f>
        <v/>
      </c>
      <c r="C307" s="4"/>
      <c r="D307" s="4" t="str">
        <f ca="1">IFERROR(_xludf.XLOOKUP(A307,Milestones!$A$2:$A$501,Milestones!$C$2:$C$501),"")</f>
        <v/>
      </c>
      <c r="E307" s="4"/>
      <c r="F307" s="4"/>
      <c r="G307" s="4" t="str">
        <f ca="1">IFERROR(_xludf.XLOOKUP(F307,Ustawienia!$H$4:$H$8,Ustawienia!$I$4:$I$8),"")</f>
        <v/>
      </c>
      <c r="H307" s="4"/>
      <c r="I307" s="4"/>
    </row>
    <row r="308" spans="1:9" x14ac:dyDescent="0.25">
      <c r="A308" s="4"/>
      <c r="B308" s="4" t="str">
        <f ca="1">IFERROR(_xludf.XLOOKUP(A308,Pracownicy!$A$2:$A$501,Pracownicy!$B$2:$B$501),"")</f>
        <v/>
      </c>
      <c r="C308" s="4"/>
      <c r="D308" s="4" t="str">
        <f ca="1">IFERROR(_xludf.XLOOKUP(A308,Milestones!$A$2:$A$501,Milestones!$C$2:$C$501),"")</f>
        <v/>
      </c>
      <c r="E308" s="4"/>
      <c r="F308" s="4"/>
      <c r="G308" s="4" t="str">
        <f ca="1">IFERROR(_xludf.XLOOKUP(F308,Ustawienia!$H$4:$H$8,Ustawienia!$I$4:$I$8),"")</f>
        <v/>
      </c>
      <c r="H308" s="4"/>
      <c r="I308" s="4"/>
    </row>
    <row r="309" spans="1:9" x14ac:dyDescent="0.25">
      <c r="A309" s="4"/>
      <c r="B309" s="4" t="str">
        <f ca="1">IFERROR(_xludf.XLOOKUP(A309,Pracownicy!$A$2:$A$501,Pracownicy!$B$2:$B$501),"")</f>
        <v/>
      </c>
      <c r="C309" s="4"/>
      <c r="D309" s="4" t="str">
        <f ca="1">IFERROR(_xludf.XLOOKUP(A309,Milestones!$A$2:$A$501,Milestones!$C$2:$C$501),"")</f>
        <v/>
      </c>
      <c r="E309" s="4"/>
      <c r="F309" s="4"/>
      <c r="G309" s="4" t="str">
        <f ca="1">IFERROR(_xludf.XLOOKUP(F309,Ustawienia!$H$4:$H$8,Ustawienia!$I$4:$I$8),"")</f>
        <v/>
      </c>
      <c r="H309" s="4"/>
      <c r="I309" s="4"/>
    </row>
    <row r="310" spans="1:9" x14ac:dyDescent="0.25">
      <c r="A310" s="4"/>
      <c r="B310" s="4" t="str">
        <f ca="1">IFERROR(_xludf.XLOOKUP(A310,Pracownicy!$A$2:$A$501,Pracownicy!$B$2:$B$501),"")</f>
        <v/>
      </c>
      <c r="C310" s="4"/>
      <c r="D310" s="4" t="str">
        <f ca="1">IFERROR(_xludf.XLOOKUP(A310,Milestones!$A$2:$A$501,Milestones!$C$2:$C$501),"")</f>
        <v/>
      </c>
      <c r="E310" s="4"/>
      <c r="F310" s="4"/>
      <c r="G310" s="4" t="str">
        <f ca="1">IFERROR(_xludf.XLOOKUP(F310,Ustawienia!$H$4:$H$8,Ustawienia!$I$4:$I$8),"")</f>
        <v/>
      </c>
      <c r="H310" s="4"/>
      <c r="I310" s="4"/>
    </row>
    <row r="311" spans="1:9" x14ac:dyDescent="0.25">
      <c r="A311" s="4"/>
      <c r="B311" s="4" t="str">
        <f ca="1">IFERROR(_xludf.XLOOKUP(A311,Pracownicy!$A$2:$A$501,Pracownicy!$B$2:$B$501),"")</f>
        <v/>
      </c>
      <c r="C311" s="4"/>
      <c r="D311" s="4" t="str">
        <f ca="1">IFERROR(_xludf.XLOOKUP(A311,Milestones!$A$2:$A$501,Milestones!$C$2:$C$501),"")</f>
        <v/>
      </c>
      <c r="E311" s="4"/>
      <c r="F311" s="4"/>
      <c r="G311" s="4" t="str">
        <f ca="1">IFERROR(_xludf.XLOOKUP(F311,Ustawienia!$H$4:$H$8,Ustawienia!$I$4:$I$8),"")</f>
        <v/>
      </c>
      <c r="H311" s="4"/>
      <c r="I311" s="4"/>
    </row>
    <row r="312" spans="1:9" x14ac:dyDescent="0.25">
      <c r="A312" s="4"/>
      <c r="B312" s="4" t="str">
        <f ca="1">IFERROR(_xludf.XLOOKUP(A312,Pracownicy!$A$2:$A$501,Pracownicy!$B$2:$B$501),"")</f>
        <v/>
      </c>
      <c r="C312" s="4"/>
      <c r="D312" s="4" t="str">
        <f ca="1">IFERROR(_xludf.XLOOKUP(A312,Milestones!$A$2:$A$501,Milestones!$C$2:$C$501),"")</f>
        <v/>
      </c>
      <c r="E312" s="4"/>
      <c r="F312" s="4"/>
      <c r="G312" s="4" t="str">
        <f ca="1">IFERROR(_xludf.XLOOKUP(F312,Ustawienia!$H$4:$H$8,Ustawienia!$I$4:$I$8),"")</f>
        <v/>
      </c>
      <c r="H312" s="4"/>
      <c r="I312" s="4"/>
    </row>
    <row r="313" spans="1:9" x14ac:dyDescent="0.25">
      <c r="A313" s="4"/>
      <c r="B313" s="4" t="str">
        <f ca="1">IFERROR(_xludf.XLOOKUP(A313,Pracownicy!$A$2:$A$501,Pracownicy!$B$2:$B$501),"")</f>
        <v/>
      </c>
      <c r="C313" s="4"/>
      <c r="D313" s="4" t="str">
        <f ca="1">IFERROR(_xludf.XLOOKUP(A313,Milestones!$A$2:$A$501,Milestones!$C$2:$C$501),"")</f>
        <v/>
      </c>
      <c r="E313" s="4"/>
      <c r="F313" s="4"/>
      <c r="G313" s="4" t="str">
        <f ca="1">IFERROR(_xludf.XLOOKUP(F313,Ustawienia!$H$4:$H$8,Ustawienia!$I$4:$I$8),"")</f>
        <v/>
      </c>
      <c r="H313" s="4"/>
      <c r="I313" s="4"/>
    </row>
    <row r="314" spans="1:9" x14ac:dyDescent="0.25">
      <c r="A314" s="4"/>
      <c r="B314" s="4" t="str">
        <f ca="1">IFERROR(_xludf.XLOOKUP(A314,Pracownicy!$A$2:$A$501,Pracownicy!$B$2:$B$501),"")</f>
        <v/>
      </c>
      <c r="C314" s="4"/>
      <c r="D314" s="4" t="str">
        <f ca="1">IFERROR(_xludf.XLOOKUP(A314,Milestones!$A$2:$A$501,Milestones!$C$2:$C$501),"")</f>
        <v/>
      </c>
      <c r="E314" s="4"/>
      <c r="F314" s="4"/>
      <c r="G314" s="4" t="str">
        <f ca="1">IFERROR(_xludf.XLOOKUP(F314,Ustawienia!$H$4:$H$8,Ustawienia!$I$4:$I$8),"")</f>
        <v/>
      </c>
      <c r="H314" s="4"/>
      <c r="I314" s="4"/>
    </row>
    <row r="315" spans="1:9" x14ac:dyDescent="0.25">
      <c r="A315" s="4"/>
      <c r="B315" s="4" t="str">
        <f ca="1">IFERROR(_xludf.XLOOKUP(A315,Pracownicy!$A$2:$A$501,Pracownicy!$B$2:$B$501),"")</f>
        <v/>
      </c>
      <c r="C315" s="4"/>
      <c r="D315" s="4" t="str">
        <f ca="1">IFERROR(_xludf.XLOOKUP(A315,Milestones!$A$2:$A$501,Milestones!$C$2:$C$501),"")</f>
        <v/>
      </c>
      <c r="E315" s="4"/>
      <c r="F315" s="4"/>
      <c r="G315" s="4" t="str">
        <f ca="1">IFERROR(_xludf.XLOOKUP(F315,Ustawienia!$H$4:$H$8,Ustawienia!$I$4:$I$8),"")</f>
        <v/>
      </c>
      <c r="H315" s="4"/>
      <c r="I315" s="4"/>
    </row>
    <row r="316" spans="1:9" x14ac:dyDescent="0.25">
      <c r="A316" s="4"/>
      <c r="B316" s="4" t="str">
        <f ca="1">IFERROR(_xludf.XLOOKUP(A316,Pracownicy!$A$2:$A$501,Pracownicy!$B$2:$B$501),"")</f>
        <v/>
      </c>
      <c r="C316" s="4"/>
      <c r="D316" s="4" t="str">
        <f ca="1">IFERROR(_xludf.XLOOKUP(A316,Milestones!$A$2:$A$501,Milestones!$C$2:$C$501),"")</f>
        <v/>
      </c>
      <c r="E316" s="4"/>
      <c r="F316" s="4"/>
      <c r="G316" s="4" t="str">
        <f ca="1">IFERROR(_xludf.XLOOKUP(F316,Ustawienia!$H$4:$H$8,Ustawienia!$I$4:$I$8),"")</f>
        <v/>
      </c>
      <c r="H316" s="4"/>
      <c r="I316" s="4"/>
    </row>
    <row r="317" spans="1:9" x14ac:dyDescent="0.25">
      <c r="A317" s="4"/>
      <c r="B317" s="4" t="str">
        <f ca="1">IFERROR(_xludf.XLOOKUP(A317,Pracownicy!$A$2:$A$501,Pracownicy!$B$2:$B$501),"")</f>
        <v/>
      </c>
      <c r="C317" s="4"/>
      <c r="D317" s="4" t="str">
        <f ca="1">IFERROR(_xludf.XLOOKUP(A317,Milestones!$A$2:$A$501,Milestones!$C$2:$C$501),"")</f>
        <v/>
      </c>
      <c r="E317" s="4"/>
      <c r="F317" s="4"/>
      <c r="G317" s="4" t="str">
        <f ca="1">IFERROR(_xludf.XLOOKUP(F317,Ustawienia!$H$4:$H$8,Ustawienia!$I$4:$I$8),"")</f>
        <v/>
      </c>
      <c r="H317" s="4"/>
      <c r="I317" s="4"/>
    </row>
    <row r="318" spans="1:9" x14ac:dyDescent="0.25">
      <c r="A318" s="4"/>
      <c r="B318" s="4" t="str">
        <f ca="1">IFERROR(_xludf.XLOOKUP(A318,Pracownicy!$A$2:$A$501,Pracownicy!$B$2:$B$501),"")</f>
        <v/>
      </c>
      <c r="C318" s="4"/>
      <c r="D318" s="4" t="str">
        <f ca="1">IFERROR(_xludf.XLOOKUP(A318,Milestones!$A$2:$A$501,Milestones!$C$2:$C$501),"")</f>
        <v/>
      </c>
      <c r="E318" s="4"/>
      <c r="F318" s="4"/>
      <c r="G318" s="4" t="str">
        <f ca="1">IFERROR(_xludf.XLOOKUP(F318,Ustawienia!$H$4:$H$8,Ustawienia!$I$4:$I$8),"")</f>
        <v/>
      </c>
      <c r="H318" s="4"/>
      <c r="I318" s="4"/>
    </row>
    <row r="319" spans="1:9" x14ac:dyDescent="0.25">
      <c r="A319" s="4"/>
      <c r="B319" s="4" t="str">
        <f ca="1">IFERROR(_xludf.XLOOKUP(A319,Pracownicy!$A$2:$A$501,Pracownicy!$B$2:$B$501),"")</f>
        <v/>
      </c>
      <c r="C319" s="4"/>
      <c r="D319" s="4" t="str">
        <f ca="1">IFERROR(_xludf.XLOOKUP(A319,Milestones!$A$2:$A$501,Milestones!$C$2:$C$501),"")</f>
        <v/>
      </c>
      <c r="E319" s="4"/>
      <c r="F319" s="4"/>
      <c r="G319" s="4" t="str">
        <f ca="1">IFERROR(_xludf.XLOOKUP(F319,Ustawienia!$H$4:$H$8,Ustawienia!$I$4:$I$8),"")</f>
        <v/>
      </c>
      <c r="H319" s="4"/>
      <c r="I319" s="4"/>
    </row>
    <row r="320" spans="1:9" x14ac:dyDescent="0.25">
      <c r="A320" s="4"/>
      <c r="B320" s="4" t="str">
        <f ca="1">IFERROR(_xludf.XLOOKUP(A320,Pracownicy!$A$2:$A$501,Pracownicy!$B$2:$B$501),"")</f>
        <v/>
      </c>
      <c r="C320" s="4"/>
      <c r="D320" s="4" t="str">
        <f ca="1">IFERROR(_xludf.XLOOKUP(A320,Milestones!$A$2:$A$501,Milestones!$C$2:$C$501),"")</f>
        <v/>
      </c>
      <c r="E320" s="4"/>
      <c r="F320" s="4"/>
      <c r="G320" s="4" t="str">
        <f ca="1">IFERROR(_xludf.XLOOKUP(F320,Ustawienia!$H$4:$H$8,Ustawienia!$I$4:$I$8),"")</f>
        <v/>
      </c>
      <c r="H320" s="4"/>
      <c r="I320" s="4"/>
    </row>
    <row r="321" spans="1:9" x14ac:dyDescent="0.25">
      <c r="A321" s="4"/>
      <c r="B321" s="4" t="str">
        <f ca="1">IFERROR(_xludf.XLOOKUP(A321,Pracownicy!$A$2:$A$501,Pracownicy!$B$2:$B$501),"")</f>
        <v/>
      </c>
      <c r="C321" s="4"/>
      <c r="D321" s="4" t="str">
        <f ca="1">IFERROR(_xludf.XLOOKUP(A321,Milestones!$A$2:$A$501,Milestones!$C$2:$C$501),"")</f>
        <v/>
      </c>
      <c r="E321" s="4"/>
      <c r="F321" s="4"/>
      <c r="G321" s="4" t="str">
        <f ca="1">IFERROR(_xludf.XLOOKUP(F321,Ustawienia!$H$4:$H$8,Ustawienia!$I$4:$I$8),"")</f>
        <v/>
      </c>
      <c r="H321" s="4"/>
      <c r="I321" s="4"/>
    </row>
    <row r="322" spans="1:9" x14ac:dyDescent="0.25">
      <c r="A322" s="4"/>
      <c r="B322" s="4" t="str">
        <f ca="1">IFERROR(_xludf.XLOOKUP(A322,Pracownicy!$A$2:$A$501,Pracownicy!$B$2:$B$501),"")</f>
        <v/>
      </c>
      <c r="C322" s="4"/>
      <c r="D322" s="4" t="str">
        <f ca="1">IFERROR(_xludf.XLOOKUP(A322,Milestones!$A$2:$A$501,Milestones!$C$2:$C$501),"")</f>
        <v/>
      </c>
      <c r="E322" s="4"/>
      <c r="F322" s="4"/>
      <c r="G322" s="4" t="str">
        <f ca="1">IFERROR(_xludf.XLOOKUP(F322,Ustawienia!$H$4:$H$8,Ustawienia!$I$4:$I$8),"")</f>
        <v/>
      </c>
      <c r="H322" s="4"/>
      <c r="I322" s="4"/>
    </row>
    <row r="323" spans="1:9" x14ac:dyDescent="0.25">
      <c r="A323" s="4"/>
      <c r="B323" s="4" t="str">
        <f ca="1">IFERROR(_xludf.XLOOKUP(A323,Pracownicy!$A$2:$A$501,Pracownicy!$B$2:$B$501),"")</f>
        <v/>
      </c>
      <c r="C323" s="4"/>
      <c r="D323" s="4" t="str">
        <f ca="1">IFERROR(_xludf.XLOOKUP(A323,Milestones!$A$2:$A$501,Milestones!$C$2:$C$501),"")</f>
        <v/>
      </c>
      <c r="E323" s="4"/>
      <c r="F323" s="4"/>
      <c r="G323" s="4" t="str">
        <f ca="1">IFERROR(_xludf.XLOOKUP(F323,Ustawienia!$H$4:$H$8,Ustawienia!$I$4:$I$8),"")</f>
        <v/>
      </c>
      <c r="H323" s="4"/>
      <c r="I323" s="4"/>
    </row>
    <row r="324" spans="1:9" x14ac:dyDescent="0.25">
      <c r="A324" s="4"/>
      <c r="B324" s="4" t="str">
        <f ca="1">IFERROR(_xludf.XLOOKUP(A324,Pracownicy!$A$2:$A$501,Pracownicy!$B$2:$B$501),"")</f>
        <v/>
      </c>
      <c r="C324" s="4"/>
      <c r="D324" s="4" t="str">
        <f ca="1">IFERROR(_xludf.XLOOKUP(A324,Milestones!$A$2:$A$501,Milestones!$C$2:$C$501),"")</f>
        <v/>
      </c>
      <c r="E324" s="4"/>
      <c r="F324" s="4"/>
      <c r="G324" s="4" t="str">
        <f ca="1">IFERROR(_xludf.XLOOKUP(F324,Ustawienia!$H$4:$H$8,Ustawienia!$I$4:$I$8),"")</f>
        <v/>
      </c>
      <c r="H324" s="4"/>
      <c r="I324" s="4"/>
    </row>
    <row r="325" spans="1:9" x14ac:dyDescent="0.25">
      <c r="A325" s="4"/>
      <c r="B325" s="4" t="str">
        <f ca="1">IFERROR(_xludf.XLOOKUP(A325,Pracownicy!$A$2:$A$501,Pracownicy!$B$2:$B$501),"")</f>
        <v/>
      </c>
      <c r="C325" s="4"/>
      <c r="D325" s="4" t="str">
        <f ca="1">IFERROR(_xludf.XLOOKUP(A325,Milestones!$A$2:$A$501,Milestones!$C$2:$C$501),"")</f>
        <v/>
      </c>
      <c r="E325" s="4"/>
      <c r="F325" s="4"/>
      <c r="G325" s="4" t="str">
        <f ca="1">IFERROR(_xludf.XLOOKUP(F325,Ustawienia!$H$4:$H$8,Ustawienia!$I$4:$I$8),"")</f>
        <v/>
      </c>
      <c r="H325" s="4"/>
      <c r="I325" s="4"/>
    </row>
    <row r="326" spans="1:9" x14ac:dyDescent="0.25">
      <c r="A326" s="4"/>
      <c r="B326" s="4" t="str">
        <f ca="1">IFERROR(_xludf.XLOOKUP(A326,Pracownicy!$A$2:$A$501,Pracownicy!$B$2:$B$501),"")</f>
        <v/>
      </c>
      <c r="C326" s="4"/>
      <c r="D326" s="4" t="str">
        <f ca="1">IFERROR(_xludf.XLOOKUP(A326,Milestones!$A$2:$A$501,Milestones!$C$2:$C$501),"")</f>
        <v/>
      </c>
      <c r="E326" s="4"/>
      <c r="F326" s="4"/>
      <c r="G326" s="4" t="str">
        <f ca="1">IFERROR(_xludf.XLOOKUP(F326,Ustawienia!$H$4:$H$8,Ustawienia!$I$4:$I$8),"")</f>
        <v/>
      </c>
      <c r="H326" s="4"/>
      <c r="I326" s="4"/>
    </row>
    <row r="327" spans="1:9" x14ac:dyDescent="0.25">
      <c r="A327" s="4"/>
      <c r="B327" s="4" t="str">
        <f ca="1">IFERROR(_xludf.XLOOKUP(A327,Pracownicy!$A$2:$A$501,Pracownicy!$B$2:$B$501),"")</f>
        <v/>
      </c>
      <c r="C327" s="4"/>
      <c r="D327" s="4" t="str">
        <f ca="1">IFERROR(_xludf.XLOOKUP(A327,Milestones!$A$2:$A$501,Milestones!$C$2:$C$501),"")</f>
        <v/>
      </c>
      <c r="E327" s="4"/>
      <c r="F327" s="4"/>
      <c r="G327" s="4" t="str">
        <f ca="1">IFERROR(_xludf.XLOOKUP(F327,Ustawienia!$H$4:$H$8,Ustawienia!$I$4:$I$8),"")</f>
        <v/>
      </c>
      <c r="H327" s="4"/>
      <c r="I327" s="4"/>
    </row>
    <row r="328" spans="1:9" x14ac:dyDescent="0.25">
      <c r="A328" s="4"/>
      <c r="B328" s="4" t="str">
        <f ca="1">IFERROR(_xludf.XLOOKUP(A328,Pracownicy!$A$2:$A$501,Pracownicy!$B$2:$B$501),"")</f>
        <v/>
      </c>
      <c r="C328" s="4"/>
      <c r="D328" s="4" t="str">
        <f ca="1">IFERROR(_xludf.XLOOKUP(A328,Milestones!$A$2:$A$501,Milestones!$C$2:$C$501),"")</f>
        <v/>
      </c>
      <c r="E328" s="4"/>
      <c r="F328" s="4"/>
      <c r="G328" s="4" t="str">
        <f ca="1">IFERROR(_xludf.XLOOKUP(F328,Ustawienia!$H$4:$H$8,Ustawienia!$I$4:$I$8),"")</f>
        <v/>
      </c>
      <c r="H328" s="4"/>
      <c r="I328" s="4"/>
    </row>
    <row r="329" spans="1:9" x14ac:dyDescent="0.25">
      <c r="A329" s="4"/>
      <c r="B329" s="4" t="str">
        <f ca="1">IFERROR(_xludf.XLOOKUP(A329,Pracownicy!$A$2:$A$501,Pracownicy!$B$2:$B$501),"")</f>
        <v/>
      </c>
      <c r="C329" s="4"/>
      <c r="D329" s="4" t="str">
        <f ca="1">IFERROR(_xludf.XLOOKUP(A329,Milestones!$A$2:$A$501,Milestones!$C$2:$C$501),"")</f>
        <v/>
      </c>
      <c r="E329" s="4"/>
      <c r="F329" s="4"/>
      <c r="G329" s="4" t="str">
        <f ca="1">IFERROR(_xludf.XLOOKUP(F329,Ustawienia!$H$4:$H$8,Ustawienia!$I$4:$I$8),"")</f>
        <v/>
      </c>
      <c r="H329" s="4"/>
      <c r="I329" s="4"/>
    </row>
    <row r="330" spans="1:9" x14ac:dyDescent="0.25">
      <c r="A330" s="4"/>
      <c r="B330" s="4" t="str">
        <f ca="1">IFERROR(_xludf.XLOOKUP(A330,Pracownicy!$A$2:$A$501,Pracownicy!$B$2:$B$501),"")</f>
        <v/>
      </c>
      <c r="C330" s="4"/>
      <c r="D330" s="4" t="str">
        <f ca="1">IFERROR(_xludf.XLOOKUP(A330,Milestones!$A$2:$A$501,Milestones!$C$2:$C$501),"")</f>
        <v/>
      </c>
      <c r="E330" s="4"/>
      <c r="F330" s="4"/>
      <c r="G330" s="4" t="str">
        <f ca="1">IFERROR(_xludf.XLOOKUP(F330,Ustawienia!$H$4:$H$8,Ustawienia!$I$4:$I$8),"")</f>
        <v/>
      </c>
      <c r="H330" s="4"/>
      <c r="I330" s="4"/>
    </row>
    <row r="331" spans="1:9" x14ac:dyDescent="0.25">
      <c r="A331" s="4"/>
      <c r="B331" s="4" t="str">
        <f ca="1">IFERROR(_xludf.XLOOKUP(A331,Pracownicy!$A$2:$A$501,Pracownicy!$B$2:$B$501),"")</f>
        <v/>
      </c>
      <c r="C331" s="4"/>
      <c r="D331" s="4" t="str">
        <f ca="1">IFERROR(_xludf.XLOOKUP(A331,Milestones!$A$2:$A$501,Milestones!$C$2:$C$501),"")</f>
        <v/>
      </c>
      <c r="E331" s="4"/>
      <c r="F331" s="4"/>
      <c r="G331" s="4" t="str">
        <f ca="1">IFERROR(_xludf.XLOOKUP(F331,Ustawienia!$H$4:$H$8,Ustawienia!$I$4:$I$8),"")</f>
        <v/>
      </c>
      <c r="H331" s="4"/>
      <c r="I331" s="4"/>
    </row>
    <row r="332" spans="1:9" x14ac:dyDescent="0.25">
      <c r="A332" s="4"/>
      <c r="B332" s="4" t="str">
        <f ca="1">IFERROR(_xludf.XLOOKUP(A332,Pracownicy!$A$2:$A$501,Pracownicy!$B$2:$B$501),"")</f>
        <v/>
      </c>
      <c r="C332" s="4"/>
      <c r="D332" s="4" t="str">
        <f ca="1">IFERROR(_xludf.XLOOKUP(A332,Milestones!$A$2:$A$501,Milestones!$C$2:$C$501),"")</f>
        <v/>
      </c>
      <c r="E332" s="4"/>
      <c r="F332" s="4"/>
      <c r="G332" s="4" t="str">
        <f ca="1">IFERROR(_xludf.XLOOKUP(F332,Ustawienia!$H$4:$H$8,Ustawienia!$I$4:$I$8),"")</f>
        <v/>
      </c>
      <c r="H332" s="4"/>
      <c r="I332" s="4"/>
    </row>
    <row r="333" spans="1:9" x14ac:dyDescent="0.25">
      <c r="A333" s="4"/>
      <c r="B333" s="4" t="str">
        <f ca="1">IFERROR(_xludf.XLOOKUP(A333,Pracownicy!$A$2:$A$501,Pracownicy!$B$2:$B$501),"")</f>
        <v/>
      </c>
      <c r="C333" s="4"/>
      <c r="D333" s="4" t="str">
        <f ca="1">IFERROR(_xludf.XLOOKUP(A333,Milestones!$A$2:$A$501,Milestones!$C$2:$C$501),"")</f>
        <v/>
      </c>
      <c r="E333" s="4"/>
      <c r="F333" s="4"/>
      <c r="G333" s="4" t="str">
        <f ca="1">IFERROR(_xludf.XLOOKUP(F333,Ustawienia!$H$4:$H$8,Ustawienia!$I$4:$I$8),"")</f>
        <v/>
      </c>
      <c r="H333" s="4"/>
      <c r="I333" s="4"/>
    </row>
    <row r="334" spans="1:9" x14ac:dyDescent="0.25">
      <c r="A334" s="4"/>
      <c r="B334" s="4" t="str">
        <f ca="1">IFERROR(_xludf.XLOOKUP(A334,Pracownicy!$A$2:$A$501,Pracownicy!$B$2:$B$501),"")</f>
        <v/>
      </c>
      <c r="C334" s="4"/>
      <c r="D334" s="4" t="str">
        <f ca="1">IFERROR(_xludf.XLOOKUP(A334,Milestones!$A$2:$A$501,Milestones!$C$2:$C$501),"")</f>
        <v/>
      </c>
      <c r="E334" s="4"/>
      <c r="F334" s="4"/>
      <c r="G334" s="4" t="str">
        <f ca="1">IFERROR(_xludf.XLOOKUP(F334,Ustawienia!$H$4:$H$8,Ustawienia!$I$4:$I$8),"")</f>
        <v/>
      </c>
      <c r="H334" s="4"/>
      <c r="I334" s="4"/>
    </row>
    <row r="335" spans="1:9" x14ac:dyDescent="0.25">
      <c r="A335" s="4"/>
      <c r="B335" s="4" t="str">
        <f ca="1">IFERROR(_xludf.XLOOKUP(A335,Pracownicy!$A$2:$A$501,Pracownicy!$B$2:$B$501),"")</f>
        <v/>
      </c>
      <c r="C335" s="4"/>
      <c r="D335" s="4" t="str">
        <f ca="1">IFERROR(_xludf.XLOOKUP(A335,Milestones!$A$2:$A$501,Milestones!$C$2:$C$501),"")</f>
        <v/>
      </c>
      <c r="E335" s="4"/>
      <c r="F335" s="4"/>
      <c r="G335" s="4" t="str">
        <f ca="1">IFERROR(_xludf.XLOOKUP(F335,Ustawienia!$H$4:$H$8,Ustawienia!$I$4:$I$8),"")</f>
        <v/>
      </c>
      <c r="H335" s="4"/>
      <c r="I335" s="4"/>
    </row>
    <row r="336" spans="1:9" x14ac:dyDescent="0.25">
      <c r="A336" s="4"/>
      <c r="B336" s="4" t="str">
        <f ca="1">IFERROR(_xludf.XLOOKUP(A336,Pracownicy!$A$2:$A$501,Pracownicy!$B$2:$B$501),"")</f>
        <v/>
      </c>
      <c r="C336" s="4"/>
      <c r="D336" s="4" t="str">
        <f ca="1">IFERROR(_xludf.XLOOKUP(A336,Milestones!$A$2:$A$501,Milestones!$C$2:$C$501),"")</f>
        <v/>
      </c>
      <c r="E336" s="4"/>
      <c r="F336" s="4"/>
      <c r="G336" s="4" t="str">
        <f ca="1">IFERROR(_xludf.XLOOKUP(F336,Ustawienia!$H$4:$H$8,Ustawienia!$I$4:$I$8),"")</f>
        <v/>
      </c>
      <c r="H336" s="4"/>
      <c r="I336" s="4"/>
    </row>
    <row r="337" spans="1:9" x14ac:dyDescent="0.25">
      <c r="A337" s="4"/>
      <c r="B337" s="4" t="str">
        <f ca="1">IFERROR(_xludf.XLOOKUP(A337,Pracownicy!$A$2:$A$501,Pracownicy!$B$2:$B$501),"")</f>
        <v/>
      </c>
      <c r="C337" s="4"/>
      <c r="D337" s="4" t="str">
        <f ca="1">IFERROR(_xludf.XLOOKUP(A337,Milestones!$A$2:$A$501,Milestones!$C$2:$C$501),"")</f>
        <v/>
      </c>
      <c r="E337" s="4"/>
      <c r="F337" s="4"/>
      <c r="G337" s="4" t="str">
        <f ca="1">IFERROR(_xludf.XLOOKUP(F337,Ustawienia!$H$4:$H$8,Ustawienia!$I$4:$I$8),"")</f>
        <v/>
      </c>
      <c r="H337" s="4"/>
      <c r="I337" s="4"/>
    </row>
    <row r="338" spans="1:9" x14ac:dyDescent="0.25">
      <c r="A338" s="4"/>
      <c r="B338" s="4" t="str">
        <f ca="1">IFERROR(_xludf.XLOOKUP(A338,Pracownicy!$A$2:$A$501,Pracownicy!$B$2:$B$501),"")</f>
        <v/>
      </c>
      <c r="C338" s="4"/>
      <c r="D338" s="4" t="str">
        <f ca="1">IFERROR(_xludf.XLOOKUP(A338,Milestones!$A$2:$A$501,Milestones!$C$2:$C$501),"")</f>
        <v/>
      </c>
      <c r="E338" s="4"/>
      <c r="F338" s="4"/>
      <c r="G338" s="4" t="str">
        <f ca="1">IFERROR(_xludf.XLOOKUP(F338,Ustawienia!$H$4:$H$8,Ustawienia!$I$4:$I$8),"")</f>
        <v/>
      </c>
      <c r="H338" s="4"/>
      <c r="I338" s="4"/>
    </row>
    <row r="339" spans="1:9" x14ac:dyDescent="0.25">
      <c r="A339" s="4"/>
      <c r="B339" s="4" t="str">
        <f ca="1">IFERROR(_xludf.XLOOKUP(A339,Pracownicy!$A$2:$A$501,Pracownicy!$B$2:$B$501),"")</f>
        <v/>
      </c>
      <c r="C339" s="4"/>
      <c r="D339" s="4" t="str">
        <f ca="1">IFERROR(_xludf.XLOOKUP(A339,Milestones!$A$2:$A$501,Milestones!$C$2:$C$501),"")</f>
        <v/>
      </c>
      <c r="E339" s="4"/>
      <c r="F339" s="4"/>
      <c r="G339" s="4" t="str">
        <f ca="1">IFERROR(_xludf.XLOOKUP(F339,Ustawienia!$H$4:$H$8,Ustawienia!$I$4:$I$8),"")</f>
        <v/>
      </c>
      <c r="H339" s="4"/>
      <c r="I339" s="4"/>
    </row>
    <row r="340" spans="1:9" x14ac:dyDescent="0.25">
      <c r="A340" s="4"/>
      <c r="B340" s="4" t="str">
        <f ca="1">IFERROR(_xludf.XLOOKUP(A340,Pracownicy!$A$2:$A$501,Pracownicy!$B$2:$B$501),"")</f>
        <v/>
      </c>
      <c r="C340" s="4"/>
      <c r="D340" s="4" t="str">
        <f ca="1">IFERROR(_xludf.XLOOKUP(A340,Milestones!$A$2:$A$501,Milestones!$C$2:$C$501),"")</f>
        <v/>
      </c>
      <c r="E340" s="4"/>
      <c r="F340" s="4"/>
      <c r="G340" s="4" t="str">
        <f ca="1">IFERROR(_xludf.XLOOKUP(F340,Ustawienia!$H$4:$H$8,Ustawienia!$I$4:$I$8),"")</f>
        <v/>
      </c>
      <c r="H340" s="4"/>
      <c r="I340" s="4"/>
    </row>
    <row r="341" spans="1:9" x14ac:dyDescent="0.25">
      <c r="A341" s="4"/>
      <c r="B341" s="4" t="str">
        <f ca="1">IFERROR(_xludf.XLOOKUP(A341,Pracownicy!$A$2:$A$501,Pracownicy!$B$2:$B$501),"")</f>
        <v/>
      </c>
      <c r="C341" s="4"/>
      <c r="D341" s="4" t="str">
        <f ca="1">IFERROR(_xludf.XLOOKUP(A341,Milestones!$A$2:$A$501,Milestones!$C$2:$C$501),"")</f>
        <v/>
      </c>
      <c r="E341" s="4"/>
      <c r="F341" s="4"/>
      <c r="G341" s="4" t="str">
        <f ca="1">IFERROR(_xludf.XLOOKUP(F341,Ustawienia!$H$4:$H$8,Ustawienia!$I$4:$I$8),"")</f>
        <v/>
      </c>
      <c r="H341" s="4"/>
      <c r="I341" s="4"/>
    </row>
    <row r="342" spans="1:9" x14ac:dyDescent="0.25">
      <c r="A342" s="4"/>
      <c r="B342" s="4" t="str">
        <f ca="1">IFERROR(_xludf.XLOOKUP(A342,Pracownicy!$A$2:$A$501,Pracownicy!$B$2:$B$501),"")</f>
        <v/>
      </c>
      <c r="C342" s="4"/>
      <c r="D342" s="4" t="str">
        <f ca="1">IFERROR(_xludf.XLOOKUP(A342,Milestones!$A$2:$A$501,Milestones!$C$2:$C$501),"")</f>
        <v/>
      </c>
      <c r="E342" s="4"/>
      <c r="F342" s="4"/>
      <c r="G342" s="4" t="str">
        <f ca="1">IFERROR(_xludf.XLOOKUP(F342,Ustawienia!$H$4:$H$8,Ustawienia!$I$4:$I$8),"")</f>
        <v/>
      </c>
      <c r="H342" s="4"/>
      <c r="I342" s="4"/>
    </row>
    <row r="343" spans="1:9" x14ac:dyDescent="0.25">
      <c r="A343" s="4"/>
      <c r="B343" s="4" t="str">
        <f ca="1">IFERROR(_xludf.XLOOKUP(A343,Pracownicy!$A$2:$A$501,Pracownicy!$B$2:$B$501),"")</f>
        <v/>
      </c>
      <c r="C343" s="4"/>
      <c r="D343" s="4" t="str">
        <f ca="1">IFERROR(_xludf.XLOOKUP(A343,Milestones!$A$2:$A$501,Milestones!$C$2:$C$501),"")</f>
        <v/>
      </c>
      <c r="E343" s="4"/>
      <c r="F343" s="4"/>
      <c r="G343" s="4" t="str">
        <f ca="1">IFERROR(_xludf.XLOOKUP(F343,Ustawienia!$H$4:$H$8,Ustawienia!$I$4:$I$8),"")</f>
        <v/>
      </c>
      <c r="H343" s="4"/>
      <c r="I343" s="4"/>
    </row>
    <row r="344" spans="1:9" x14ac:dyDescent="0.25">
      <c r="A344" s="4"/>
      <c r="B344" s="4" t="str">
        <f ca="1">IFERROR(_xludf.XLOOKUP(A344,Pracownicy!$A$2:$A$501,Pracownicy!$B$2:$B$501),"")</f>
        <v/>
      </c>
      <c r="C344" s="4"/>
      <c r="D344" s="4" t="str">
        <f ca="1">IFERROR(_xludf.XLOOKUP(A344,Milestones!$A$2:$A$501,Milestones!$C$2:$C$501),"")</f>
        <v/>
      </c>
      <c r="E344" s="4"/>
      <c r="F344" s="4"/>
      <c r="G344" s="4" t="str">
        <f ca="1">IFERROR(_xludf.XLOOKUP(F344,Ustawienia!$H$4:$H$8,Ustawienia!$I$4:$I$8),"")</f>
        <v/>
      </c>
      <c r="H344" s="4"/>
      <c r="I344" s="4"/>
    </row>
    <row r="345" spans="1:9" x14ac:dyDescent="0.25">
      <c r="A345" s="4"/>
      <c r="B345" s="4" t="str">
        <f ca="1">IFERROR(_xludf.XLOOKUP(A345,Pracownicy!$A$2:$A$501,Pracownicy!$B$2:$B$501),"")</f>
        <v/>
      </c>
      <c r="C345" s="4"/>
      <c r="D345" s="4" t="str">
        <f ca="1">IFERROR(_xludf.XLOOKUP(A345,Milestones!$A$2:$A$501,Milestones!$C$2:$C$501),"")</f>
        <v/>
      </c>
      <c r="E345" s="4"/>
      <c r="F345" s="4"/>
      <c r="G345" s="4" t="str">
        <f ca="1">IFERROR(_xludf.XLOOKUP(F345,Ustawienia!$H$4:$H$8,Ustawienia!$I$4:$I$8),"")</f>
        <v/>
      </c>
      <c r="H345" s="4"/>
      <c r="I345" s="4"/>
    </row>
    <row r="346" spans="1:9" x14ac:dyDescent="0.25">
      <c r="A346" s="4"/>
      <c r="B346" s="4" t="str">
        <f ca="1">IFERROR(_xludf.XLOOKUP(A346,Pracownicy!$A$2:$A$501,Pracownicy!$B$2:$B$501),"")</f>
        <v/>
      </c>
      <c r="C346" s="4"/>
      <c r="D346" s="4" t="str">
        <f ca="1">IFERROR(_xludf.XLOOKUP(A346,Milestones!$A$2:$A$501,Milestones!$C$2:$C$501),"")</f>
        <v/>
      </c>
      <c r="E346" s="4"/>
      <c r="F346" s="4"/>
      <c r="G346" s="4" t="str">
        <f ca="1">IFERROR(_xludf.XLOOKUP(F346,Ustawienia!$H$4:$H$8,Ustawienia!$I$4:$I$8),"")</f>
        <v/>
      </c>
      <c r="H346" s="4"/>
      <c r="I346" s="4"/>
    </row>
    <row r="347" spans="1:9" x14ac:dyDescent="0.25">
      <c r="A347" s="4"/>
      <c r="B347" s="4" t="str">
        <f ca="1">IFERROR(_xludf.XLOOKUP(A347,Pracownicy!$A$2:$A$501,Pracownicy!$B$2:$B$501),"")</f>
        <v/>
      </c>
      <c r="C347" s="4"/>
      <c r="D347" s="4" t="str">
        <f ca="1">IFERROR(_xludf.XLOOKUP(A347,Milestones!$A$2:$A$501,Milestones!$C$2:$C$501),"")</f>
        <v/>
      </c>
      <c r="E347" s="4"/>
      <c r="F347" s="4"/>
      <c r="G347" s="4" t="str">
        <f ca="1">IFERROR(_xludf.XLOOKUP(F347,Ustawienia!$H$4:$H$8,Ustawienia!$I$4:$I$8),"")</f>
        <v/>
      </c>
      <c r="H347" s="4"/>
      <c r="I347" s="4"/>
    </row>
    <row r="348" spans="1:9" x14ac:dyDescent="0.25">
      <c r="A348" s="4"/>
      <c r="B348" s="4" t="str">
        <f ca="1">IFERROR(_xludf.XLOOKUP(A348,Pracownicy!$A$2:$A$501,Pracownicy!$B$2:$B$501),"")</f>
        <v/>
      </c>
      <c r="C348" s="4"/>
      <c r="D348" s="4" t="str">
        <f ca="1">IFERROR(_xludf.XLOOKUP(A348,Milestones!$A$2:$A$501,Milestones!$C$2:$C$501),"")</f>
        <v/>
      </c>
      <c r="E348" s="4"/>
      <c r="F348" s="4"/>
      <c r="G348" s="4" t="str">
        <f ca="1">IFERROR(_xludf.XLOOKUP(F348,Ustawienia!$H$4:$H$8,Ustawienia!$I$4:$I$8),"")</f>
        <v/>
      </c>
      <c r="H348" s="4"/>
      <c r="I348" s="4"/>
    </row>
    <row r="349" spans="1:9" x14ac:dyDescent="0.25">
      <c r="A349" s="4"/>
      <c r="B349" s="4" t="str">
        <f ca="1">IFERROR(_xludf.XLOOKUP(A349,Pracownicy!$A$2:$A$501,Pracownicy!$B$2:$B$501),"")</f>
        <v/>
      </c>
      <c r="C349" s="4"/>
      <c r="D349" s="4" t="str">
        <f ca="1">IFERROR(_xludf.XLOOKUP(A349,Milestones!$A$2:$A$501,Milestones!$C$2:$C$501),"")</f>
        <v/>
      </c>
      <c r="E349" s="4"/>
      <c r="F349" s="4"/>
      <c r="G349" s="4" t="str">
        <f ca="1">IFERROR(_xludf.XLOOKUP(F349,Ustawienia!$H$4:$H$8,Ustawienia!$I$4:$I$8),"")</f>
        <v/>
      </c>
      <c r="H349" s="4"/>
      <c r="I349" s="4"/>
    </row>
    <row r="350" spans="1:9" x14ac:dyDescent="0.25">
      <c r="A350" s="4"/>
      <c r="B350" s="4" t="str">
        <f ca="1">IFERROR(_xludf.XLOOKUP(A350,Pracownicy!$A$2:$A$501,Pracownicy!$B$2:$B$501),"")</f>
        <v/>
      </c>
      <c r="C350" s="4"/>
      <c r="D350" s="4" t="str">
        <f ca="1">IFERROR(_xludf.XLOOKUP(A350,Milestones!$A$2:$A$501,Milestones!$C$2:$C$501),"")</f>
        <v/>
      </c>
      <c r="E350" s="4"/>
      <c r="F350" s="4"/>
      <c r="G350" s="4" t="str">
        <f ca="1">IFERROR(_xludf.XLOOKUP(F350,Ustawienia!$H$4:$H$8,Ustawienia!$I$4:$I$8),"")</f>
        <v/>
      </c>
      <c r="H350" s="4"/>
      <c r="I350" s="4"/>
    </row>
    <row r="351" spans="1:9" x14ac:dyDescent="0.25">
      <c r="A351" s="4"/>
      <c r="B351" s="4" t="str">
        <f ca="1">IFERROR(_xludf.XLOOKUP(A351,Pracownicy!$A$2:$A$501,Pracownicy!$B$2:$B$501),"")</f>
        <v/>
      </c>
      <c r="C351" s="4"/>
      <c r="D351" s="4" t="str">
        <f ca="1">IFERROR(_xludf.XLOOKUP(A351,Milestones!$A$2:$A$501,Milestones!$C$2:$C$501),"")</f>
        <v/>
      </c>
      <c r="E351" s="4"/>
      <c r="F351" s="4"/>
      <c r="G351" s="4" t="str">
        <f ca="1">IFERROR(_xludf.XLOOKUP(F351,Ustawienia!$H$4:$H$8,Ustawienia!$I$4:$I$8),"")</f>
        <v/>
      </c>
      <c r="H351" s="4"/>
      <c r="I351" s="4"/>
    </row>
    <row r="352" spans="1:9" x14ac:dyDescent="0.25">
      <c r="A352" s="4"/>
      <c r="B352" s="4" t="str">
        <f ca="1">IFERROR(_xludf.XLOOKUP(A352,Pracownicy!$A$2:$A$501,Pracownicy!$B$2:$B$501),"")</f>
        <v/>
      </c>
      <c r="C352" s="4"/>
      <c r="D352" s="4" t="str">
        <f ca="1">IFERROR(_xludf.XLOOKUP(A352,Milestones!$A$2:$A$501,Milestones!$C$2:$C$501),"")</f>
        <v/>
      </c>
      <c r="E352" s="4"/>
      <c r="F352" s="4"/>
      <c r="G352" s="4" t="str">
        <f ca="1">IFERROR(_xludf.XLOOKUP(F352,Ustawienia!$H$4:$H$8,Ustawienia!$I$4:$I$8),"")</f>
        <v/>
      </c>
      <c r="H352" s="4"/>
      <c r="I352" s="4"/>
    </row>
    <row r="353" spans="1:9" x14ac:dyDescent="0.25">
      <c r="A353" s="4"/>
      <c r="B353" s="4" t="str">
        <f ca="1">IFERROR(_xludf.XLOOKUP(A353,Pracownicy!$A$2:$A$501,Pracownicy!$B$2:$B$501),"")</f>
        <v/>
      </c>
      <c r="C353" s="4"/>
      <c r="D353" s="4" t="str">
        <f ca="1">IFERROR(_xludf.XLOOKUP(A353,Milestones!$A$2:$A$501,Milestones!$C$2:$C$501),"")</f>
        <v/>
      </c>
      <c r="E353" s="4"/>
      <c r="F353" s="4"/>
      <c r="G353" s="4" t="str">
        <f ca="1">IFERROR(_xludf.XLOOKUP(F353,Ustawienia!$H$4:$H$8,Ustawienia!$I$4:$I$8),"")</f>
        <v/>
      </c>
      <c r="H353" s="4"/>
      <c r="I353" s="4"/>
    </row>
    <row r="354" spans="1:9" x14ac:dyDescent="0.25">
      <c r="A354" s="4"/>
      <c r="B354" s="4" t="str">
        <f ca="1">IFERROR(_xludf.XLOOKUP(A354,Pracownicy!$A$2:$A$501,Pracownicy!$B$2:$B$501),"")</f>
        <v/>
      </c>
      <c r="C354" s="4"/>
      <c r="D354" s="4" t="str">
        <f ca="1">IFERROR(_xludf.XLOOKUP(A354,Milestones!$A$2:$A$501,Milestones!$C$2:$C$501),"")</f>
        <v/>
      </c>
      <c r="E354" s="4"/>
      <c r="F354" s="4"/>
      <c r="G354" s="4" t="str">
        <f ca="1">IFERROR(_xludf.XLOOKUP(F354,Ustawienia!$H$4:$H$8,Ustawienia!$I$4:$I$8),"")</f>
        <v/>
      </c>
      <c r="H354" s="4"/>
      <c r="I354" s="4"/>
    </row>
    <row r="355" spans="1:9" x14ac:dyDescent="0.25">
      <c r="A355" s="4"/>
      <c r="B355" s="4" t="str">
        <f ca="1">IFERROR(_xludf.XLOOKUP(A355,Pracownicy!$A$2:$A$501,Pracownicy!$B$2:$B$501),"")</f>
        <v/>
      </c>
      <c r="C355" s="4"/>
      <c r="D355" s="4" t="str">
        <f ca="1">IFERROR(_xludf.XLOOKUP(A355,Milestones!$A$2:$A$501,Milestones!$C$2:$C$501),"")</f>
        <v/>
      </c>
      <c r="E355" s="4"/>
      <c r="F355" s="4"/>
      <c r="G355" s="4" t="str">
        <f ca="1">IFERROR(_xludf.XLOOKUP(F355,Ustawienia!$H$4:$H$8,Ustawienia!$I$4:$I$8),"")</f>
        <v/>
      </c>
      <c r="H355" s="4"/>
      <c r="I355" s="4"/>
    </row>
    <row r="356" spans="1:9" x14ac:dyDescent="0.25">
      <c r="A356" s="4"/>
      <c r="B356" s="4" t="str">
        <f ca="1">IFERROR(_xludf.XLOOKUP(A356,Pracownicy!$A$2:$A$501,Pracownicy!$B$2:$B$501),"")</f>
        <v/>
      </c>
      <c r="C356" s="4"/>
      <c r="D356" s="4" t="str">
        <f ca="1">IFERROR(_xludf.XLOOKUP(A356,Milestones!$A$2:$A$501,Milestones!$C$2:$C$501),"")</f>
        <v/>
      </c>
      <c r="E356" s="4"/>
      <c r="F356" s="4"/>
      <c r="G356" s="4" t="str">
        <f ca="1">IFERROR(_xludf.XLOOKUP(F356,Ustawienia!$H$4:$H$8,Ustawienia!$I$4:$I$8),"")</f>
        <v/>
      </c>
      <c r="H356" s="4"/>
      <c r="I356" s="4"/>
    </row>
    <row r="357" spans="1:9" x14ac:dyDescent="0.25">
      <c r="A357" s="4"/>
      <c r="B357" s="4" t="str">
        <f ca="1">IFERROR(_xludf.XLOOKUP(A357,Pracownicy!$A$2:$A$501,Pracownicy!$B$2:$B$501),"")</f>
        <v/>
      </c>
      <c r="C357" s="4"/>
      <c r="D357" s="4" t="str">
        <f ca="1">IFERROR(_xludf.XLOOKUP(A357,Milestones!$A$2:$A$501,Milestones!$C$2:$C$501),"")</f>
        <v/>
      </c>
      <c r="E357" s="4"/>
      <c r="F357" s="4"/>
      <c r="G357" s="4" t="str">
        <f ca="1">IFERROR(_xludf.XLOOKUP(F357,Ustawienia!$H$4:$H$8,Ustawienia!$I$4:$I$8),"")</f>
        <v/>
      </c>
      <c r="H357" s="4"/>
      <c r="I357" s="4"/>
    </row>
    <row r="358" spans="1:9" x14ac:dyDescent="0.25">
      <c r="A358" s="4"/>
      <c r="B358" s="4" t="str">
        <f ca="1">IFERROR(_xludf.XLOOKUP(A358,Pracownicy!$A$2:$A$501,Pracownicy!$B$2:$B$501),"")</f>
        <v/>
      </c>
      <c r="C358" s="4"/>
      <c r="D358" s="4" t="str">
        <f ca="1">IFERROR(_xludf.XLOOKUP(A358,Milestones!$A$2:$A$501,Milestones!$C$2:$C$501),"")</f>
        <v/>
      </c>
      <c r="E358" s="4"/>
      <c r="F358" s="4"/>
      <c r="G358" s="4" t="str">
        <f ca="1">IFERROR(_xludf.XLOOKUP(F358,Ustawienia!$H$4:$H$8,Ustawienia!$I$4:$I$8),"")</f>
        <v/>
      </c>
      <c r="H358" s="4"/>
      <c r="I358" s="4"/>
    </row>
    <row r="359" spans="1:9" x14ac:dyDescent="0.25">
      <c r="A359" s="4"/>
      <c r="B359" s="4" t="str">
        <f ca="1">IFERROR(_xludf.XLOOKUP(A359,Pracownicy!$A$2:$A$501,Pracownicy!$B$2:$B$501),"")</f>
        <v/>
      </c>
      <c r="C359" s="4"/>
      <c r="D359" s="4" t="str">
        <f ca="1">IFERROR(_xludf.XLOOKUP(A359,Milestones!$A$2:$A$501,Milestones!$C$2:$C$501),"")</f>
        <v/>
      </c>
      <c r="E359" s="4"/>
      <c r="F359" s="4"/>
      <c r="G359" s="4" t="str">
        <f ca="1">IFERROR(_xludf.XLOOKUP(F359,Ustawienia!$H$4:$H$8,Ustawienia!$I$4:$I$8),"")</f>
        <v/>
      </c>
      <c r="H359" s="4"/>
      <c r="I359" s="4"/>
    </row>
    <row r="360" spans="1:9" x14ac:dyDescent="0.25">
      <c r="A360" s="4"/>
      <c r="B360" s="4" t="str">
        <f ca="1">IFERROR(_xludf.XLOOKUP(A360,Pracownicy!$A$2:$A$501,Pracownicy!$B$2:$B$501),"")</f>
        <v/>
      </c>
      <c r="C360" s="4"/>
      <c r="D360" s="4" t="str">
        <f ca="1">IFERROR(_xludf.XLOOKUP(A360,Milestones!$A$2:$A$501,Milestones!$C$2:$C$501),"")</f>
        <v/>
      </c>
      <c r="E360" s="4"/>
      <c r="F360" s="4"/>
      <c r="G360" s="4" t="str">
        <f ca="1">IFERROR(_xludf.XLOOKUP(F360,Ustawienia!$H$4:$H$8,Ustawienia!$I$4:$I$8),"")</f>
        <v/>
      </c>
      <c r="H360" s="4"/>
      <c r="I360" s="4"/>
    </row>
    <row r="361" spans="1:9" x14ac:dyDescent="0.25">
      <c r="A361" s="4"/>
      <c r="B361" s="4" t="str">
        <f ca="1">IFERROR(_xludf.XLOOKUP(A361,Pracownicy!$A$2:$A$501,Pracownicy!$B$2:$B$501),"")</f>
        <v/>
      </c>
      <c r="C361" s="4"/>
      <c r="D361" s="4" t="str">
        <f ca="1">IFERROR(_xludf.XLOOKUP(A361,Milestones!$A$2:$A$501,Milestones!$C$2:$C$501),"")</f>
        <v/>
      </c>
      <c r="E361" s="4"/>
      <c r="F361" s="4"/>
      <c r="G361" s="4" t="str">
        <f ca="1">IFERROR(_xludf.XLOOKUP(F361,Ustawienia!$H$4:$H$8,Ustawienia!$I$4:$I$8),"")</f>
        <v/>
      </c>
      <c r="H361" s="4"/>
      <c r="I361" s="4"/>
    </row>
    <row r="362" spans="1:9" x14ac:dyDescent="0.25">
      <c r="A362" s="4"/>
      <c r="B362" s="4" t="str">
        <f ca="1">IFERROR(_xludf.XLOOKUP(A362,Pracownicy!$A$2:$A$501,Pracownicy!$B$2:$B$501),"")</f>
        <v/>
      </c>
      <c r="C362" s="4"/>
      <c r="D362" s="4" t="str">
        <f ca="1">IFERROR(_xludf.XLOOKUP(A362,Milestones!$A$2:$A$501,Milestones!$C$2:$C$501),"")</f>
        <v/>
      </c>
      <c r="E362" s="4"/>
      <c r="F362" s="4"/>
      <c r="G362" s="4" t="str">
        <f ca="1">IFERROR(_xludf.XLOOKUP(F362,Ustawienia!$H$4:$H$8,Ustawienia!$I$4:$I$8),"")</f>
        <v/>
      </c>
      <c r="H362" s="4"/>
      <c r="I362" s="4"/>
    </row>
    <row r="363" spans="1:9" x14ac:dyDescent="0.25">
      <c r="A363" s="4"/>
      <c r="B363" s="4" t="str">
        <f ca="1">IFERROR(_xludf.XLOOKUP(A363,Pracownicy!$A$2:$A$501,Pracownicy!$B$2:$B$501),"")</f>
        <v/>
      </c>
      <c r="C363" s="4"/>
      <c r="D363" s="4" t="str">
        <f ca="1">IFERROR(_xludf.XLOOKUP(A363,Milestones!$A$2:$A$501,Milestones!$C$2:$C$501),"")</f>
        <v/>
      </c>
      <c r="E363" s="4"/>
      <c r="F363" s="4"/>
      <c r="G363" s="4" t="str">
        <f ca="1">IFERROR(_xludf.XLOOKUP(F363,Ustawienia!$H$4:$H$8,Ustawienia!$I$4:$I$8),"")</f>
        <v/>
      </c>
      <c r="H363" s="4"/>
      <c r="I363" s="4"/>
    </row>
    <row r="364" spans="1:9" x14ac:dyDescent="0.25">
      <c r="A364" s="4"/>
      <c r="B364" s="4" t="str">
        <f ca="1">IFERROR(_xludf.XLOOKUP(A364,Pracownicy!$A$2:$A$501,Pracownicy!$B$2:$B$501),"")</f>
        <v/>
      </c>
      <c r="C364" s="4"/>
      <c r="D364" s="4" t="str">
        <f ca="1">IFERROR(_xludf.XLOOKUP(A364,Milestones!$A$2:$A$501,Milestones!$C$2:$C$501),"")</f>
        <v/>
      </c>
      <c r="E364" s="4"/>
      <c r="F364" s="4"/>
      <c r="G364" s="4" t="str">
        <f ca="1">IFERROR(_xludf.XLOOKUP(F364,Ustawienia!$H$4:$H$8,Ustawienia!$I$4:$I$8),"")</f>
        <v/>
      </c>
      <c r="H364" s="4"/>
      <c r="I364" s="4"/>
    </row>
    <row r="365" spans="1:9" x14ac:dyDescent="0.25">
      <c r="A365" s="4"/>
      <c r="B365" s="4" t="str">
        <f ca="1">IFERROR(_xludf.XLOOKUP(A365,Pracownicy!$A$2:$A$501,Pracownicy!$B$2:$B$501),"")</f>
        <v/>
      </c>
      <c r="C365" s="4"/>
      <c r="D365" s="4" t="str">
        <f ca="1">IFERROR(_xludf.XLOOKUP(A365,Milestones!$A$2:$A$501,Milestones!$C$2:$C$501),"")</f>
        <v/>
      </c>
      <c r="E365" s="4"/>
      <c r="F365" s="4"/>
      <c r="G365" s="4" t="str">
        <f ca="1">IFERROR(_xludf.XLOOKUP(F365,Ustawienia!$H$4:$H$8,Ustawienia!$I$4:$I$8),"")</f>
        <v/>
      </c>
      <c r="H365" s="4"/>
      <c r="I365" s="4"/>
    </row>
    <row r="366" spans="1:9" x14ac:dyDescent="0.25">
      <c r="A366" s="4"/>
      <c r="B366" s="4" t="str">
        <f ca="1">IFERROR(_xludf.XLOOKUP(A366,Pracownicy!$A$2:$A$501,Pracownicy!$B$2:$B$501),"")</f>
        <v/>
      </c>
      <c r="C366" s="4"/>
      <c r="D366" s="4" t="str">
        <f ca="1">IFERROR(_xludf.XLOOKUP(A366,Milestones!$A$2:$A$501,Milestones!$C$2:$C$501),"")</f>
        <v/>
      </c>
      <c r="E366" s="4"/>
      <c r="F366" s="4"/>
      <c r="G366" s="4" t="str">
        <f ca="1">IFERROR(_xludf.XLOOKUP(F366,Ustawienia!$H$4:$H$8,Ustawienia!$I$4:$I$8),"")</f>
        <v/>
      </c>
      <c r="H366" s="4"/>
      <c r="I366" s="4"/>
    </row>
    <row r="367" spans="1:9" x14ac:dyDescent="0.25">
      <c r="A367" s="4"/>
      <c r="B367" s="4" t="str">
        <f ca="1">IFERROR(_xludf.XLOOKUP(A367,Pracownicy!$A$2:$A$501,Pracownicy!$B$2:$B$501),"")</f>
        <v/>
      </c>
      <c r="C367" s="4"/>
      <c r="D367" s="4" t="str">
        <f ca="1">IFERROR(_xludf.XLOOKUP(A367,Milestones!$A$2:$A$501,Milestones!$C$2:$C$501),"")</f>
        <v/>
      </c>
      <c r="E367" s="4"/>
      <c r="F367" s="4"/>
      <c r="G367" s="4" t="str">
        <f ca="1">IFERROR(_xludf.XLOOKUP(F367,Ustawienia!$H$4:$H$8,Ustawienia!$I$4:$I$8),"")</f>
        <v/>
      </c>
      <c r="H367" s="4"/>
      <c r="I367" s="4"/>
    </row>
    <row r="368" spans="1:9" x14ac:dyDescent="0.25">
      <c r="A368" s="4"/>
      <c r="B368" s="4" t="str">
        <f ca="1">IFERROR(_xludf.XLOOKUP(A368,Pracownicy!$A$2:$A$501,Pracownicy!$B$2:$B$501),"")</f>
        <v/>
      </c>
      <c r="C368" s="4"/>
      <c r="D368" s="4" t="str">
        <f ca="1">IFERROR(_xludf.XLOOKUP(A368,Milestones!$A$2:$A$501,Milestones!$C$2:$C$501),"")</f>
        <v/>
      </c>
      <c r="E368" s="4"/>
      <c r="F368" s="4"/>
      <c r="G368" s="4" t="str">
        <f ca="1">IFERROR(_xludf.XLOOKUP(F368,Ustawienia!$H$4:$H$8,Ustawienia!$I$4:$I$8),"")</f>
        <v/>
      </c>
      <c r="H368" s="4"/>
      <c r="I368" s="4"/>
    </row>
    <row r="369" spans="1:9" x14ac:dyDescent="0.25">
      <c r="A369" s="4"/>
      <c r="B369" s="4" t="str">
        <f ca="1">IFERROR(_xludf.XLOOKUP(A369,Pracownicy!$A$2:$A$501,Pracownicy!$B$2:$B$501),"")</f>
        <v/>
      </c>
      <c r="C369" s="4"/>
      <c r="D369" s="4" t="str">
        <f ca="1">IFERROR(_xludf.XLOOKUP(A369,Milestones!$A$2:$A$501,Milestones!$C$2:$C$501),"")</f>
        <v/>
      </c>
      <c r="E369" s="4"/>
      <c r="F369" s="4"/>
      <c r="G369" s="4" t="str">
        <f ca="1">IFERROR(_xludf.XLOOKUP(F369,Ustawienia!$H$4:$H$8,Ustawienia!$I$4:$I$8),"")</f>
        <v/>
      </c>
      <c r="H369" s="4"/>
      <c r="I369" s="4"/>
    </row>
    <row r="370" spans="1:9" x14ac:dyDescent="0.25">
      <c r="A370" s="4"/>
      <c r="B370" s="4" t="str">
        <f ca="1">IFERROR(_xludf.XLOOKUP(A370,Pracownicy!$A$2:$A$501,Pracownicy!$B$2:$B$501),"")</f>
        <v/>
      </c>
      <c r="C370" s="4"/>
      <c r="D370" s="4" t="str">
        <f ca="1">IFERROR(_xludf.XLOOKUP(A370,Milestones!$A$2:$A$501,Milestones!$C$2:$C$501),"")</f>
        <v/>
      </c>
      <c r="E370" s="4"/>
      <c r="F370" s="4"/>
      <c r="G370" s="4" t="str">
        <f ca="1">IFERROR(_xludf.XLOOKUP(F370,Ustawienia!$H$4:$H$8,Ustawienia!$I$4:$I$8),"")</f>
        <v/>
      </c>
      <c r="H370" s="4"/>
      <c r="I370" s="4"/>
    </row>
    <row r="371" spans="1:9" x14ac:dyDescent="0.25">
      <c r="A371" s="4"/>
      <c r="B371" s="4" t="str">
        <f ca="1">IFERROR(_xludf.XLOOKUP(A371,Pracownicy!$A$2:$A$501,Pracownicy!$B$2:$B$501),"")</f>
        <v/>
      </c>
      <c r="C371" s="4"/>
      <c r="D371" s="4" t="str">
        <f ca="1">IFERROR(_xludf.XLOOKUP(A371,Milestones!$A$2:$A$501,Milestones!$C$2:$C$501),"")</f>
        <v/>
      </c>
      <c r="E371" s="4"/>
      <c r="F371" s="4"/>
      <c r="G371" s="4" t="str">
        <f ca="1">IFERROR(_xludf.XLOOKUP(F371,Ustawienia!$H$4:$H$8,Ustawienia!$I$4:$I$8),"")</f>
        <v/>
      </c>
      <c r="H371" s="4"/>
      <c r="I371" s="4"/>
    </row>
    <row r="372" spans="1:9" x14ac:dyDescent="0.25">
      <c r="A372" s="4"/>
      <c r="B372" s="4" t="str">
        <f ca="1">IFERROR(_xludf.XLOOKUP(A372,Pracownicy!$A$2:$A$501,Pracownicy!$B$2:$B$501),"")</f>
        <v/>
      </c>
      <c r="C372" s="4"/>
      <c r="D372" s="4" t="str">
        <f ca="1">IFERROR(_xludf.XLOOKUP(A372,Milestones!$A$2:$A$501,Milestones!$C$2:$C$501),"")</f>
        <v/>
      </c>
      <c r="E372" s="4"/>
      <c r="F372" s="4"/>
      <c r="G372" s="4" t="str">
        <f ca="1">IFERROR(_xludf.XLOOKUP(F372,Ustawienia!$H$4:$H$8,Ustawienia!$I$4:$I$8),"")</f>
        <v/>
      </c>
      <c r="H372" s="4"/>
      <c r="I372" s="4"/>
    </row>
    <row r="373" spans="1:9" x14ac:dyDescent="0.25">
      <c r="A373" s="4"/>
      <c r="B373" s="4" t="str">
        <f ca="1">IFERROR(_xludf.XLOOKUP(A373,Pracownicy!$A$2:$A$501,Pracownicy!$B$2:$B$501),"")</f>
        <v/>
      </c>
      <c r="C373" s="4"/>
      <c r="D373" s="4" t="str">
        <f ca="1">IFERROR(_xludf.XLOOKUP(A373,Milestones!$A$2:$A$501,Milestones!$C$2:$C$501),"")</f>
        <v/>
      </c>
      <c r="E373" s="4"/>
      <c r="F373" s="4"/>
      <c r="G373" s="4" t="str">
        <f ca="1">IFERROR(_xludf.XLOOKUP(F373,Ustawienia!$H$4:$H$8,Ustawienia!$I$4:$I$8),"")</f>
        <v/>
      </c>
      <c r="H373" s="4"/>
      <c r="I373" s="4"/>
    </row>
    <row r="374" spans="1:9" x14ac:dyDescent="0.25">
      <c r="A374" s="4"/>
      <c r="B374" s="4" t="str">
        <f ca="1">IFERROR(_xludf.XLOOKUP(A374,Pracownicy!$A$2:$A$501,Pracownicy!$B$2:$B$501),"")</f>
        <v/>
      </c>
      <c r="C374" s="4"/>
      <c r="D374" s="4" t="str">
        <f ca="1">IFERROR(_xludf.XLOOKUP(A374,Milestones!$A$2:$A$501,Milestones!$C$2:$C$501),"")</f>
        <v/>
      </c>
      <c r="E374" s="4"/>
      <c r="F374" s="4"/>
      <c r="G374" s="4" t="str">
        <f ca="1">IFERROR(_xludf.XLOOKUP(F374,Ustawienia!$H$4:$H$8,Ustawienia!$I$4:$I$8),"")</f>
        <v/>
      </c>
      <c r="H374" s="4"/>
      <c r="I374" s="4"/>
    </row>
    <row r="375" spans="1:9" x14ac:dyDescent="0.25">
      <c r="A375" s="4"/>
      <c r="B375" s="4" t="str">
        <f ca="1">IFERROR(_xludf.XLOOKUP(A375,Pracownicy!$A$2:$A$501,Pracownicy!$B$2:$B$501),"")</f>
        <v/>
      </c>
      <c r="C375" s="4"/>
      <c r="D375" s="4" t="str">
        <f ca="1">IFERROR(_xludf.XLOOKUP(A375,Milestones!$A$2:$A$501,Milestones!$C$2:$C$501),"")</f>
        <v/>
      </c>
      <c r="E375" s="4"/>
      <c r="F375" s="4"/>
      <c r="G375" s="4" t="str">
        <f ca="1">IFERROR(_xludf.XLOOKUP(F375,Ustawienia!$H$4:$H$8,Ustawienia!$I$4:$I$8),"")</f>
        <v/>
      </c>
      <c r="H375" s="4"/>
      <c r="I375" s="4"/>
    </row>
    <row r="376" spans="1:9" x14ac:dyDescent="0.25">
      <c r="A376" s="4"/>
      <c r="B376" s="4" t="str">
        <f ca="1">IFERROR(_xludf.XLOOKUP(A376,Pracownicy!$A$2:$A$501,Pracownicy!$B$2:$B$501),"")</f>
        <v/>
      </c>
      <c r="C376" s="4"/>
      <c r="D376" s="4" t="str">
        <f ca="1">IFERROR(_xludf.XLOOKUP(A376,Milestones!$A$2:$A$501,Milestones!$C$2:$C$501),"")</f>
        <v/>
      </c>
      <c r="E376" s="4"/>
      <c r="F376" s="4"/>
      <c r="G376" s="4" t="str">
        <f ca="1">IFERROR(_xludf.XLOOKUP(F376,Ustawienia!$H$4:$H$8,Ustawienia!$I$4:$I$8),"")</f>
        <v/>
      </c>
      <c r="H376" s="4"/>
      <c r="I376" s="4"/>
    </row>
    <row r="377" spans="1:9" x14ac:dyDescent="0.25">
      <c r="A377" s="4"/>
      <c r="B377" s="4" t="str">
        <f ca="1">IFERROR(_xludf.XLOOKUP(A377,Pracownicy!$A$2:$A$501,Pracownicy!$B$2:$B$501),"")</f>
        <v/>
      </c>
      <c r="C377" s="4"/>
      <c r="D377" s="4" t="str">
        <f ca="1">IFERROR(_xludf.XLOOKUP(A377,Milestones!$A$2:$A$501,Milestones!$C$2:$C$501),"")</f>
        <v/>
      </c>
      <c r="E377" s="4"/>
      <c r="F377" s="4"/>
      <c r="G377" s="4" t="str">
        <f ca="1">IFERROR(_xludf.XLOOKUP(F377,Ustawienia!$H$4:$H$8,Ustawienia!$I$4:$I$8),"")</f>
        <v/>
      </c>
      <c r="H377" s="4"/>
      <c r="I377" s="4"/>
    </row>
    <row r="378" spans="1:9" x14ac:dyDescent="0.25">
      <c r="A378" s="4"/>
      <c r="B378" s="4" t="str">
        <f ca="1">IFERROR(_xludf.XLOOKUP(A378,Pracownicy!$A$2:$A$501,Pracownicy!$B$2:$B$501),"")</f>
        <v/>
      </c>
      <c r="C378" s="4"/>
      <c r="D378" s="4" t="str">
        <f ca="1">IFERROR(_xludf.XLOOKUP(A378,Milestones!$A$2:$A$501,Milestones!$C$2:$C$501),"")</f>
        <v/>
      </c>
      <c r="E378" s="4"/>
      <c r="F378" s="4"/>
      <c r="G378" s="4" t="str">
        <f ca="1">IFERROR(_xludf.XLOOKUP(F378,Ustawienia!$H$4:$H$8,Ustawienia!$I$4:$I$8),"")</f>
        <v/>
      </c>
      <c r="H378" s="4"/>
      <c r="I378" s="4"/>
    </row>
    <row r="379" spans="1:9" x14ac:dyDescent="0.25">
      <c r="A379" s="4"/>
      <c r="B379" s="4" t="str">
        <f ca="1">IFERROR(_xludf.XLOOKUP(A379,Pracownicy!$A$2:$A$501,Pracownicy!$B$2:$B$501),"")</f>
        <v/>
      </c>
      <c r="C379" s="4"/>
      <c r="D379" s="4" t="str">
        <f ca="1">IFERROR(_xludf.XLOOKUP(A379,Milestones!$A$2:$A$501,Milestones!$C$2:$C$501),"")</f>
        <v/>
      </c>
      <c r="E379" s="4"/>
      <c r="F379" s="4"/>
      <c r="G379" s="4" t="str">
        <f ca="1">IFERROR(_xludf.XLOOKUP(F379,Ustawienia!$H$4:$H$8,Ustawienia!$I$4:$I$8),"")</f>
        <v/>
      </c>
      <c r="H379" s="4"/>
      <c r="I379" s="4"/>
    </row>
    <row r="380" spans="1:9" x14ac:dyDescent="0.25">
      <c r="A380" s="4"/>
      <c r="B380" s="4" t="str">
        <f ca="1">IFERROR(_xludf.XLOOKUP(A380,Pracownicy!$A$2:$A$501,Pracownicy!$B$2:$B$501),"")</f>
        <v/>
      </c>
      <c r="C380" s="4"/>
      <c r="D380" s="4" t="str">
        <f ca="1">IFERROR(_xludf.XLOOKUP(A380,Milestones!$A$2:$A$501,Milestones!$C$2:$C$501),"")</f>
        <v/>
      </c>
      <c r="E380" s="4"/>
      <c r="F380" s="4"/>
      <c r="G380" s="4" t="str">
        <f ca="1">IFERROR(_xludf.XLOOKUP(F380,Ustawienia!$H$4:$H$8,Ustawienia!$I$4:$I$8),"")</f>
        <v/>
      </c>
      <c r="H380" s="4"/>
      <c r="I380" s="4"/>
    </row>
    <row r="381" spans="1:9" x14ac:dyDescent="0.25">
      <c r="A381" s="4"/>
      <c r="B381" s="4" t="str">
        <f ca="1">IFERROR(_xludf.XLOOKUP(A381,Pracownicy!$A$2:$A$501,Pracownicy!$B$2:$B$501),"")</f>
        <v/>
      </c>
      <c r="C381" s="4"/>
      <c r="D381" s="4" t="str">
        <f ca="1">IFERROR(_xludf.XLOOKUP(A381,Milestones!$A$2:$A$501,Milestones!$C$2:$C$501),"")</f>
        <v/>
      </c>
      <c r="E381" s="4"/>
      <c r="F381" s="4"/>
      <c r="G381" s="4" t="str">
        <f ca="1">IFERROR(_xludf.XLOOKUP(F381,Ustawienia!$H$4:$H$8,Ustawienia!$I$4:$I$8),"")</f>
        <v/>
      </c>
      <c r="H381" s="4"/>
      <c r="I381" s="4"/>
    </row>
    <row r="382" spans="1:9" x14ac:dyDescent="0.25">
      <c r="A382" s="4"/>
      <c r="B382" s="4" t="str">
        <f ca="1">IFERROR(_xludf.XLOOKUP(A382,Pracownicy!$A$2:$A$501,Pracownicy!$B$2:$B$501),"")</f>
        <v/>
      </c>
      <c r="C382" s="4"/>
      <c r="D382" s="4" t="str">
        <f ca="1">IFERROR(_xludf.XLOOKUP(A382,Milestones!$A$2:$A$501,Milestones!$C$2:$C$501),"")</f>
        <v/>
      </c>
      <c r="E382" s="4"/>
      <c r="F382" s="4"/>
      <c r="G382" s="4" t="str">
        <f ca="1">IFERROR(_xludf.XLOOKUP(F382,Ustawienia!$H$4:$H$8,Ustawienia!$I$4:$I$8),"")</f>
        <v/>
      </c>
      <c r="H382" s="4"/>
      <c r="I382" s="4"/>
    </row>
    <row r="383" spans="1:9" x14ac:dyDescent="0.25">
      <c r="A383" s="4"/>
      <c r="B383" s="4" t="str">
        <f ca="1">IFERROR(_xludf.XLOOKUP(A383,Pracownicy!$A$2:$A$501,Pracownicy!$B$2:$B$501),"")</f>
        <v/>
      </c>
      <c r="C383" s="4"/>
      <c r="D383" s="4" t="str">
        <f ca="1">IFERROR(_xludf.XLOOKUP(A383,Milestones!$A$2:$A$501,Milestones!$C$2:$C$501),"")</f>
        <v/>
      </c>
      <c r="E383" s="4"/>
      <c r="F383" s="4"/>
      <c r="G383" s="4" t="str">
        <f ca="1">IFERROR(_xludf.XLOOKUP(F383,Ustawienia!$H$4:$H$8,Ustawienia!$I$4:$I$8),"")</f>
        <v/>
      </c>
      <c r="H383" s="4"/>
      <c r="I383" s="4"/>
    </row>
    <row r="384" spans="1:9" x14ac:dyDescent="0.25">
      <c r="A384" s="4"/>
      <c r="B384" s="4" t="str">
        <f ca="1">IFERROR(_xludf.XLOOKUP(A384,Pracownicy!$A$2:$A$501,Pracownicy!$B$2:$B$501),"")</f>
        <v/>
      </c>
      <c r="C384" s="4"/>
      <c r="D384" s="4" t="str">
        <f ca="1">IFERROR(_xludf.XLOOKUP(A384,Milestones!$A$2:$A$501,Milestones!$C$2:$C$501),"")</f>
        <v/>
      </c>
      <c r="E384" s="4"/>
      <c r="F384" s="4"/>
      <c r="G384" s="4" t="str">
        <f ca="1">IFERROR(_xludf.XLOOKUP(F384,Ustawienia!$H$4:$H$8,Ustawienia!$I$4:$I$8),"")</f>
        <v/>
      </c>
      <c r="H384" s="4"/>
      <c r="I384" s="4"/>
    </row>
    <row r="385" spans="1:9" x14ac:dyDescent="0.25">
      <c r="A385" s="4"/>
      <c r="B385" s="4" t="str">
        <f ca="1">IFERROR(_xludf.XLOOKUP(A385,Pracownicy!$A$2:$A$501,Pracownicy!$B$2:$B$501),"")</f>
        <v/>
      </c>
      <c r="C385" s="4"/>
      <c r="D385" s="4" t="str">
        <f ca="1">IFERROR(_xludf.XLOOKUP(A385,Milestones!$A$2:$A$501,Milestones!$C$2:$C$501),"")</f>
        <v/>
      </c>
      <c r="E385" s="4"/>
      <c r="F385" s="4"/>
      <c r="G385" s="4" t="str">
        <f ca="1">IFERROR(_xludf.XLOOKUP(F385,Ustawienia!$H$4:$H$8,Ustawienia!$I$4:$I$8),"")</f>
        <v/>
      </c>
      <c r="H385" s="4"/>
      <c r="I385" s="4"/>
    </row>
    <row r="386" spans="1:9" x14ac:dyDescent="0.25">
      <c r="A386" s="4"/>
      <c r="B386" s="4" t="str">
        <f ca="1">IFERROR(_xludf.XLOOKUP(A386,Pracownicy!$A$2:$A$501,Pracownicy!$B$2:$B$501),"")</f>
        <v/>
      </c>
      <c r="C386" s="4"/>
      <c r="D386" s="4" t="str">
        <f ca="1">IFERROR(_xludf.XLOOKUP(A386,Milestones!$A$2:$A$501,Milestones!$C$2:$C$501),"")</f>
        <v/>
      </c>
      <c r="E386" s="4"/>
      <c r="F386" s="4"/>
      <c r="G386" s="4" t="str">
        <f ca="1">IFERROR(_xludf.XLOOKUP(F386,Ustawienia!$H$4:$H$8,Ustawienia!$I$4:$I$8),"")</f>
        <v/>
      </c>
      <c r="H386" s="4"/>
      <c r="I386" s="4"/>
    </row>
    <row r="387" spans="1:9" x14ac:dyDescent="0.25">
      <c r="A387" s="4"/>
      <c r="B387" s="4" t="str">
        <f ca="1">IFERROR(_xludf.XLOOKUP(A387,Pracownicy!$A$2:$A$501,Pracownicy!$B$2:$B$501),"")</f>
        <v/>
      </c>
      <c r="C387" s="4"/>
      <c r="D387" s="4" t="str">
        <f ca="1">IFERROR(_xludf.XLOOKUP(A387,Milestones!$A$2:$A$501,Milestones!$C$2:$C$501),"")</f>
        <v/>
      </c>
      <c r="E387" s="4"/>
      <c r="F387" s="4"/>
      <c r="G387" s="4" t="str">
        <f ca="1">IFERROR(_xludf.XLOOKUP(F387,Ustawienia!$H$4:$H$8,Ustawienia!$I$4:$I$8),"")</f>
        <v/>
      </c>
      <c r="H387" s="4"/>
      <c r="I387" s="4"/>
    </row>
    <row r="388" spans="1:9" x14ac:dyDescent="0.25">
      <c r="A388" s="4"/>
      <c r="B388" s="4" t="str">
        <f ca="1">IFERROR(_xludf.XLOOKUP(A388,Pracownicy!$A$2:$A$501,Pracownicy!$B$2:$B$501),"")</f>
        <v/>
      </c>
      <c r="C388" s="4"/>
      <c r="D388" s="4" t="str">
        <f ca="1">IFERROR(_xludf.XLOOKUP(A388,Milestones!$A$2:$A$501,Milestones!$C$2:$C$501),"")</f>
        <v/>
      </c>
      <c r="E388" s="4"/>
      <c r="F388" s="4"/>
      <c r="G388" s="4" t="str">
        <f ca="1">IFERROR(_xludf.XLOOKUP(F388,Ustawienia!$H$4:$H$8,Ustawienia!$I$4:$I$8),"")</f>
        <v/>
      </c>
      <c r="H388" s="4"/>
      <c r="I388" s="4"/>
    </row>
    <row r="389" spans="1:9" x14ac:dyDescent="0.25">
      <c r="A389" s="4"/>
      <c r="B389" s="4" t="str">
        <f ca="1">IFERROR(_xludf.XLOOKUP(A389,Pracownicy!$A$2:$A$501,Pracownicy!$B$2:$B$501),"")</f>
        <v/>
      </c>
      <c r="C389" s="4"/>
      <c r="D389" s="4" t="str">
        <f ca="1">IFERROR(_xludf.XLOOKUP(A389,Milestones!$A$2:$A$501,Milestones!$C$2:$C$501),"")</f>
        <v/>
      </c>
      <c r="E389" s="4"/>
      <c r="F389" s="4"/>
      <c r="G389" s="4" t="str">
        <f ca="1">IFERROR(_xludf.XLOOKUP(F389,Ustawienia!$H$4:$H$8,Ustawienia!$I$4:$I$8),"")</f>
        <v/>
      </c>
      <c r="H389" s="4"/>
      <c r="I389" s="4"/>
    </row>
    <row r="390" spans="1:9" x14ac:dyDescent="0.25">
      <c r="A390" s="4"/>
      <c r="B390" s="4" t="str">
        <f ca="1">IFERROR(_xludf.XLOOKUP(A390,Pracownicy!$A$2:$A$501,Pracownicy!$B$2:$B$501),"")</f>
        <v/>
      </c>
      <c r="C390" s="4"/>
      <c r="D390" s="4" t="str">
        <f ca="1">IFERROR(_xludf.XLOOKUP(A390,Milestones!$A$2:$A$501,Milestones!$C$2:$C$501),"")</f>
        <v/>
      </c>
      <c r="E390" s="4"/>
      <c r="F390" s="4"/>
      <c r="G390" s="4" t="str">
        <f ca="1">IFERROR(_xludf.XLOOKUP(F390,Ustawienia!$H$4:$H$8,Ustawienia!$I$4:$I$8),"")</f>
        <v/>
      </c>
      <c r="H390" s="4"/>
      <c r="I390" s="4"/>
    </row>
    <row r="391" spans="1:9" x14ac:dyDescent="0.25">
      <c r="A391" s="4"/>
      <c r="B391" s="4" t="str">
        <f ca="1">IFERROR(_xludf.XLOOKUP(A391,Pracownicy!$A$2:$A$501,Pracownicy!$B$2:$B$501),"")</f>
        <v/>
      </c>
      <c r="C391" s="4"/>
      <c r="D391" s="4" t="str">
        <f ca="1">IFERROR(_xludf.XLOOKUP(A391,Milestones!$A$2:$A$501,Milestones!$C$2:$C$501),"")</f>
        <v/>
      </c>
      <c r="E391" s="4"/>
      <c r="F391" s="4"/>
      <c r="G391" s="4" t="str">
        <f ca="1">IFERROR(_xludf.XLOOKUP(F391,Ustawienia!$H$4:$H$8,Ustawienia!$I$4:$I$8),"")</f>
        <v/>
      </c>
      <c r="H391" s="4"/>
      <c r="I391" s="4"/>
    </row>
    <row r="392" spans="1:9" x14ac:dyDescent="0.25">
      <c r="A392" s="4"/>
      <c r="B392" s="4" t="str">
        <f ca="1">IFERROR(_xludf.XLOOKUP(A392,Pracownicy!$A$2:$A$501,Pracownicy!$B$2:$B$501),"")</f>
        <v/>
      </c>
      <c r="C392" s="4"/>
      <c r="D392" s="4" t="str">
        <f ca="1">IFERROR(_xludf.XLOOKUP(A392,Milestones!$A$2:$A$501,Milestones!$C$2:$C$501),"")</f>
        <v/>
      </c>
      <c r="E392" s="4"/>
      <c r="F392" s="4"/>
      <c r="G392" s="4" t="str">
        <f ca="1">IFERROR(_xludf.XLOOKUP(F392,Ustawienia!$H$4:$H$8,Ustawienia!$I$4:$I$8),"")</f>
        <v/>
      </c>
      <c r="H392" s="4"/>
      <c r="I392" s="4"/>
    </row>
    <row r="393" spans="1:9" x14ac:dyDescent="0.25">
      <c r="A393" s="4"/>
      <c r="B393" s="4" t="str">
        <f ca="1">IFERROR(_xludf.XLOOKUP(A393,Pracownicy!$A$2:$A$501,Pracownicy!$B$2:$B$501),"")</f>
        <v/>
      </c>
      <c r="C393" s="4"/>
      <c r="D393" s="4" t="str">
        <f ca="1">IFERROR(_xludf.XLOOKUP(A393,Milestones!$A$2:$A$501,Milestones!$C$2:$C$501),"")</f>
        <v/>
      </c>
      <c r="E393" s="4"/>
      <c r="F393" s="4"/>
      <c r="G393" s="4" t="str">
        <f ca="1">IFERROR(_xludf.XLOOKUP(F393,Ustawienia!$H$4:$H$8,Ustawienia!$I$4:$I$8),"")</f>
        <v/>
      </c>
      <c r="H393" s="4"/>
      <c r="I393" s="4"/>
    </row>
    <row r="394" spans="1:9" x14ac:dyDescent="0.25">
      <c r="A394" s="4"/>
      <c r="B394" s="4" t="str">
        <f ca="1">IFERROR(_xludf.XLOOKUP(A394,Pracownicy!$A$2:$A$501,Pracownicy!$B$2:$B$501),"")</f>
        <v/>
      </c>
      <c r="C394" s="4"/>
      <c r="D394" s="4" t="str">
        <f ca="1">IFERROR(_xludf.XLOOKUP(A394,Milestones!$A$2:$A$501,Milestones!$C$2:$C$501),"")</f>
        <v/>
      </c>
      <c r="E394" s="4"/>
      <c r="F394" s="4"/>
      <c r="G394" s="4" t="str">
        <f ca="1">IFERROR(_xludf.XLOOKUP(F394,Ustawienia!$H$4:$H$8,Ustawienia!$I$4:$I$8),"")</f>
        <v/>
      </c>
      <c r="H394" s="4"/>
      <c r="I394" s="4"/>
    </row>
    <row r="395" spans="1:9" x14ac:dyDescent="0.25">
      <c r="A395" s="4"/>
      <c r="B395" s="4" t="str">
        <f ca="1">IFERROR(_xludf.XLOOKUP(A395,Pracownicy!$A$2:$A$501,Pracownicy!$B$2:$B$501),"")</f>
        <v/>
      </c>
      <c r="C395" s="4"/>
      <c r="D395" s="4" t="str">
        <f ca="1">IFERROR(_xludf.XLOOKUP(A395,Milestones!$A$2:$A$501,Milestones!$C$2:$C$501),"")</f>
        <v/>
      </c>
      <c r="E395" s="4"/>
      <c r="F395" s="4"/>
      <c r="G395" s="4" t="str">
        <f ca="1">IFERROR(_xludf.XLOOKUP(F395,Ustawienia!$H$4:$H$8,Ustawienia!$I$4:$I$8),"")</f>
        <v/>
      </c>
      <c r="H395" s="4"/>
      <c r="I395" s="4"/>
    </row>
    <row r="396" spans="1:9" x14ac:dyDescent="0.25">
      <c r="A396" s="4"/>
      <c r="B396" s="4" t="str">
        <f ca="1">IFERROR(_xludf.XLOOKUP(A396,Pracownicy!$A$2:$A$501,Pracownicy!$B$2:$B$501),"")</f>
        <v/>
      </c>
      <c r="C396" s="4"/>
      <c r="D396" s="4" t="str">
        <f ca="1">IFERROR(_xludf.XLOOKUP(A396,Milestones!$A$2:$A$501,Milestones!$C$2:$C$501),"")</f>
        <v/>
      </c>
      <c r="E396" s="4"/>
      <c r="F396" s="4"/>
      <c r="G396" s="4" t="str">
        <f ca="1">IFERROR(_xludf.XLOOKUP(F396,Ustawienia!$H$4:$H$8,Ustawienia!$I$4:$I$8),"")</f>
        <v/>
      </c>
      <c r="H396" s="4"/>
      <c r="I396" s="4"/>
    </row>
    <row r="397" spans="1:9" x14ac:dyDescent="0.25">
      <c r="A397" s="4"/>
      <c r="B397" s="4" t="str">
        <f ca="1">IFERROR(_xludf.XLOOKUP(A397,Pracownicy!$A$2:$A$501,Pracownicy!$B$2:$B$501),"")</f>
        <v/>
      </c>
      <c r="C397" s="4"/>
      <c r="D397" s="4" t="str">
        <f ca="1">IFERROR(_xludf.XLOOKUP(A397,Milestones!$A$2:$A$501,Milestones!$C$2:$C$501),"")</f>
        <v/>
      </c>
      <c r="E397" s="4"/>
      <c r="F397" s="4"/>
      <c r="G397" s="4" t="str">
        <f ca="1">IFERROR(_xludf.XLOOKUP(F397,Ustawienia!$H$4:$H$8,Ustawienia!$I$4:$I$8),"")</f>
        <v/>
      </c>
      <c r="H397" s="4"/>
      <c r="I397" s="4"/>
    </row>
    <row r="398" spans="1:9" x14ac:dyDescent="0.25">
      <c r="A398" s="4"/>
      <c r="B398" s="4" t="str">
        <f ca="1">IFERROR(_xludf.XLOOKUP(A398,Pracownicy!$A$2:$A$501,Pracownicy!$B$2:$B$501),"")</f>
        <v/>
      </c>
      <c r="C398" s="4"/>
      <c r="D398" s="4" t="str">
        <f ca="1">IFERROR(_xludf.XLOOKUP(A398,Milestones!$A$2:$A$501,Milestones!$C$2:$C$501),"")</f>
        <v/>
      </c>
      <c r="E398" s="4"/>
      <c r="F398" s="4"/>
      <c r="G398" s="4" t="str">
        <f ca="1">IFERROR(_xludf.XLOOKUP(F398,Ustawienia!$H$4:$H$8,Ustawienia!$I$4:$I$8),"")</f>
        <v/>
      </c>
      <c r="H398" s="4"/>
      <c r="I398" s="4"/>
    </row>
    <row r="399" spans="1:9" x14ac:dyDescent="0.25">
      <c r="A399" s="4"/>
      <c r="B399" s="4" t="str">
        <f ca="1">IFERROR(_xludf.XLOOKUP(A399,Pracownicy!$A$2:$A$501,Pracownicy!$B$2:$B$501),"")</f>
        <v/>
      </c>
      <c r="C399" s="4"/>
      <c r="D399" s="4" t="str">
        <f ca="1">IFERROR(_xludf.XLOOKUP(A399,Milestones!$A$2:$A$501,Milestones!$C$2:$C$501),"")</f>
        <v/>
      </c>
      <c r="E399" s="4"/>
      <c r="F399" s="4"/>
      <c r="G399" s="4" t="str">
        <f ca="1">IFERROR(_xludf.XLOOKUP(F399,Ustawienia!$H$4:$H$8,Ustawienia!$I$4:$I$8),"")</f>
        <v/>
      </c>
      <c r="H399" s="4"/>
      <c r="I399" s="4"/>
    </row>
    <row r="400" spans="1:9" x14ac:dyDescent="0.25">
      <c r="A400" s="4"/>
      <c r="B400" s="4" t="str">
        <f ca="1">IFERROR(_xludf.XLOOKUP(A400,Pracownicy!$A$2:$A$501,Pracownicy!$B$2:$B$501),"")</f>
        <v/>
      </c>
      <c r="C400" s="4"/>
      <c r="D400" s="4" t="str">
        <f ca="1">IFERROR(_xludf.XLOOKUP(A400,Milestones!$A$2:$A$501,Milestones!$C$2:$C$501),"")</f>
        <v/>
      </c>
      <c r="E400" s="4"/>
      <c r="F400" s="4"/>
      <c r="G400" s="4" t="str">
        <f ca="1">IFERROR(_xludf.XLOOKUP(F400,Ustawienia!$H$4:$H$8,Ustawienia!$I$4:$I$8),"")</f>
        <v/>
      </c>
      <c r="H400" s="4"/>
      <c r="I400" s="4"/>
    </row>
    <row r="401" spans="1:9" x14ac:dyDescent="0.25">
      <c r="A401" s="4"/>
      <c r="B401" s="4" t="str">
        <f ca="1">IFERROR(_xludf.XLOOKUP(A401,Pracownicy!$A$2:$A$501,Pracownicy!$B$2:$B$501),"")</f>
        <v/>
      </c>
      <c r="C401" s="4"/>
      <c r="D401" s="4" t="str">
        <f ca="1">IFERROR(_xludf.XLOOKUP(A401,Milestones!$A$2:$A$501,Milestones!$C$2:$C$501),"")</f>
        <v/>
      </c>
      <c r="E401" s="4"/>
      <c r="F401" s="4"/>
      <c r="G401" s="4" t="str">
        <f ca="1">IFERROR(_xludf.XLOOKUP(F401,Ustawienia!$H$4:$H$8,Ustawienia!$I$4:$I$8),"")</f>
        <v/>
      </c>
      <c r="H401" s="4"/>
      <c r="I401" s="4"/>
    </row>
    <row r="402" spans="1:9" x14ac:dyDescent="0.25">
      <c r="A402" s="4"/>
      <c r="B402" s="4" t="str">
        <f ca="1">IFERROR(_xludf.XLOOKUP(A402,Pracownicy!$A$2:$A$501,Pracownicy!$B$2:$B$501),"")</f>
        <v/>
      </c>
      <c r="C402" s="4"/>
      <c r="D402" s="4" t="str">
        <f ca="1">IFERROR(_xludf.XLOOKUP(A402,Milestones!$A$2:$A$501,Milestones!$C$2:$C$501),"")</f>
        <v/>
      </c>
      <c r="E402" s="4"/>
      <c r="F402" s="4"/>
      <c r="G402" s="4" t="str">
        <f ca="1">IFERROR(_xludf.XLOOKUP(F402,Ustawienia!$H$4:$H$8,Ustawienia!$I$4:$I$8),"")</f>
        <v/>
      </c>
      <c r="H402" s="4"/>
      <c r="I402" s="4"/>
    </row>
    <row r="403" spans="1:9" x14ac:dyDescent="0.25">
      <c r="A403" s="4"/>
      <c r="B403" s="4" t="str">
        <f ca="1">IFERROR(_xludf.XLOOKUP(A403,Pracownicy!$A$2:$A$501,Pracownicy!$B$2:$B$501),"")</f>
        <v/>
      </c>
      <c r="C403" s="4"/>
      <c r="D403" s="4" t="str">
        <f ca="1">IFERROR(_xludf.XLOOKUP(A403,Milestones!$A$2:$A$501,Milestones!$C$2:$C$501),"")</f>
        <v/>
      </c>
      <c r="E403" s="4"/>
      <c r="F403" s="4"/>
      <c r="G403" s="4" t="str">
        <f ca="1">IFERROR(_xludf.XLOOKUP(F403,Ustawienia!$H$4:$H$8,Ustawienia!$I$4:$I$8),"")</f>
        <v/>
      </c>
      <c r="H403" s="4"/>
      <c r="I403" s="4"/>
    </row>
    <row r="404" spans="1:9" x14ac:dyDescent="0.25">
      <c r="A404" s="4"/>
      <c r="B404" s="4" t="str">
        <f ca="1">IFERROR(_xludf.XLOOKUP(A404,Pracownicy!$A$2:$A$501,Pracownicy!$B$2:$B$501),"")</f>
        <v/>
      </c>
      <c r="C404" s="4"/>
      <c r="D404" s="4" t="str">
        <f ca="1">IFERROR(_xludf.XLOOKUP(A404,Milestones!$A$2:$A$501,Milestones!$C$2:$C$501),"")</f>
        <v/>
      </c>
      <c r="E404" s="4"/>
      <c r="F404" s="4"/>
      <c r="G404" s="4" t="str">
        <f ca="1">IFERROR(_xludf.XLOOKUP(F404,Ustawienia!$H$4:$H$8,Ustawienia!$I$4:$I$8),"")</f>
        <v/>
      </c>
      <c r="H404" s="4"/>
      <c r="I404" s="4"/>
    </row>
    <row r="405" spans="1:9" x14ac:dyDescent="0.25">
      <c r="A405" s="4"/>
      <c r="B405" s="4" t="str">
        <f ca="1">IFERROR(_xludf.XLOOKUP(A405,Pracownicy!$A$2:$A$501,Pracownicy!$B$2:$B$501),"")</f>
        <v/>
      </c>
      <c r="C405" s="4"/>
      <c r="D405" s="4" t="str">
        <f ca="1">IFERROR(_xludf.XLOOKUP(A405,Milestones!$A$2:$A$501,Milestones!$C$2:$C$501),"")</f>
        <v/>
      </c>
      <c r="E405" s="4"/>
      <c r="F405" s="4"/>
      <c r="G405" s="4" t="str">
        <f ca="1">IFERROR(_xludf.XLOOKUP(F405,Ustawienia!$H$4:$H$8,Ustawienia!$I$4:$I$8),"")</f>
        <v/>
      </c>
      <c r="H405" s="4"/>
      <c r="I405" s="4"/>
    </row>
    <row r="406" spans="1:9" x14ac:dyDescent="0.25">
      <c r="A406" s="4"/>
      <c r="B406" s="4" t="str">
        <f ca="1">IFERROR(_xludf.XLOOKUP(A406,Pracownicy!$A$2:$A$501,Pracownicy!$B$2:$B$501),"")</f>
        <v/>
      </c>
      <c r="C406" s="4"/>
      <c r="D406" s="4" t="str">
        <f ca="1">IFERROR(_xludf.XLOOKUP(A406,Milestones!$A$2:$A$501,Milestones!$C$2:$C$501),"")</f>
        <v/>
      </c>
      <c r="E406" s="4"/>
      <c r="F406" s="4"/>
      <c r="G406" s="4" t="str">
        <f ca="1">IFERROR(_xludf.XLOOKUP(F406,Ustawienia!$H$4:$H$8,Ustawienia!$I$4:$I$8),"")</f>
        <v/>
      </c>
      <c r="H406" s="4"/>
      <c r="I406" s="4"/>
    </row>
    <row r="407" spans="1:9" x14ac:dyDescent="0.25">
      <c r="A407" s="4"/>
      <c r="B407" s="4" t="str">
        <f ca="1">IFERROR(_xludf.XLOOKUP(A407,Pracownicy!$A$2:$A$501,Pracownicy!$B$2:$B$501),"")</f>
        <v/>
      </c>
      <c r="C407" s="4"/>
      <c r="D407" s="4" t="str">
        <f ca="1">IFERROR(_xludf.XLOOKUP(A407,Milestones!$A$2:$A$501,Milestones!$C$2:$C$501),"")</f>
        <v/>
      </c>
      <c r="E407" s="4"/>
      <c r="F407" s="4"/>
      <c r="G407" s="4" t="str">
        <f ca="1">IFERROR(_xludf.XLOOKUP(F407,Ustawienia!$H$4:$H$8,Ustawienia!$I$4:$I$8),"")</f>
        <v/>
      </c>
      <c r="H407" s="4"/>
      <c r="I407" s="4"/>
    </row>
    <row r="408" spans="1:9" x14ac:dyDescent="0.25">
      <c r="A408" s="4"/>
      <c r="B408" s="4" t="str">
        <f ca="1">IFERROR(_xludf.XLOOKUP(A408,Pracownicy!$A$2:$A$501,Pracownicy!$B$2:$B$501),"")</f>
        <v/>
      </c>
      <c r="C408" s="4"/>
      <c r="D408" s="4" t="str">
        <f ca="1">IFERROR(_xludf.XLOOKUP(A408,Milestones!$A$2:$A$501,Milestones!$C$2:$C$501),"")</f>
        <v/>
      </c>
      <c r="E408" s="4"/>
      <c r="F408" s="4"/>
      <c r="G408" s="4" t="str">
        <f ca="1">IFERROR(_xludf.XLOOKUP(F408,Ustawienia!$H$4:$H$8,Ustawienia!$I$4:$I$8),"")</f>
        <v/>
      </c>
      <c r="H408" s="4"/>
      <c r="I408" s="4"/>
    </row>
    <row r="409" spans="1:9" x14ac:dyDescent="0.25">
      <c r="A409" s="4"/>
      <c r="B409" s="4" t="str">
        <f ca="1">IFERROR(_xludf.XLOOKUP(A409,Pracownicy!$A$2:$A$501,Pracownicy!$B$2:$B$501),"")</f>
        <v/>
      </c>
      <c r="C409" s="4"/>
      <c r="D409" s="4" t="str">
        <f ca="1">IFERROR(_xludf.XLOOKUP(A409,Milestones!$A$2:$A$501,Milestones!$C$2:$C$501),"")</f>
        <v/>
      </c>
      <c r="E409" s="4"/>
      <c r="F409" s="4"/>
      <c r="G409" s="4" t="str">
        <f ca="1">IFERROR(_xludf.XLOOKUP(F409,Ustawienia!$H$4:$H$8,Ustawienia!$I$4:$I$8),"")</f>
        <v/>
      </c>
      <c r="H409" s="4"/>
      <c r="I409" s="4"/>
    </row>
    <row r="410" spans="1:9" x14ac:dyDescent="0.25">
      <c r="A410" s="4"/>
      <c r="B410" s="4" t="str">
        <f ca="1">IFERROR(_xludf.XLOOKUP(A410,Pracownicy!$A$2:$A$501,Pracownicy!$B$2:$B$501),"")</f>
        <v/>
      </c>
      <c r="C410" s="4"/>
      <c r="D410" s="4" t="str">
        <f ca="1">IFERROR(_xludf.XLOOKUP(A410,Milestones!$A$2:$A$501,Milestones!$C$2:$C$501),"")</f>
        <v/>
      </c>
      <c r="E410" s="4"/>
      <c r="F410" s="4"/>
      <c r="G410" s="4" t="str">
        <f ca="1">IFERROR(_xludf.XLOOKUP(F410,Ustawienia!$H$4:$H$8,Ustawienia!$I$4:$I$8),"")</f>
        <v/>
      </c>
      <c r="H410" s="4"/>
      <c r="I410" s="4"/>
    </row>
    <row r="411" spans="1:9" x14ac:dyDescent="0.25">
      <c r="A411" s="4"/>
      <c r="B411" s="4" t="str">
        <f ca="1">IFERROR(_xludf.XLOOKUP(A411,Pracownicy!$A$2:$A$501,Pracownicy!$B$2:$B$501),"")</f>
        <v/>
      </c>
      <c r="C411" s="4"/>
      <c r="D411" s="4" t="str">
        <f ca="1">IFERROR(_xludf.XLOOKUP(A411,Milestones!$A$2:$A$501,Milestones!$C$2:$C$501),"")</f>
        <v/>
      </c>
      <c r="E411" s="4"/>
      <c r="F411" s="4"/>
      <c r="G411" s="4" t="str">
        <f ca="1">IFERROR(_xludf.XLOOKUP(F411,Ustawienia!$H$4:$H$8,Ustawienia!$I$4:$I$8),"")</f>
        <v/>
      </c>
      <c r="H411" s="4"/>
      <c r="I411" s="4"/>
    </row>
    <row r="412" spans="1:9" x14ac:dyDescent="0.25">
      <c r="A412" s="4"/>
      <c r="B412" s="4" t="str">
        <f ca="1">IFERROR(_xludf.XLOOKUP(A412,Pracownicy!$A$2:$A$501,Pracownicy!$B$2:$B$501),"")</f>
        <v/>
      </c>
      <c r="C412" s="4"/>
      <c r="D412" s="4" t="str">
        <f ca="1">IFERROR(_xludf.XLOOKUP(A412,Milestones!$A$2:$A$501,Milestones!$C$2:$C$501),"")</f>
        <v/>
      </c>
      <c r="E412" s="4"/>
      <c r="F412" s="4"/>
      <c r="G412" s="4" t="str">
        <f ca="1">IFERROR(_xludf.XLOOKUP(F412,Ustawienia!$H$4:$H$8,Ustawienia!$I$4:$I$8),"")</f>
        <v/>
      </c>
      <c r="H412" s="4"/>
      <c r="I412" s="4"/>
    </row>
    <row r="413" spans="1:9" x14ac:dyDescent="0.25">
      <c r="A413" s="4"/>
      <c r="B413" s="4" t="str">
        <f ca="1">IFERROR(_xludf.XLOOKUP(A413,Pracownicy!$A$2:$A$501,Pracownicy!$B$2:$B$501),"")</f>
        <v/>
      </c>
      <c r="C413" s="4"/>
      <c r="D413" s="4" t="str">
        <f ca="1">IFERROR(_xludf.XLOOKUP(A413,Milestones!$A$2:$A$501,Milestones!$C$2:$C$501),"")</f>
        <v/>
      </c>
      <c r="E413" s="4"/>
      <c r="F413" s="4"/>
      <c r="G413" s="4" t="str">
        <f ca="1">IFERROR(_xludf.XLOOKUP(F413,Ustawienia!$H$4:$H$8,Ustawienia!$I$4:$I$8),"")</f>
        <v/>
      </c>
      <c r="H413" s="4"/>
      <c r="I413" s="4"/>
    </row>
    <row r="414" spans="1:9" x14ac:dyDescent="0.25">
      <c r="A414" s="4"/>
      <c r="B414" s="4" t="str">
        <f ca="1">IFERROR(_xludf.XLOOKUP(A414,Pracownicy!$A$2:$A$501,Pracownicy!$B$2:$B$501),"")</f>
        <v/>
      </c>
      <c r="C414" s="4"/>
      <c r="D414" s="4" t="str">
        <f ca="1">IFERROR(_xludf.XLOOKUP(A414,Milestones!$A$2:$A$501,Milestones!$C$2:$C$501),"")</f>
        <v/>
      </c>
      <c r="E414" s="4"/>
      <c r="F414" s="4"/>
      <c r="G414" s="4" t="str">
        <f ca="1">IFERROR(_xludf.XLOOKUP(F414,Ustawienia!$H$4:$H$8,Ustawienia!$I$4:$I$8),"")</f>
        <v/>
      </c>
      <c r="H414" s="4"/>
      <c r="I414" s="4"/>
    </row>
    <row r="415" spans="1:9" x14ac:dyDescent="0.25">
      <c r="A415" s="4"/>
      <c r="B415" s="4" t="str">
        <f ca="1">IFERROR(_xludf.XLOOKUP(A415,Pracownicy!$A$2:$A$501,Pracownicy!$B$2:$B$501),"")</f>
        <v/>
      </c>
      <c r="C415" s="4"/>
      <c r="D415" s="4" t="str">
        <f ca="1">IFERROR(_xludf.XLOOKUP(A415,Milestones!$A$2:$A$501,Milestones!$C$2:$C$501),"")</f>
        <v/>
      </c>
      <c r="E415" s="4"/>
      <c r="F415" s="4"/>
      <c r="G415" s="4" t="str">
        <f ca="1">IFERROR(_xludf.XLOOKUP(F415,Ustawienia!$H$4:$H$8,Ustawienia!$I$4:$I$8),"")</f>
        <v/>
      </c>
      <c r="H415" s="4"/>
      <c r="I415" s="4"/>
    </row>
    <row r="416" spans="1:9" x14ac:dyDescent="0.25">
      <c r="A416" s="4"/>
      <c r="B416" s="4" t="str">
        <f ca="1">IFERROR(_xludf.XLOOKUP(A416,Pracownicy!$A$2:$A$501,Pracownicy!$B$2:$B$501),"")</f>
        <v/>
      </c>
      <c r="C416" s="4"/>
      <c r="D416" s="4" t="str">
        <f ca="1">IFERROR(_xludf.XLOOKUP(A416,Milestones!$A$2:$A$501,Milestones!$C$2:$C$501),"")</f>
        <v/>
      </c>
      <c r="E416" s="4"/>
      <c r="F416" s="4"/>
      <c r="G416" s="4" t="str">
        <f ca="1">IFERROR(_xludf.XLOOKUP(F416,Ustawienia!$H$4:$H$8,Ustawienia!$I$4:$I$8),"")</f>
        <v/>
      </c>
      <c r="H416" s="4"/>
      <c r="I416" s="4"/>
    </row>
    <row r="417" spans="1:9" x14ac:dyDescent="0.25">
      <c r="A417" s="4"/>
      <c r="B417" s="4" t="str">
        <f ca="1">IFERROR(_xludf.XLOOKUP(A417,Pracownicy!$A$2:$A$501,Pracownicy!$B$2:$B$501),"")</f>
        <v/>
      </c>
      <c r="C417" s="4"/>
      <c r="D417" s="4" t="str">
        <f ca="1">IFERROR(_xludf.XLOOKUP(A417,Milestones!$A$2:$A$501,Milestones!$C$2:$C$501),"")</f>
        <v/>
      </c>
      <c r="E417" s="4"/>
      <c r="F417" s="4"/>
      <c r="G417" s="4" t="str">
        <f ca="1">IFERROR(_xludf.XLOOKUP(F417,Ustawienia!$H$4:$H$8,Ustawienia!$I$4:$I$8),"")</f>
        <v/>
      </c>
      <c r="H417" s="4"/>
      <c r="I417" s="4"/>
    </row>
    <row r="418" spans="1:9" x14ac:dyDescent="0.25">
      <c r="A418" s="4"/>
      <c r="B418" s="4" t="str">
        <f ca="1">IFERROR(_xludf.XLOOKUP(A418,Pracownicy!$A$2:$A$501,Pracownicy!$B$2:$B$501),"")</f>
        <v/>
      </c>
      <c r="C418" s="4"/>
      <c r="D418" s="4" t="str">
        <f ca="1">IFERROR(_xludf.XLOOKUP(A418,Milestones!$A$2:$A$501,Milestones!$C$2:$C$501),"")</f>
        <v/>
      </c>
      <c r="E418" s="4"/>
      <c r="F418" s="4"/>
      <c r="G418" s="4" t="str">
        <f ca="1">IFERROR(_xludf.XLOOKUP(F418,Ustawienia!$H$4:$H$8,Ustawienia!$I$4:$I$8),"")</f>
        <v/>
      </c>
      <c r="H418" s="4"/>
      <c r="I418" s="4"/>
    </row>
    <row r="419" spans="1:9" x14ac:dyDescent="0.25">
      <c r="A419" s="4"/>
      <c r="B419" s="4" t="str">
        <f ca="1">IFERROR(_xludf.XLOOKUP(A419,Pracownicy!$A$2:$A$501,Pracownicy!$B$2:$B$501),"")</f>
        <v/>
      </c>
      <c r="C419" s="4"/>
      <c r="D419" s="4" t="str">
        <f ca="1">IFERROR(_xludf.XLOOKUP(A419,Milestones!$A$2:$A$501,Milestones!$C$2:$C$501),"")</f>
        <v/>
      </c>
      <c r="E419" s="4"/>
      <c r="F419" s="4"/>
      <c r="G419" s="4" t="str">
        <f ca="1">IFERROR(_xludf.XLOOKUP(F419,Ustawienia!$H$4:$H$8,Ustawienia!$I$4:$I$8),"")</f>
        <v/>
      </c>
      <c r="H419" s="4"/>
      <c r="I419" s="4"/>
    </row>
    <row r="420" spans="1:9" x14ac:dyDescent="0.25">
      <c r="A420" s="4"/>
      <c r="B420" s="4" t="str">
        <f ca="1">IFERROR(_xludf.XLOOKUP(A420,Pracownicy!$A$2:$A$501,Pracownicy!$B$2:$B$501),"")</f>
        <v/>
      </c>
      <c r="C420" s="4"/>
      <c r="D420" s="4" t="str">
        <f ca="1">IFERROR(_xludf.XLOOKUP(A420,Milestones!$A$2:$A$501,Milestones!$C$2:$C$501),"")</f>
        <v/>
      </c>
      <c r="E420" s="4"/>
      <c r="F420" s="4"/>
      <c r="G420" s="4" t="str">
        <f ca="1">IFERROR(_xludf.XLOOKUP(F420,Ustawienia!$H$4:$H$8,Ustawienia!$I$4:$I$8),"")</f>
        <v/>
      </c>
      <c r="H420" s="4"/>
      <c r="I420" s="4"/>
    </row>
    <row r="421" spans="1:9" x14ac:dyDescent="0.25">
      <c r="A421" s="4"/>
      <c r="B421" s="4" t="str">
        <f ca="1">IFERROR(_xludf.XLOOKUP(A421,Pracownicy!$A$2:$A$501,Pracownicy!$B$2:$B$501),"")</f>
        <v/>
      </c>
      <c r="C421" s="4"/>
      <c r="D421" s="4" t="str">
        <f ca="1">IFERROR(_xludf.XLOOKUP(A421,Milestones!$A$2:$A$501,Milestones!$C$2:$C$501),"")</f>
        <v/>
      </c>
      <c r="E421" s="4"/>
      <c r="F421" s="4"/>
      <c r="G421" s="4" t="str">
        <f ca="1">IFERROR(_xludf.XLOOKUP(F421,Ustawienia!$H$4:$H$8,Ustawienia!$I$4:$I$8),"")</f>
        <v/>
      </c>
      <c r="H421" s="4"/>
      <c r="I421" s="4"/>
    </row>
    <row r="422" spans="1:9" x14ac:dyDescent="0.25">
      <c r="A422" s="4"/>
      <c r="B422" s="4" t="str">
        <f ca="1">IFERROR(_xludf.XLOOKUP(A422,Pracownicy!$A$2:$A$501,Pracownicy!$B$2:$B$501),"")</f>
        <v/>
      </c>
      <c r="C422" s="4"/>
      <c r="D422" s="4" t="str">
        <f ca="1">IFERROR(_xludf.XLOOKUP(A422,Milestones!$A$2:$A$501,Milestones!$C$2:$C$501),"")</f>
        <v/>
      </c>
      <c r="E422" s="4"/>
      <c r="F422" s="4"/>
      <c r="G422" s="4" t="str">
        <f ca="1">IFERROR(_xludf.XLOOKUP(F422,Ustawienia!$H$4:$H$8,Ustawienia!$I$4:$I$8),"")</f>
        <v/>
      </c>
      <c r="H422" s="4"/>
      <c r="I422" s="4"/>
    </row>
    <row r="423" spans="1:9" x14ac:dyDescent="0.25">
      <c r="A423" s="4"/>
      <c r="B423" s="4" t="str">
        <f ca="1">IFERROR(_xludf.XLOOKUP(A423,Pracownicy!$A$2:$A$501,Pracownicy!$B$2:$B$501),"")</f>
        <v/>
      </c>
      <c r="C423" s="4"/>
      <c r="D423" s="4" t="str">
        <f ca="1">IFERROR(_xludf.XLOOKUP(A423,Milestones!$A$2:$A$501,Milestones!$C$2:$C$501),"")</f>
        <v/>
      </c>
      <c r="E423" s="4"/>
      <c r="F423" s="4"/>
      <c r="G423" s="4" t="str">
        <f ca="1">IFERROR(_xludf.XLOOKUP(F423,Ustawienia!$H$4:$H$8,Ustawienia!$I$4:$I$8),"")</f>
        <v/>
      </c>
      <c r="H423" s="4"/>
      <c r="I423" s="4"/>
    </row>
    <row r="424" spans="1:9" x14ac:dyDescent="0.25">
      <c r="A424" s="4"/>
      <c r="B424" s="4" t="str">
        <f ca="1">IFERROR(_xludf.XLOOKUP(A424,Pracownicy!$A$2:$A$501,Pracownicy!$B$2:$B$501),"")</f>
        <v/>
      </c>
      <c r="C424" s="4"/>
      <c r="D424" s="4" t="str">
        <f ca="1">IFERROR(_xludf.XLOOKUP(A424,Milestones!$A$2:$A$501,Milestones!$C$2:$C$501),"")</f>
        <v/>
      </c>
      <c r="E424" s="4"/>
      <c r="F424" s="4"/>
      <c r="G424" s="4" t="str">
        <f ca="1">IFERROR(_xludf.XLOOKUP(F424,Ustawienia!$H$4:$H$8,Ustawienia!$I$4:$I$8),"")</f>
        <v/>
      </c>
      <c r="H424" s="4"/>
      <c r="I424" s="4"/>
    </row>
    <row r="425" spans="1:9" x14ac:dyDescent="0.25">
      <c r="A425" s="4"/>
      <c r="B425" s="4" t="str">
        <f ca="1">IFERROR(_xludf.XLOOKUP(A425,Pracownicy!$A$2:$A$501,Pracownicy!$B$2:$B$501),"")</f>
        <v/>
      </c>
      <c r="C425" s="4"/>
      <c r="D425" s="4" t="str">
        <f ca="1">IFERROR(_xludf.XLOOKUP(A425,Milestones!$A$2:$A$501,Milestones!$C$2:$C$501),"")</f>
        <v/>
      </c>
      <c r="E425" s="4"/>
      <c r="F425" s="4"/>
      <c r="G425" s="4" t="str">
        <f ca="1">IFERROR(_xludf.XLOOKUP(F425,Ustawienia!$H$4:$H$8,Ustawienia!$I$4:$I$8),"")</f>
        <v/>
      </c>
      <c r="H425" s="4"/>
      <c r="I425" s="4"/>
    </row>
    <row r="426" spans="1:9" x14ac:dyDescent="0.25">
      <c r="A426" s="4"/>
      <c r="B426" s="4" t="str">
        <f ca="1">IFERROR(_xludf.XLOOKUP(A426,Pracownicy!$A$2:$A$501,Pracownicy!$B$2:$B$501),"")</f>
        <v/>
      </c>
      <c r="C426" s="4"/>
      <c r="D426" s="4" t="str">
        <f ca="1">IFERROR(_xludf.XLOOKUP(A426,Milestones!$A$2:$A$501,Milestones!$C$2:$C$501),"")</f>
        <v/>
      </c>
      <c r="E426" s="4"/>
      <c r="F426" s="4"/>
      <c r="G426" s="4" t="str">
        <f ca="1">IFERROR(_xludf.XLOOKUP(F426,Ustawienia!$H$4:$H$8,Ustawienia!$I$4:$I$8),"")</f>
        <v/>
      </c>
      <c r="H426" s="4"/>
      <c r="I426" s="4"/>
    </row>
    <row r="427" spans="1:9" x14ac:dyDescent="0.25">
      <c r="A427" s="4"/>
      <c r="B427" s="4" t="str">
        <f ca="1">IFERROR(_xludf.XLOOKUP(A427,Pracownicy!$A$2:$A$501,Pracownicy!$B$2:$B$501),"")</f>
        <v/>
      </c>
      <c r="C427" s="4"/>
      <c r="D427" s="4" t="str">
        <f ca="1">IFERROR(_xludf.XLOOKUP(A427,Milestones!$A$2:$A$501,Milestones!$C$2:$C$501),"")</f>
        <v/>
      </c>
      <c r="E427" s="4"/>
      <c r="F427" s="4"/>
      <c r="G427" s="4" t="str">
        <f ca="1">IFERROR(_xludf.XLOOKUP(F427,Ustawienia!$H$4:$H$8,Ustawienia!$I$4:$I$8),"")</f>
        <v/>
      </c>
      <c r="H427" s="4"/>
      <c r="I427" s="4"/>
    </row>
    <row r="428" spans="1:9" x14ac:dyDescent="0.25">
      <c r="A428" s="4"/>
      <c r="B428" s="4" t="str">
        <f ca="1">IFERROR(_xludf.XLOOKUP(A428,Pracownicy!$A$2:$A$501,Pracownicy!$B$2:$B$501),"")</f>
        <v/>
      </c>
      <c r="C428" s="4"/>
      <c r="D428" s="4" t="str">
        <f ca="1">IFERROR(_xludf.XLOOKUP(A428,Milestones!$A$2:$A$501,Milestones!$C$2:$C$501),"")</f>
        <v/>
      </c>
      <c r="E428" s="4"/>
      <c r="F428" s="4"/>
      <c r="G428" s="4" t="str">
        <f ca="1">IFERROR(_xludf.XLOOKUP(F428,Ustawienia!$H$4:$H$8,Ustawienia!$I$4:$I$8),"")</f>
        <v/>
      </c>
      <c r="H428" s="4"/>
      <c r="I428" s="4"/>
    </row>
    <row r="429" spans="1:9" x14ac:dyDescent="0.25">
      <c r="A429" s="4"/>
      <c r="B429" s="4" t="str">
        <f ca="1">IFERROR(_xludf.XLOOKUP(A429,Pracownicy!$A$2:$A$501,Pracownicy!$B$2:$B$501),"")</f>
        <v/>
      </c>
      <c r="C429" s="4"/>
      <c r="D429" s="4" t="str">
        <f ca="1">IFERROR(_xludf.XLOOKUP(A429,Milestones!$A$2:$A$501,Milestones!$C$2:$C$501),"")</f>
        <v/>
      </c>
      <c r="E429" s="4"/>
      <c r="F429" s="4"/>
      <c r="G429" s="4" t="str">
        <f ca="1">IFERROR(_xludf.XLOOKUP(F429,Ustawienia!$H$4:$H$8,Ustawienia!$I$4:$I$8),"")</f>
        <v/>
      </c>
      <c r="H429" s="4"/>
      <c r="I429" s="4"/>
    </row>
    <row r="430" spans="1:9" x14ac:dyDescent="0.25">
      <c r="A430" s="4"/>
      <c r="B430" s="4" t="str">
        <f ca="1">IFERROR(_xludf.XLOOKUP(A430,Pracownicy!$A$2:$A$501,Pracownicy!$B$2:$B$501),"")</f>
        <v/>
      </c>
      <c r="C430" s="4"/>
      <c r="D430" s="4" t="str">
        <f ca="1">IFERROR(_xludf.XLOOKUP(A430,Milestones!$A$2:$A$501,Milestones!$C$2:$C$501),"")</f>
        <v/>
      </c>
      <c r="E430" s="4"/>
      <c r="F430" s="4"/>
      <c r="G430" s="4" t="str">
        <f ca="1">IFERROR(_xludf.XLOOKUP(F430,Ustawienia!$H$4:$H$8,Ustawienia!$I$4:$I$8),"")</f>
        <v/>
      </c>
      <c r="H430" s="4"/>
      <c r="I430" s="4"/>
    </row>
    <row r="431" spans="1:9" x14ac:dyDescent="0.25">
      <c r="A431" s="4"/>
      <c r="B431" s="4" t="str">
        <f ca="1">IFERROR(_xludf.XLOOKUP(A431,Pracownicy!$A$2:$A$501,Pracownicy!$B$2:$B$501),"")</f>
        <v/>
      </c>
      <c r="C431" s="4"/>
      <c r="D431" s="4" t="str">
        <f ca="1">IFERROR(_xludf.XLOOKUP(A431,Milestones!$A$2:$A$501,Milestones!$C$2:$C$501),"")</f>
        <v/>
      </c>
      <c r="E431" s="4"/>
      <c r="F431" s="4"/>
      <c r="G431" s="4" t="str">
        <f ca="1">IFERROR(_xludf.XLOOKUP(F431,Ustawienia!$H$4:$H$8,Ustawienia!$I$4:$I$8),"")</f>
        <v/>
      </c>
      <c r="H431" s="4"/>
      <c r="I431" s="4"/>
    </row>
    <row r="432" spans="1:9" x14ac:dyDescent="0.25">
      <c r="A432" s="4"/>
      <c r="B432" s="4" t="str">
        <f ca="1">IFERROR(_xludf.XLOOKUP(A432,Pracownicy!$A$2:$A$501,Pracownicy!$B$2:$B$501),"")</f>
        <v/>
      </c>
      <c r="C432" s="4"/>
      <c r="D432" s="4" t="str">
        <f ca="1">IFERROR(_xludf.XLOOKUP(A432,Milestones!$A$2:$A$501,Milestones!$C$2:$C$501),"")</f>
        <v/>
      </c>
      <c r="E432" s="4"/>
      <c r="F432" s="4"/>
      <c r="G432" s="4" t="str">
        <f ca="1">IFERROR(_xludf.XLOOKUP(F432,Ustawienia!$H$4:$H$8,Ustawienia!$I$4:$I$8),"")</f>
        <v/>
      </c>
      <c r="H432" s="4"/>
      <c r="I432" s="4"/>
    </row>
    <row r="433" spans="1:9" x14ac:dyDescent="0.25">
      <c r="A433" s="4"/>
      <c r="B433" s="4" t="str">
        <f ca="1">IFERROR(_xludf.XLOOKUP(A433,Pracownicy!$A$2:$A$501,Pracownicy!$B$2:$B$501),"")</f>
        <v/>
      </c>
      <c r="C433" s="4"/>
      <c r="D433" s="4" t="str">
        <f ca="1">IFERROR(_xludf.XLOOKUP(A433,Milestones!$A$2:$A$501,Milestones!$C$2:$C$501),"")</f>
        <v/>
      </c>
      <c r="E433" s="4"/>
      <c r="F433" s="4"/>
      <c r="G433" s="4" t="str">
        <f ca="1">IFERROR(_xludf.XLOOKUP(F433,Ustawienia!$H$4:$H$8,Ustawienia!$I$4:$I$8),"")</f>
        <v/>
      </c>
      <c r="H433" s="4"/>
      <c r="I433" s="4"/>
    </row>
    <row r="434" spans="1:9" x14ac:dyDescent="0.25">
      <c r="A434" s="4"/>
      <c r="B434" s="4" t="str">
        <f ca="1">IFERROR(_xludf.XLOOKUP(A434,Pracownicy!$A$2:$A$501,Pracownicy!$B$2:$B$501),"")</f>
        <v/>
      </c>
      <c r="C434" s="4"/>
      <c r="D434" s="4" t="str">
        <f ca="1">IFERROR(_xludf.XLOOKUP(A434,Milestones!$A$2:$A$501,Milestones!$C$2:$C$501),"")</f>
        <v/>
      </c>
      <c r="E434" s="4"/>
      <c r="F434" s="4"/>
      <c r="G434" s="4" t="str">
        <f ca="1">IFERROR(_xludf.XLOOKUP(F434,Ustawienia!$H$4:$H$8,Ustawienia!$I$4:$I$8),"")</f>
        <v/>
      </c>
      <c r="H434" s="4"/>
      <c r="I434" s="4"/>
    </row>
    <row r="435" spans="1:9" x14ac:dyDescent="0.25">
      <c r="A435" s="4"/>
      <c r="B435" s="4" t="str">
        <f ca="1">IFERROR(_xludf.XLOOKUP(A435,Pracownicy!$A$2:$A$501,Pracownicy!$B$2:$B$501),"")</f>
        <v/>
      </c>
      <c r="C435" s="4"/>
      <c r="D435" s="4" t="str">
        <f ca="1">IFERROR(_xludf.XLOOKUP(A435,Milestones!$A$2:$A$501,Milestones!$C$2:$C$501),"")</f>
        <v/>
      </c>
      <c r="E435" s="4"/>
      <c r="F435" s="4"/>
      <c r="G435" s="4" t="str">
        <f ca="1">IFERROR(_xludf.XLOOKUP(F435,Ustawienia!$H$4:$H$8,Ustawienia!$I$4:$I$8),"")</f>
        <v/>
      </c>
      <c r="H435" s="4"/>
      <c r="I435" s="4"/>
    </row>
    <row r="436" spans="1:9" x14ac:dyDescent="0.25">
      <c r="A436" s="4"/>
      <c r="B436" s="4" t="str">
        <f ca="1">IFERROR(_xludf.XLOOKUP(A436,Pracownicy!$A$2:$A$501,Pracownicy!$B$2:$B$501),"")</f>
        <v/>
      </c>
      <c r="C436" s="4"/>
      <c r="D436" s="4" t="str">
        <f ca="1">IFERROR(_xludf.XLOOKUP(A436,Milestones!$A$2:$A$501,Milestones!$C$2:$C$501),"")</f>
        <v/>
      </c>
      <c r="E436" s="4"/>
      <c r="F436" s="4"/>
      <c r="G436" s="4" t="str">
        <f ca="1">IFERROR(_xludf.XLOOKUP(F436,Ustawienia!$H$4:$H$8,Ustawienia!$I$4:$I$8),"")</f>
        <v/>
      </c>
      <c r="H436" s="4"/>
      <c r="I436" s="4"/>
    </row>
    <row r="437" spans="1:9" x14ac:dyDescent="0.25">
      <c r="A437" s="4"/>
      <c r="B437" s="4" t="str">
        <f ca="1">IFERROR(_xludf.XLOOKUP(A437,Pracownicy!$A$2:$A$501,Pracownicy!$B$2:$B$501),"")</f>
        <v/>
      </c>
      <c r="C437" s="4"/>
      <c r="D437" s="4" t="str">
        <f ca="1">IFERROR(_xludf.XLOOKUP(A437,Milestones!$A$2:$A$501,Milestones!$C$2:$C$501),"")</f>
        <v/>
      </c>
      <c r="E437" s="4"/>
      <c r="F437" s="4"/>
      <c r="G437" s="4" t="str">
        <f ca="1">IFERROR(_xludf.XLOOKUP(F437,Ustawienia!$H$4:$H$8,Ustawienia!$I$4:$I$8),"")</f>
        <v/>
      </c>
      <c r="H437" s="4"/>
      <c r="I437" s="4"/>
    </row>
    <row r="438" spans="1:9" x14ac:dyDescent="0.25">
      <c r="A438" s="4"/>
      <c r="B438" s="4" t="str">
        <f ca="1">IFERROR(_xludf.XLOOKUP(A438,Pracownicy!$A$2:$A$501,Pracownicy!$B$2:$B$501),"")</f>
        <v/>
      </c>
      <c r="C438" s="4"/>
      <c r="D438" s="4" t="str">
        <f ca="1">IFERROR(_xludf.XLOOKUP(A438,Milestones!$A$2:$A$501,Milestones!$C$2:$C$501),"")</f>
        <v/>
      </c>
      <c r="E438" s="4"/>
      <c r="F438" s="4"/>
      <c r="G438" s="4" t="str">
        <f ca="1">IFERROR(_xludf.XLOOKUP(F438,Ustawienia!$H$4:$H$8,Ustawienia!$I$4:$I$8),"")</f>
        <v/>
      </c>
      <c r="H438" s="4"/>
      <c r="I438" s="4"/>
    </row>
    <row r="439" spans="1:9" x14ac:dyDescent="0.25">
      <c r="A439" s="4"/>
      <c r="B439" s="4" t="str">
        <f ca="1">IFERROR(_xludf.XLOOKUP(A439,Pracownicy!$A$2:$A$501,Pracownicy!$B$2:$B$501),"")</f>
        <v/>
      </c>
      <c r="C439" s="4"/>
      <c r="D439" s="4" t="str">
        <f ca="1">IFERROR(_xludf.XLOOKUP(A439,Milestones!$A$2:$A$501,Milestones!$C$2:$C$501),"")</f>
        <v/>
      </c>
      <c r="E439" s="4"/>
      <c r="F439" s="4"/>
      <c r="G439" s="4" t="str">
        <f ca="1">IFERROR(_xludf.XLOOKUP(F439,Ustawienia!$H$4:$H$8,Ustawienia!$I$4:$I$8),"")</f>
        <v/>
      </c>
      <c r="H439" s="4"/>
      <c r="I439" s="4"/>
    </row>
    <row r="440" spans="1:9" x14ac:dyDescent="0.25">
      <c r="A440" s="4"/>
      <c r="B440" s="4" t="str">
        <f ca="1">IFERROR(_xludf.XLOOKUP(A440,Pracownicy!$A$2:$A$501,Pracownicy!$B$2:$B$501),"")</f>
        <v/>
      </c>
      <c r="C440" s="4"/>
      <c r="D440" s="4" t="str">
        <f ca="1">IFERROR(_xludf.XLOOKUP(A440,Milestones!$A$2:$A$501,Milestones!$C$2:$C$501),"")</f>
        <v/>
      </c>
      <c r="E440" s="4"/>
      <c r="F440" s="4"/>
      <c r="G440" s="4" t="str">
        <f ca="1">IFERROR(_xludf.XLOOKUP(F440,Ustawienia!$H$4:$H$8,Ustawienia!$I$4:$I$8),"")</f>
        <v/>
      </c>
      <c r="H440" s="4"/>
      <c r="I440" s="4"/>
    </row>
    <row r="441" spans="1:9" x14ac:dyDescent="0.25">
      <c r="A441" s="4"/>
      <c r="B441" s="4" t="str">
        <f ca="1">IFERROR(_xludf.XLOOKUP(A441,Pracownicy!$A$2:$A$501,Pracownicy!$B$2:$B$501),"")</f>
        <v/>
      </c>
      <c r="C441" s="4"/>
      <c r="D441" s="4" t="str">
        <f ca="1">IFERROR(_xludf.XLOOKUP(A441,Milestones!$A$2:$A$501,Milestones!$C$2:$C$501),"")</f>
        <v/>
      </c>
      <c r="E441" s="4"/>
      <c r="F441" s="4"/>
      <c r="G441" s="4" t="str">
        <f ca="1">IFERROR(_xludf.XLOOKUP(F441,Ustawienia!$H$4:$H$8,Ustawienia!$I$4:$I$8),"")</f>
        <v/>
      </c>
      <c r="H441" s="4"/>
      <c r="I441" s="4"/>
    </row>
    <row r="442" spans="1:9" x14ac:dyDescent="0.25">
      <c r="A442" s="4"/>
      <c r="B442" s="4" t="str">
        <f ca="1">IFERROR(_xludf.XLOOKUP(A442,Pracownicy!$A$2:$A$501,Pracownicy!$B$2:$B$501),"")</f>
        <v/>
      </c>
      <c r="C442" s="4"/>
      <c r="D442" s="4" t="str">
        <f ca="1">IFERROR(_xludf.XLOOKUP(A442,Milestones!$A$2:$A$501,Milestones!$C$2:$C$501),"")</f>
        <v/>
      </c>
      <c r="E442" s="4"/>
      <c r="F442" s="4"/>
      <c r="G442" s="4" t="str">
        <f ca="1">IFERROR(_xludf.XLOOKUP(F442,Ustawienia!$H$4:$H$8,Ustawienia!$I$4:$I$8),"")</f>
        <v/>
      </c>
      <c r="H442" s="4"/>
      <c r="I442" s="4"/>
    </row>
    <row r="443" spans="1:9" x14ac:dyDescent="0.25">
      <c r="A443" s="4"/>
      <c r="B443" s="4" t="str">
        <f ca="1">IFERROR(_xludf.XLOOKUP(A443,Pracownicy!$A$2:$A$501,Pracownicy!$B$2:$B$501),"")</f>
        <v/>
      </c>
      <c r="C443" s="4"/>
      <c r="D443" s="4" t="str">
        <f ca="1">IFERROR(_xludf.XLOOKUP(A443,Milestones!$A$2:$A$501,Milestones!$C$2:$C$501),"")</f>
        <v/>
      </c>
      <c r="E443" s="4"/>
      <c r="F443" s="4"/>
      <c r="G443" s="4" t="str">
        <f ca="1">IFERROR(_xludf.XLOOKUP(F443,Ustawienia!$H$4:$H$8,Ustawienia!$I$4:$I$8),"")</f>
        <v/>
      </c>
      <c r="H443" s="4"/>
      <c r="I443" s="4"/>
    </row>
    <row r="444" spans="1:9" x14ac:dyDescent="0.25">
      <c r="A444" s="4"/>
      <c r="B444" s="4" t="str">
        <f ca="1">IFERROR(_xludf.XLOOKUP(A444,Pracownicy!$A$2:$A$501,Pracownicy!$B$2:$B$501),"")</f>
        <v/>
      </c>
      <c r="C444" s="4"/>
      <c r="D444" s="4" t="str">
        <f ca="1">IFERROR(_xludf.XLOOKUP(A444,Milestones!$A$2:$A$501,Milestones!$C$2:$C$501),"")</f>
        <v/>
      </c>
      <c r="E444" s="4"/>
      <c r="F444" s="4"/>
      <c r="G444" s="4" t="str">
        <f ca="1">IFERROR(_xludf.XLOOKUP(F444,Ustawienia!$H$4:$H$8,Ustawienia!$I$4:$I$8),"")</f>
        <v/>
      </c>
      <c r="H444" s="4"/>
      <c r="I444" s="4"/>
    </row>
    <row r="445" spans="1:9" x14ac:dyDescent="0.25">
      <c r="A445" s="4"/>
      <c r="B445" s="4" t="str">
        <f ca="1">IFERROR(_xludf.XLOOKUP(A445,Pracownicy!$A$2:$A$501,Pracownicy!$B$2:$B$501),"")</f>
        <v/>
      </c>
      <c r="C445" s="4"/>
      <c r="D445" s="4" t="str">
        <f ca="1">IFERROR(_xludf.XLOOKUP(A445,Milestones!$A$2:$A$501,Milestones!$C$2:$C$501),"")</f>
        <v/>
      </c>
      <c r="E445" s="4"/>
      <c r="F445" s="4"/>
      <c r="G445" s="4" t="str">
        <f ca="1">IFERROR(_xludf.XLOOKUP(F445,Ustawienia!$H$4:$H$8,Ustawienia!$I$4:$I$8),"")</f>
        <v/>
      </c>
      <c r="H445" s="4"/>
      <c r="I445" s="4"/>
    </row>
    <row r="446" spans="1:9" x14ac:dyDescent="0.25">
      <c r="A446" s="4"/>
      <c r="B446" s="4" t="str">
        <f ca="1">IFERROR(_xludf.XLOOKUP(A446,Pracownicy!$A$2:$A$501,Pracownicy!$B$2:$B$501),"")</f>
        <v/>
      </c>
      <c r="C446" s="4"/>
      <c r="D446" s="4" t="str">
        <f ca="1">IFERROR(_xludf.XLOOKUP(A446,Milestones!$A$2:$A$501,Milestones!$C$2:$C$501),"")</f>
        <v/>
      </c>
      <c r="E446" s="4"/>
      <c r="F446" s="4"/>
      <c r="G446" s="4" t="str">
        <f ca="1">IFERROR(_xludf.XLOOKUP(F446,Ustawienia!$H$4:$H$8,Ustawienia!$I$4:$I$8),"")</f>
        <v/>
      </c>
      <c r="H446" s="4"/>
      <c r="I446" s="4"/>
    </row>
    <row r="447" spans="1:9" x14ac:dyDescent="0.25">
      <c r="A447" s="4"/>
      <c r="B447" s="4" t="str">
        <f ca="1">IFERROR(_xludf.XLOOKUP(A447,Pracownicy!$A$2:$A$501,Pracownicy!$B$2:$B$501),"")</f>
        <v/>
      </c>
      <c r="C447" s="4"/>
      <c r="D447" s="4" t="str">
        <f ca="1">IFERROR(_xludf.XLOOKUP(A447,Milestones!$A$2:$A$501,Milestones!$C$2:$C$501),"")</f>
        <v/>
      </c>
      <c r="E447" s="4"/>
      <c r="F447" s="4"/>
      <c r="G447" s="4" t="str">
        <f ca="1">IFERROR(_xludf.XLOOKUP(F447,Ustawienia!$H$4:$H$8,Ustawienia!$I$4:$I$8),"")</f>
        <v/>
      </c>
      <c r="H447" s="4"/>
      <c r="I447" s="4"/>
    </row>
    <row r="448" spans="1:9" x14ac:dyDescent="0.25">
      <c r="A448" s="4"/>
      <c r="B448" s="4" t="str">
        <f ca="1">IFERROR(_xludf.XLOOKUP(A448,Pracownicy!$A$2:$A$501,Pracownicy!$B$2:$B$501),"")</f>
        <v/>
      </c>
      <c r="C448" s="4"/>
      <c r="D448" s="4" t="str">
        <f ca="1">IFERROR(_xludf.XLOOKUP(A448,Milestones!$A$2:$A$501,Milestones!$C$2:$C$501),"")</f>
        <v/>
      </c>
      <c r="E448" s="4"/>
      <c r="F448" s="4"/>
      <c r="G448" s="4" t="str">
        <f ca="1">IFERROR(_xludf.XLOOKUP(F448,Ustawienia!$H$4:$H$8,Ustawienia!$I$4:$I$8),"")</f>
        <v/>
      </c>
      <c r="H448" s="4"/>
      <c r="I448" s="4"/>
    </row>
    <row r="449" spans="1:9" x14ac:dyDescent="0.25">
      <c r="A449" s="4"/>
      <c r="B449" s="4" t="str">
        <f ca="1">IFERROR(_xludf.XLOOKUP(A449,Pracownicy!$A$2:$A$501,Pracownicy!$B$2:$B$501),"")</f>
        <v/>
      </c>
      <c r="C449" s="4"/>
      <c r="D449" s="4" t="str">
        <f ca="1">IFERROR(_xludf.XLOOKUP(A449,Milestones!$A$2:$A$501,Milestones!$C$2:$C$501),"")</f>
        <v/>
      </c>
      <c r="E449" s="4"/>
      <c r="F449" s="4"/>
      <c r="G449" s="4" t="str">
        <f ca="1">IFERROR(_xludf.XLOOKUP(F449,Ustawienia!$H$4:$H$8,Ustawienia!$I$4:$I$8),"")</f>
        <v/>
      </c>
      <c r="H449" s="4"/>
      <c r="I449" s="4"/>
    </row>
    <row r="450" spans="1:9" x14ac:dyDescent="0.25">
      <c r="A450" s="4"/>
      <c r="B450" s="4" t="str">
        <f ca="1">IFERROR(_xludf.XLOOKUP(A450,Pracownicy!$A$2:$A$501,Pracownicy!$B$2:$B$501),"")</f>
        <v/>
      </c>
      <c r="C450" s="4"/>
      <c r="D450" s="4" t="str">
        <f ca="1">IFERROR(_xludf.XLOOKUP(A450,Milestones!$A$2:$A$501,Milestones!$C$2:$C$501),"")</f>
        <v/>
      </c>
      <c r="E450" s="4"/>
      <c r="F450" s="4"/>
      <c r="G450" s="4" t="str">
        <f ca="1">IFERROR(_xludf.XLOOKUP(F450,Ustawienia!$H$4:$H$8,Ustawienia!$I$4:$I$8),"")</f>
        <v/>
      </c>
      <c r="H450" s="4"/>
      <c r="I450" s="4"/>
    </row>
    <row r="451" spans="1:9" x14ac:dyDescent="0.25">
      <c r="A451" s="4"/>
      <c r="B451" s="4" t="str">
        <f ca="1">IFERROR(_xludf.XLOOKUP(A451,Pracownicy!$A$2:$A$501,Pracownicy!$B$2:$B$501),"")</f>
        <v/>
      </c>
      <c r="C451" s="4"/>
      <c r="D451" s="4" t="str">
        <f ca="1">IFERROR(_xludf.XLOOKUP(A451,Milestones!$A$2:$A$501,Milestones!$C$2:$C$501),"")</f>
        <v/>
      </c>
      <c r="E451" s="4"/>
      <c r="F451" s="4"/>
      <c r="G451" s="4" t="str">
        <f ca="1">IFERROR(_xludf.XLOOKUP(F451,Ustawienia!$H$4:$H$8,Ustawienia!$I$4:$I$8),"")</f>
        <v/>
      </c>
      <c r="H451" s="4"/>
      <c r="I451" s="4"/>
    </row>
    <row r="452" spans="1:9" x14ac:dyDescent="0.25">
      <c r="A452" s="4"/>
      <c r="B452" s="4" t="str">
        <f ca="1">IFERROR(_xludf.XLOOKUP(A452,Pracownicy!$A$2:$A$501,Pracownicy!$B$2:$B$501),"")</f>
        <v/>
      </c>
      <c r="C452" s="4"/>
      <c r="D452" s="4" t="str">
        <f ca="1">IFERROR(_xludf.XLOOKUP(A452,Milestones!$A$2:$A$501,Milestones!$C$2:$C$501),"")</f>
        <v/>
      </c>
      <c r="E452" s="4"/>
      <c r="F452" s="4"/>
      <c r="G452" s="4" t="str">
        <f ca="1">IFERROR(_xludf.XLOOKUP(F452,Ustawienia!$H$4:$H$8,Ustawienia!$I$4:$I$8),"")</f>
        <v/>
      </c>
      <c r="H452" s="4"/>
      <c r="I452" s="4"/>
    </row>
    <row r="453" spans="1:9" x14ac:dyDescent="0.25">
      <c r="A453" s="4"/>
      <c r="B453" s="4" t="str">
        <f ca="1">IFERROR(_xludf.XLOOKUP(A453,Pracownicy!$A$2:$A$501,Pracownicy!$B$2:$B$501),"")</f>
        <v/>
      </c>
      <c r="C453" s="4"/>
      <c r="D453" s="4" t="str">
        <f ca="1">IFERROR(_xludf.XLOOKUP(A453,Milestones!$A$2:$A$501,Milestones!$C$2:$C$501),"")</f>
        <v/>
      </c>
      <c r="E453" s="4"/>
      <c r="F453" s="4"/>
      <c r="G453" s="4" t="str">
        <f ca="1">IFERROR(_xludf.XLOOKUP(F453,Ustawienia!$H$4:$H$8,Ustawienia!$I$4:$I$8),"")</f>
        <v/>
      </c>
      <c r="H453" s="4"/>
      <c r="I453" s="4"/>
    </row>
    <row r="454" spans="1:9" x14ac:dyDescent="0.25">
      <c r="A454" s="4"/>
      <c r="B454" s="4" t="str">
        <f ca="1">IFERROR(_xludf.XLOOKUP(A454,Pracownicy!$A$2:$A$501,Pracownicy!$B$2:$B$501),"")</f>
        <v/>
      </c>
      <c r="C454" s="4"/>
      <c r="D454" s="4" t="str">
        <f ca="1">IFERROR(_xludf.XLOOKUP(A454,Milestones!$A$2:$A$501,Milestones!$C$2:$C$501),"")</f>
        <v/>
      </c>
      <c r="E454" s="4"/>
      <c r="F454" s="4"/>
      <c r="G454" s="4" t="str">
        <f ca="1">IFERROR(_xludf.XLOOKUP(F454,Ustawienia!$H$4:$H$8,Ustawienia!$I$4:$I$8),"")</f>
        <v/>
      </c>
      <c r="H454" s="4"/>
      <c r="I454" s="4"/>
    </row>
    <row r="455" spans="1:9" x14ac:dyDescent="0.25">
      <c r="A455" s="4"/>
      <c r="B455" s="4" t="str">
        <f ca="1">IFERROR(_xludf.XLOOKUP(A455,Pracownicy!$A$2:$A$501,Pracownicy!$B$2:$B$501),"")</f>
        <v/>
      </c>
      <c r="C455" s="4"/>
      <c r="D455" s="4" t="str">
        <f ca="1">IFERROR(_xludf.XLOOKUP(A455,Milestones!$A$2:$A$501,Milestones!$C$2:$C$501),"")</f>
        <v/>
      </c>
      <c r="E455" s="4"/>
      <c r="F455" s="4"/>
      <c r="G455" s="4" t="str">
        <f ca="1">IFERROR(_xludf.XLOOKUP(F455,Ustawienia!$H$4:$H$8,Ustawienia!$I$4:$I$8),"")</f>
        <v/>
      </c>
      <c r="H455" s="4"/>
      <c r="I455" s="4"/>
    </row>
    <row r="456" spans="1:9" x14ac:dyDescent="0.25">
      <c r="A456" s="4"/>
      <c r="B456" s="4" t="str">
        <f ca="1">IFERROR(_xludf.XLOOKUP(A456,Pracownicy!$A$2:$A$501,Pracownicy!$B$2:$B$501),"")</f>
        <v/>
      </c>
      <c r="C456" s="4"/>
      <c r="D456" s="4" t="str">
        <f ca="1">IFERROR(_xludf.XLOOKUP(A456,Milestones!$A$2:$A$501,Milestones!$C$2:$C$501),"")</f>
        <v/>
      </c>
      <c r="E456" s="4"/>
      <c r="F456" s="4"/>
      <c r="G456" s="4" t="str">
        <f ca="1">IFERROR(_xludf.XLOOKUP(F456,Ustawienia!$H$4:$H$8,Ustawienia!$I$4:$I$8),"")</f>
        <v/>
      </c>
      <c r="H456" s="4"/>
      <c r="I456" s="4"/>
    </row>
    <row r="457" spans="1:9" x14ac:dyDescent="0.25">
      <c r="A457" s="4"/>
      <c r="B457" s="4" t="str">
        <f ca="1">IFERROR(_xludf.XLOOKUP(A457,Pracownicy!$A$2:$A$501,Pracownicy!$B$2:$B$501),"")</f>
        <v/>
      </c>
      <c r="C457" s="4"/>
      <c r="D457" s="4" t="str">
        <f ca="1">IFERROR(_xludf.XLOOKUP(A457,Milestones!$A$2:$A$501,Milestones!$C$2:$C$501),"")</f>
        <v/>
      </c>
      <c r="E457" s="4"/>
      <c r="F457" s="4"/>
      <c r="G457" s="4" t="str">
        <f ca="1">IFERROR(_xludf.XLOOKUP(F457,Ustawienia!$H$4:$H$8,Ustawienia!$I$4:$I$8),"")</f>
        <v/>
      </c>
      <c r="H457" s="4"/>
      <c r="I457" s="4"/>
    </row>
    <row r="458" spans="1:9" x14ac:dyDescent="0.25">
      <c r="A458" s="4"/>
      <c r="B458" s="4" t="str">
        <f ca="1">IFERROR(_xludf.XLOOKUP(A458,Pracownicy!$A$2:$A$501,Pracownicy!$B$2:$B$501),"")</f>
        <v/>
      </c>
      <c r="C458" s="4"/>
      <c r="D458" s="4" t="str">
        <f ca="1">IFERROR(_xludf.XLOOKUP(A458,Milestones!$A$2:$A$501,Milestones!$C$2:$C$501),"")</f>
        <v/>
      </c>
      <c r="E458" s="4"/>
      <c r="F458" s="4"/>
      <c r="G458" s="4" t="str">
        <f ca="1">IFERROR(_xludf.XLOOKUP(F458,Ustawienia!$H$4:$H$8,Ustawienia!$I$4:$I$8),"")</f>
        <v/>
      </c>
      <c r="H458" s="4"/>
      <c r="I458" s="4"/>
    </row>
    <row r="459" spans="1:9" x14ac:dyDescent="0.25">
      <c r="A459" s="4"/>
      <c r="B459" s="4" t="str">
        <f ca="1">IFERROR(_xludf.XLOOKUP(A459,Pracownicy!$A$2:$A$501,Pracownicy!$B$2:$B$501),"")</f>
        <v/>
      </c>
      <c r="C459" s="4"/>
      <c r="D459" s="4" t="str">
        <f ca="1">IFERROR(_xludf.XLOOKUP(A459,Milestones!$A$2:$A$501,Milestones!$C$2:$C$501),"")</f>
        <v/>
      </c>
      <c r="E459" s="4"/>
      <c r="F459" s="4"/>
      <c r="G459" s="4" t="str">
        <f ca="1">IFERROR(_xludf.XLOOKUP(F459,Ustawienia!$H$4:$H$8,Ustawienia!$I$4:$I$8),"")</f>
        <v/>
      </c>
      <c r="H459" s="4"/>
      <c r="I459" s="4"/>
    </row>
    <row r="460" spans="1:9" x14ac:dyDescent="0.25">
      <c r="A460" s="4"/>
      <c r="B460" s="4" t="str">
        <f ca="1">IFERROR(_xludf.XLOOKUP(A460,Pracownicy!$A$2:$A$501,Pracownicy!$B$2:$B$501),"")</f>
        <v/>
      </c>
      <c r="C460" s="4"/>
      <c r="D460" s="4" t="str">
        <f ca="1">IFERROR(_xludf.XLOOKUP(A460,Milestones!$A$2:$A$501,Milestones!$C$2:$C$501),"")</f>
        <v/>
      </c>
      <c r="E460" s="4"/>
      <c r="F460" s="4"/>
      <c r="G460" s="4" t="str">
        <f ca="1">IFERROR(_xludf.XLOOKUP(F460,Ustawienia!$H$4:$H$8,Ustawienia!$I$4:$I$8),"")</f>
        <v/>
      </c>
      <c r="H460" s="4"/>
      <c r="I460" s="4"/>
    </row>
    <row r="461" spans="1:9" x14ac:dyDescent="0.25">
      <c r="A461" s="4"/>
      <c r="B461" s="4" t="str">
        <f ca="1">IFERROR(_xludf.XLOOKUP(A461,Pracownicy!$A$2:$A$501,Pracownicy!$B$2:$B$501),"")</f>
        <v/>
      </c>
      <c r="C461" s="4"/>
      <c r="D461" s="4" t="str">
        <f ca="1">IFERROR(_xludf.XLOOKUP(A461,Milestones!$A$2:$A$501,Milestones!$C$2:$C$501),"")</f>
        <v/>
      </c>
      <c r="E461" s="4"/>
      <c r="F461" s="4"/>
      <c r="G461" s="4" t="str">
        <f ca="1">IFERROR(_xludf.XLOOKUP(F461,Ustawienia!$H$4:$H$8,Ustawienia!$I$4:$I$8),"")</f>
        <v/>
      </c>
      <c r="H461" s="4"/>
      <c r="I461" s="4"/>
    </row>
    <row r="462" spans="1:9" x14ac:dyDescent="0.25">
      <c r="A462" s="4"/>
      <c r="B462" s="4" t="str">
        <f ca="1">IFERROR(_xludf.XLOOKUP(A462,Pracownicy!$A$2:$A$501,Pracownicy!$B$2:$B$501),"")</f>
        <v/>
      </c>
      <c r="C462" s="4"/>
      <c r="D462" s="4" t="str">
        <f ca="1">IFERROR(_xludf.XLOOKUP(A462,Milestones!$A$2:$A$501,Milestones!$C$2:$C$501),"")</f>
        <v/>
      </c>
      <c r="E462" s="4"/>
      <c r="F462" s="4"/>
      <c r="G462" s="4" t="str">
        <f ca="1">IFERROR(_xludf.XLOOKUP(F462,Ustawienia!$H$4:$H$8,Ustawienia!$I$4:$I$8),"")</f>
        <v/>
      </c>
      <c r="H462" s="4"/>
      <c r="I462" s="4"/>
    </row>
    <row r="463" spans="1:9" x14ac:dyDescent="0.25">
      <c r="A463" s="4"/>
      <c r="B463" s="4" t="str">
        <f ca="1">IFERROR(_xludf.XLOOKUP(A463,Pracownicy!$A$2:$A$501,Pracownicy!$B$2:$B$501),"")</f>
        <v/>
      </c>
      <c r="C463" s="4"/>
      <c r="D463" s="4" t="str">
        <f ca="1">IFERROR(_xludf.XLOOKUP(A463,Milestones!$A$2:$A$501,Milestones!$C$2:$C$501),"")</f>
        <v/>
      </c>
      <c r="E463" s="4"/>
      <c r="F463" s="4"/>
      <c r="G463" s="4" t="str">
        <f ca="1">IFERROR(_xludf.XLOOKUP(F463,Ustawienia!$H$4:$H$8,Ustawienia!$I$4:$I$8),"")</f>
        <v/>
      </c>
      <c r="H463" s="4"/>
      <c r="I463" s="4"/>
    </row>
    <row r="464" spans="1:9" x14ac:dyDescent="0.25">
      <c r="A464" s="4"/>
      <c r="B464" s="4" t="str">
        <f ca="1">IFERROR(_xludf.XLOOKUP(A464,Pracownicy!$A$2:$A$501,Pracownicy!$B$2:$B$501),"")</f>
        <v/>
      </c>
      <c r="C464" s="4"/>
      <c r="D464" s="4" t="str">
        <f ca="1">IFERROR(_xludf.XLOOKUP(A464,Milestones!$A$2:$A$501,Milestones!$C$2:$C$501),"")</f>
        <v/>
      </c>
      <c r="E464" s="4"/>
      <c r="F464" s="4"/>
      <c r="G464" s="4" t="str">
        <f ca="1">IFERROR(_xludf.XLOOKUP(F464,Ustawienia!$H$4:$H$8,Ustawienia!$I$4:$I$8),"")</f>
        <v/>
      </c>
      <c r="H464" s="4"/>
      <c r="I464" s="4"/>
    </row>
    <row r="465" spans="1:9" x14ac:dyDescent="0.25">
      <c r="A465" s="4"/>
      <c r="B465" s="4" t="str">
        <f ca="1">IFERROR(_xludf.XLOOKUP(A465,Pracownicy!$A$2:$A$501,Pracownicy!$B$2:$B$501),"")</f>
        <v/>
      </c>
      <c r="C465" s="4"/>
      <c r="D465" s="4" t="str">
        <f ca="1">IFERROR(_xludf.XLOOKUP(A465,Milestones!$A$2:$A$501,Milestones!$C$2:$C$501),"")</f>
        <v/>
      </c>
      <c r="E465" s="4"/>
      <c r="F465" s="4"/>
      <c r="G465" s="4" t="str">
        <f ca="1">IFERROR(_xludf.XLOOKUP(F465,Ustawienia!$H$4:$H$8,Ustawienia!$I$4:$I$8),"")</f>
        <v/>
      </c>
      <c r="H465" s="4"/>
      <c r="I465" s="4"/>
    </row>
    <row r="466" spans="1:9" x14ac:dyDescent="0.25">
      <c r="A466" s="4"/>
      <c r="B466" s="4" t="str">
        <f ca="1">IFERROR(_xludf.XLOOKUP(A466,Pracownicy!$A$2:$A$501,Pracownicy!$B$2:$B$501),"")</f>
        <v/>
      </c>
      <c r="C466" s="4"/>
      <c r="D466" s="4" t="str">
        <f ca="1">IFERROR(_xludf.XLOOKUP(A466,Milestones!$A$2:$A$501,Milestones!$C$2:$C$501),"")</f>
        <v/>
      </c>
      <c r="E466" s="4"/>
      <c r="F466" s="4"/>
      <c r="G466" s="4" t="str">
        <f ca="1">IFERROR(_xludf.XLOOKUP(F466,Ustawienia!$H$4:$H$8,Ustawienia!$I$4:$I$8),"")</f>
        <v/>
      </c>
      <c r="H466" s="4"/>
      <c r="I466" s="4"/>
    </row>
    <row r="467" spans="1:9" x14ac:dyDescent="0.25">
      <c r="A467" s="4"/>
      <c r="B467" s="4" t="str">
        <f ca="1">IFERROR(_xludf.XLOOKUP(A467,Pracownicy!$A$2:$A$501,Pracownicy!$B$2:$B$501),"")</f>
        <v/>
      </c>
      <c r="C467" s="4"/>
      <c r="D467" s="4" t="str">
        <f ca="1">IFERROR(_xludf.XLOOKUP(A467,Milestones!$A$2:$A$501,Milestones!$C$2:$C$501),"")</f>
        <v/>
      </c>
      <c r="E467" s="4"/>
      <c r="F467" s="4"/>
      <c r="G467" s="4" t="str">
        <f ca="1">IFERROR(_xludf.XLOOKUP(F467,Ustawienia!$H$4:$H$8,Ustawienia!$I$4:$I$8),"")</f>
        <v/>
      </c>
      <c r="H467" s="4"/>
      <c r="I467" s="4"/>
    </row>
    <row r="468" spans="1:9" x14ac:dyDescent="0.25">
      <c r="A468" s="4"/>
      <c r="B468" s="4" t="str">
        <f ca="1">IFERROR(_xludf.XLOOKUP(A468,Pracownicy!$A$2:$A$501,Pracownicy!$B$2:$B$501),"")</f>
        <v/>
      </c>
      <c r="C468" s="4"/>
      <c r="D468" s="4" t="str">
        <f ca="1">IFERROR(_xludf.XLOOKUP(A468,Milestones!$A$2:$A$501,Milestones!$C$2:$C$501),"")</f>
        <v/>
      </c>
      <c r="E468" s="4"/>
      <c r="F468" s="4"/>
      <c r="G468" s="4" t="str">
        <f ca="1">IFERROR(_xludf.XLOOKUP(F468,Ustawienia!$H$4:$H$8,Ustawienia!$I$4:$I$8),"")</f>
        <v/>
      </c>
      <c r="H468" s="4"/>
      <c r="I468" s="4"/>
    </row>
    <row r="469" spans="1:9" x14ac:dyDescent="0.25">
      <c r="A469" s="4"/>
      <c r="B469" s="4" t="str">
        <f ca="1">IFERROR(_xludf.XLOOKUP(A469,Pracownicy!$A$2:$A$501,Pracownicy!$B$2:$B$501),"")</f>
        <v/>
      </c>
      <c r="C469" s="4"/>
      <c r="D469" s="4" t="str">
        <f ca="1">IFERROR(_xludf.XLOOKUP(A469,Milestones!$A$2:$A$501,Milestones!$C$2:$C$501),"")</f>
        <v/>
      </c>
      <c r="E469" s="4"/>
      <c r="F469" s="4"/>
      <c r="G469" s="4" t="str">
        <f ca="1">IFERROR(_xludf.XLOOKUP(F469,Ustawienia!$H$4:$H$8,Ustawienia!$I$4:$I$8),"")</f>
        <v/>
      </c>
      <c r="H469" s="4"/>
      <c r="I469" s="4"/>
    </row>
    <row r="470" spans="1:9" x14ac:dyDescent="0.25">
      <c r="A470" s="4"/>
      <c r="B470" s="4" t="str">
        <f ca="1">IFERROR(_xludf.XLOOKUP(A470,Pracownicy!$A$2:$A$501,Pracownicy!$B$2:$B$501),"")</f>
        <v/>
      </c>
      <c r="C470" s="4"/>
      <c r="D470" s="4" t="str">
        <f ca="1">IFERROR(_xludf.XLOOKUP(A470,Milestones!$A$2:$A$501,Milestones!$C$2:$C$501),"")</f>
        <v/>
      </c>
      <c r="E470" s="4"/>
      <c r="F470" s="4"/>
      <c r="G470" s="4" t="str">
        <f ca="1">IFERROR(_xludf.XLOOKUP(F470,Ustawienia!$H$4:$H$8,Ustawienia!$I$4:$I$8),"")</f>
        <v/>
      </c>
      <c r="H470" s="4"/>
      <c r="I470" s="4"/>
    </row>
    <row r="471" spans="1:9" x14ac:dyDescent="0.25">
      <c r="A471" s="4"/>
      <c r="B471" s="4" t="str">
        <f ca="1">IFERROR(_xludf.XLOOKUP(A471,Pracownicy!$A$2:$A$501,Pracownicy!$B$2:$B$501),"")</f>
        <v/>
      </c>
      <c r="C471" s="4"/>
      <c r="D471" s="4" t="str">
        <f ca="1">IFERROR(_xludf.XLOOKUP(A471,Milestones!$A$2:$A$501,Milestones!$C$2:$C$501),"")</f>
        <v/>
      </c>
      <c r="E471" s="4"/>
      <c r="F471" s="4"/>
      <c r="G471" s="4" t="str">
        <f ca="1">IFERROR(_xludf.XLOOKUP(F471,Ustawienia!$H$4:$H$8,Ustawienia!$I$4:$I$8),"")</f>
        <v/>
      </c>
      <c r="H471" s="4"/>
      <c r="I471" s="4"/>
    </row>
    <row r="472" spans="1:9" x14ac:dyDescent="0.25">
      <c r="A472" s="4"/>
      <c r="B472" s="4" t="str">
        <f ca="1">IFERROR(_xludf.XLOOKUP(A472,Pracownicy!$A$2:$A$501,Pracownicy!$B$2:$B$501),"")</f>
        <v/>
      </c>
      <c r="C472" s="4"/>
      <c r="D472" s="4" t="str">
        <f ca="1">IFERROR(_xludf.XLOOKUP(A472,Milestones!$A$2:$A$501,Milestones!$C$2:$C$501),"")</f>
        <v/>
      </c>
      <c r="E472" s="4"/>
      <c r="F472" s="4"/>
      <c r="G472" s="4" t="str">
        <f ca="1">IFERROR(_xludf.XLOOKUP(F472,Ustawienia!$H$4:$H$8,Ustawienia!$I$4:$I$8),"")</f>
        <v/>
      </c>
      <c r="H472" s="4"/>
      <c r="I472" s="4"/>
    </row>
    <row r="473" spans="1:9" x14ac:dyDescent="0.25">
      <c r="A473" s="4"/>
      <c r="B473" s="4" t="str">
        <f ca="1">IFERROR(_xludf.XLOOKUP(A473,Pracownicy!$A$2:$A$501,Pracownicy!$B$2:$B$501),"")</f>
        <v/>
      </c>
      <c r="C473" s="4"/>
      <c r="D473" s="4" t="str">
        <f ca="1">IFERROR(_xludf.XLOOKUP(A473,Milestones!$A$2:$A$501,Milestones!$C$2:$C$501),"")</f>
        <v/>
      </c>
      <c r="E473" s="4"/>
      <c r="F473" s="4"/>
      <c r="G473" s="4" t="str">
        <f ca="1">IFERROR(_xludf.XLOOKUP(F473,Ustawienia!$H$4:$H$8,Ustawienia!$I$4:$I$8),"")</f>
        <v/>
      </c>
      <c r="H473" s="4"/>
      <c r="I473" s="4"/>
    </row>
    <row r="474" spans="1:9" x14ac:dyDescent="0.25">
      <c r="A474" s="4"/>
      <c r="B474" s="4" t="str">
        <f ca="1">IFERROR(_xludf.XLOOKUP(A474,Pracownicy!$A$2:$A$501,Pracownicy!$B$2:$B$501),"")</f>
        <v/>
      </c>
      <c r="C474" s="4"/>
      <c r="D474" s="4" t="str">
        <f ca="1">IFERROR(_xludf.XLOOKUP(A474,Milestones!$A$2:$A$501,Milestones!$C$2:$C$501),"")</f>
        <v/>
      </c>
      <c r="E474" s="4"/>
      <c r="F474" s="4"/>
      <c r="G474" s="4" t="str">
        <f ca="1">IFERROR(_xludf.XLOOKUP(F474,Ustawienia!$H$4:$H$8,Ustawienia!$I$4:$I$8),"")</f>
        <v/>
      </c>
      <c r="H474" s="4"/>
      <c r="I474" s="4"/>
    </row>
    <row r="475" spans="1:9" x14ac:dyDescent="0.25">
      <c r="A475" s="4"/>
      <c r="B475" s="4" t="str">
        <f ca="1">IFERROR(_xludf.XLOOKUP(A475,Pracownicy!$A$2:$A$501,Pracownicy!$B$2:$B$501),"")</f>
        <v/>
      </c>
      <c r="C475" s="4"/>
      <c r="D475" s="4" t="str">
        <f ca="1">IFERROR(_xludf.XLOOKUP(A475,Milestones!$A$2:$A$501,Milestones!$C$2:$C$501),"")</f>
        <v/>
      </c>
      <c r="E475" s="4"/>
      <c r="F475" s="4"/>
      <c r="G475" s="4" t="str">
        <f ca="1">IFERROR(_xludf.XLOOKUP(F475,Ustawienia!$H$4:$H$8,Ustawienia!$I$4:$I$8),"")</f>
        <v/>
      </c>
      <c r="H475" s="4"/>
      <c r="I475" s="4"/>
    </row>
    <row r="476" spans="1:9" x14ac:dyDescent="0.25">
      <c r="A476" s="4"/>
      <c r="B476" s="4" t="str">
        <f ca="1">IFERROR(_xludf.XLOOKUP(A476,Pracownicy!$A$2:$A$501,Pracownicy!$B$2:$B$501),"")</f>
        <v/>
      </c>
      <c r="C476" s="4"/>
      <c r="D476" s="4" t="str">
        <f ca="1">IFERROR(_xludf.XLOOKUP(A476,Milestones!$A$2:$A$501,Milestones!$C$2:$C$501),"")</f>
        <v/>
      </c>
      <c r="E476" s="4"/>
      <c r="F476" s="4"/>
      <c r="G476" s="4" t="str">
        <f ca="1">IFERROR(_xludf.XLOOKUP(F476,Ustawienia!$H$4:$H$8,Ustawienia!$I$4:$I$8),"")</f>
        <v/>
      </c>
      <c r="H476" s="4"/>
      <c r="I476" s="4"/>
    </row>
    <row r="477" spans="1:9" x14ac:dyDescent="0.25">
      <c r="A477" s="4"/>
      <c r="B477" s="4" t="str">
        <f ca="1">IFERROR(_xludf.XLOOKUP(A477,Pracownicy!$A$2:$A$501,Pracownicy!$B$2:$B$501),"")</f>
        <v/>
      </c>
      <c r="C477" s="4"/>
      <c r="D477" s="4" t="str">
        <f ca="1">IFERROR(_xludf.XLOOKUP(A477,Milestones!$A$2:$A$501,Milestones!$C$2:$C$501),"")</f>
        <v/>
      </c>
      <c r="E477" s="4"/>
      <c r="F477" s="4"/>
      <c r="G477" s="4" t="str">
        <f ca="1">IFERROR(_xludf.XLOOKUP(F477,Ustawienia!$H$4:$H$8,Ustawienia!$I$4:$I$8),"")</f>
        <v/>
      </c>
      <c r="H477" s="4"/>
      <c r="I477" s="4"/>
    </row>
    <row r="478" spans="1:9" x14ac:dyDescent="0.25">
      <c r="A478" s="4"/>
      <c r="B478" s="4" t="str">
        <f ca="1">IFERROR(_xludf.XLOOKUP(A478,Pracownicy!$A$2:$A$501,Pracownicy!$B$2:$B$501),"")</f>
        <v/>
      </c>
      <c r="C478" s="4"/>
      <c r="D478" s="4" t="str">
        <f ca="1">IFERROR(_xludf.XLOOKUP(A478,Milestones!$A$2:$A$501,Milestones!$C$2:$C$501),"")</f>
        <v/>
      </c>
      <c r="E478" s="4"/>
      <c r="F478" s="4"/>
      <c r="G478" s="4" t="str">
        <f ca="1">IFERROR(_xludf.XLOOKUP(F478,Ustawienia!$H$4:$H$8,Ustawienia!$I$4:$I$8),"")</f>
        <v/>
      </c>
      <c r="H478" s="4"/>
      <c r="I478" s="4"/>
    </row>
    <row r="479" spans="1:9" x14ac:dyDescent="0.25">
      <c r="A479" s="4"/>
      <c r="B479" s="4" t="str">
        <f ca="1">IFERROR(_xludf.XLOOKUP(A479,Pracownicy!$A$2:$A$501,Pracownicy!$B$2:$B$501),"")</f>
        <v/>
      </c>
      <c r="C479" s="4"/>
      <c r="D479" s="4" t="str">
        <f ca="1">IFERROR(_xludf.XLOOKUP(A479,Milestones!$A$2:$A$501,Milestones!$C$2:$C$501),"")</f>
        <v/>
      </c>
      <c r="E479" s="4"/>
      <c r="F479" s="4"/>
      <c r="G479" s="4" t="str">
        <f ca="1">IFERROR(_xludf.XLOOKUP(F479,Ustawienia!$H$4:$H$8,Ustawienia!$I$4:$I$8),"")</f>
        <v/>
      </c>
      <c r="H479" s="4"/>
      <c r="I479" s="4"/>
    </row>
    <row r="480" spans="1:9" x14ac:dyDescent="0.25">
      <c r="A480" s="4"/>
      <c r="B480" s="4" t="str">
        <f ca="1">IFERROR(_xludf.XLOOKUP(A480,Pracownicy!$A$2:$A$501,Pracownicy!$B$2:$B$501),"")</f>
        <v/>
      </c>
      <c r="C480" s="4"/>
      <c r="D480" s="4" t="str">
        <f ca="1">IFERROR(_xludf.XLOOKUP(A480,Milestones!$A$2:$A$501,Milestones!$C$2:$C$501),"")</f>
        <v/>
      </c>
      <c r="E480" s="4"/>
      <c r="F480" s="4"/>
      <c r="G480" s="4" t="str">
        <f ca="1">IFERROR(_xludf.XLOOKUP(F480,Ustawienia!$H$4:$H$8,Ustawienia!$I$4:$I$8),"")</f>
        <v/>
      </c>
      <c r="H480" s="4"/>
      <c r="I480" s="4"/>
    </row>
    <row r="481" spans="1:9" x14ac:dyDescent="0.25">
      <c r="A481" s="4"/>
      <c r="B481" s="4" t="str">
        <f ca="1">IFERROR(_xludf.XLOOKUP(A481,Pracownicy!$A$2:$A$501,Pracownicy!$B$2:$B$501),"")</f>
        <v/>
      </c>
      <c r="C481" s="4"/>
      <c r="D481" s="4" t="str">
        <f ca="1">IFERROR(_xludf.XLOOKUP(A481,Milestones!$A$2:$A$501,Milestones!$C$2:$C$501),"")</f>
        <v/>
      </c>
      <c r="E481" s="4"/>
      <c r="F481" s="4"/>
      <c r="G481" s="4" t="str">
        <f ca="1">IFERROR(_xludf.XLOOKUP(F481,Ustawienia!$H$4:$H$8,Ustawienia!$I$4:$I$8),"")</f>
        <v/>
      </c>
      <c r="H481" s="4"/>
      <c r="I481" s="4"/>
    </row>
    <row r="482" spans="1:9" x14ac:dyDescent="0.25">
      <c r="A482" s="4"/>
      <c r="B482" s="4" t="str">
        <f ca="1">IFERROR(_xludf.XLOOKUP(A482,Pracownicy!$A$2:$A$501,Pracownicy!$B$2:$B$501),"")</f>
        <v/>
      </c>
      <c r="C482" s="4"/>
      <c r="D482" s="4" t="str">
        <f ca="1">IFERROR(_xludf.XLOOKUP(A482,Milestones!$A$2:$A$501,Milestones!$C$2:$C$501),"")</f>
        <v/>
      </c>
      <c r="E482" s="4"/>
      <c r="F482" s="4"/>
      <c r="G482" s="4" t="str">
        <f ca="1">IFERROR(_xludf.XLOOKUP(F482,Ustawienia!$H$4:$H$8,Ustawienia!$I$4:$I$8),"")</f>
        <v/>
      </c>
      <c r="H482" s="4"/>
      <c r="I482" s="4"/>
    </row>
    <row r="483" spans="1:9" x14ac:dyDescent="0.25">
      <c r="A483" s="4"/>
      <c r="B483" s="4" t="str">
        <f ca="1">IFERROR(_xludf.XLOOKUP(A483,Pracownicy!$A$2:$A$501,Pracownicy!$B$2:$B$501),"")</f>
        <v/>
      </c>
      <c r="C483" s="4"/>
      <c r="D483" s="4" t="str">
        <f ca="1">IFERROR(_xludf.XLOOKUP(A483,Milestones!$A$2:$A$501,Milestones!$C$2:$C$501),"")</f>
        <v/>
      </c>
      <c r="E483" s="4"/>
      <c r="F483" s="4"/>
      <c r="G483" s="4" t="str">
        <f ca="1">IFERROR(_xludf.XLOOKUP(F483,Ustawienia!$H$4:$H$8,Ustawienia!$I$4:$I$8),"")</f>
        <v/>
      </c>
      <c r="H483" s="4"/>
      <c r="I483" s="4"/>
    </row>
    <row r="484" spans="1:9" x14ac:dyDescent="0.25">
      <c r="A484" s="4"/>
      <c r="B484" s="4" t="str">
        <f ca="1">IFERROR(_xludf.XLOOKUP(A484,Pracownicy!$A$2:$A$501,Pracownicy!$B$2:$B$501),"")</f>
        <v/>
      </c>
      <c r="C484" s="4"/>
      <c r="D484" s="4" t="str">
        <f ca="1">IFERROR(_xludf.XLOOKUP(A484,Milestones!$A$2:$A$501,Milestones!$C$2:$C$501),"")</f>
        <v/>
      </c>
      <c r="E484" s="4"/>
      <c r="F484" s="4"/>
      <c r="G484" s="4" t="str">
        <f ca="1">IFERROR(_xludf.XLOOKUP(F484,Ustawienia!$H$4:$H$8,Ustawienia!$I$4:$I$8),"")</f>
        <v/>
      </c>
      <c r="H484" s="4"/>
      <c r="I484" s="4"/>
    </row>
    <row r="485" spans="1:9" x14ac:dyDescent="0.25">
      <c r="A485" s="4"/>
      <c r="B485" s="4" t="str">
        <f ca="1">IFERROR(_xludf.XLOOKUP(A485,Pracownicy!$A$2:$A$501,Pracownicy!$B$2:$B$501),"")</f>
        <v/>
      </c>
      <c r="C485" s="4"/>
      <c r="D485" s="4" t="str">
        <f ca="1">IFERROR(_xludf.XLOOKUP(A485,Milestones!$A$2:$A$501,Milestones!$C$2:$C$501),"")</f>
        <v/>
      </c>
      <c r="E485" s="4"/>
      <c r="F485" s="4"/>
      <c r="G485" s="4" t="str">
        <f ca="1">IFERROR(_xludf.XLOOKUP(F485,Ustawienia!$H$4:$H$8,Ustawienia!$I$4:$I$8),"")</f>
        <v/>
      </c>
      <c r="H485" s="4"/>
      <c r="I485" s="4"/>
    </row>
    <row r="486" spans="1:9" x14ac:dyDescent="0.25">
      <c r="A486" s="4"/>
      <c r="B486" s="4" t="str">
        <f ca="1">IFERROR(_xludf.XLOOKUP(A486,Pracownicy!$A$2:$A$501,Pracownicy!$B$2:$B$501),"")</f>
        <v/>
      </c>
      <c r="C486" s="4"/>
      <c r="D486" s="4" t="str">
        <f ca="1">IFERROR(_xludf.XLOOKUP(A486,Milestones!$A$2:$A$501,Milestones!$C$2:$C$501),"")</f>
        <v/>
      </c>
      <c r="E486" s="4"/>
      <c r="F486" s="4"/>
      <c r="G486" s="4" t="str">
        <f ca="1">IFERROR(_xludf.XLOOKUP(F486,Ustawienia!$H$4:$H$8,Ustawienia!$I$4:$I$8),"")</f>
        <v/>
      </c>
      <c r="H486" s="4"/>
      <c r="I486" s="4"/>
    </row>
    <row r="487" spans="1:9" x14ac:dyDescent="0.25">
      <c r="A487" s="4"/>
      <c r="B487" s="4" t="str">
        <f ca="1">IFERROR(_xludf.XLOOKUP(A487,Pracownicy!$A$2:$A$501,Pracownicy!$B$2:$B$501),"")</f>
        <v/>
      </c>
      <c r="C487" s="4"/>
      <c r="D487" s="4" t="str">
        <f ca="1">IFERROR(_xludf.XLOOKUP(A487,Milestones!$A$2:$A$501,Milestones!$C$2:$C$501),"")</f>
        <v/>
      </c>
      <c r="E487" s="4"/>
      <c r="F487" s="4"/>
      <c r="G487" s="4" t="str">
        <f ca="1">IFERROR(_xludf.XLOOKUP(F487,Ustawienia!$H$4:$H$8,Ustawienia!$I$4:$I$8),"")</f>
        <v/>
      </c>
      <c r="H487" s="4"/>
      <c r="I487" s="4"/>
    </row>
    <row r="488" spans="1:9" x14ac:dyDescent="0.25">
      <c r="A488" s="4"/>
      <c r="B488" s="4" t="str">
        <f ca="1">IFERROR(_xludf.XLOOKUP(A488,Pracownicy!$A$2:$A$501,Pracownicy!$B$2:$B$501),"")</f>
        <v/>
      </c>
      <c r="C488" s="4"/>
      <c r="D488" s="4" t="str">
        <f ca="1">IFERROR(_xludf.XLOOKUP(A488,Milestones!$A$2:$A$501,Milestones!$C$2:$C$501),"")</f>
        <v/>
      </c>
      <c r="E488" s="4"/>
      <c r="F488" s="4"/>
      <c r="G488" s="4" t="str">
        <f ca="1">IFERROR(_xludf.XLOOKUP(F488,Ustawienia!$H$4:$H$8,Ustawienia!$I$4:$I$8),"")</f>
        <v/>
      </c>
      <c r="H488" s="4"/>
      <c r="I488" s="4"/>
    </row>
    <row r="489" spans="1:9" x14ac:dyDescent="0.25">
      <c r="A489" s="4"/>
      <c r="B489" s="4" t="str">
        <f ca="1">IFERROR(_xludf.XLOOKUP(A489,Pracownicy!$A$2:$A$501,Pracownicy!$B$2:$B$501),"")</f>
        <v/>
      </c>
      <c r="C489" s="4"/>
      <c r="D489" s="4" t="str">
        <f ca="1">IFERROR(_xludf.XLOOKUP(A489,Milestones!$A$2:$A$501,Milestones!$C$2:$C$501),"")</f>
        <v/>
      </c>
      <c r="E489" s="4"/>
      <c r="F489" s="4"/>
      <c r="G489" s="4" t="str">
        <f ca="1">IFERROR(_xludf.XLOOKUP(F489,Ustawienia!$H$4:$H$8,Ustawienia!$I$4:$I$8),"")</f>
        <v/>
      </c>
      <c r="H489" s="4"/>
      <c r="I489" s="4"/>
    </row>
    <row r="490" spans="1:9" x14ac:dyDescent="0.25">
      <c r="A490" s="4"/>
      <c r="B490" s="4" t="str">
        <f ca="1">IFERROR(_xludf.XLOOKUP(A490,Pracownicy!$A$2:$A$501,Pracownicy!$B$2:$B$501),"")</f>
        <v/>
      </c>
      <c r="C490" s="4"/>
      <c r="D490" s="4" t="str">
        <f ca="1">IFERROR(_xludf.XLOOKUP(A490,Milestones!$A$2:$A$501,Milestones!$C$2:$C$501),"")</f>
        <v/>
      </c>
      <c r="E490" s="4"/>
      <c r="F490" s="4"/>
      <c r="G490" s="4" t="str">
        <f ca="1">IFERROR(_xludf.XLOOKUP(F490,Ustawienia!$H$4:$H$8,Ustawienia!$I$4:$I$8),"")</f>
        <v/>
      </c>
      <c r="H490" s="4"/>
      <c r="I490" s="4"/>
    </row>
    <row r="491" spans="1:9" x14ac:dyDescent="0.25">
      <c r="A491" s="4"/>
      <c r="B491" s="4" t="str">
        <f ca="1">IFERROR(_xludf.XLOOKUP(A491,Pracownicy!$A$2:$A$501,Pracownicy!$B$2:$B$501),"")</f>
        <v/>
      </c>
      <c r="C491" s="4"/>
      <c r="D491" s="4" t="str">
        <f ca="1">IFERROR(_xludf.XLOOKUP(A491,Milestones!$A$2:$A$501,Milestones!$C$2:$C$501),"")</f>
        <v/>
      </c>
      <c r="E491" s="4"/>
      <c r="F491" s="4"/>
      <c r="G491" s="4" t="str">
        <f ca="1">IFERROR(_xludf.XLOOKUP(F491,Ustawienia!$H$4:$H$8,Ustawienia!$I$4:$I$8),"")</f>
        <v/>
      </c>
      <c r="H491" s="4"/>
      <c r="I491" s="4"/>
    </row>
    <row r="492" spans="1:9" x14ac:dyDescent="0.25">
      <c r="A492" s="4"/>
      <c r="B492" s="4" t="str">
        <f ca="1">IFERROR(_xludf.XLOOKUP(A492,Pracownicy!$A$2:$A$501,Pracownicy!$B$2:$B$501),"")</f>
        <v/>
      </c>
      <c r="C492" s="4"/>
      <c r="D492" s="4" t="str">
        <f ca="1">IFERROR(_xludf.XLOOKUP(A492,Milestones!$A$2:$A$501,Milestones!$C$2:$C$501),"")</f>
        <v/>
      </c>
      <c r="E492" s="4"/>
      <c r="F492" s="4"/>
      <c r="G492" s="4" t="str">
        <f ca="1">IFERROR(_xludf.XLOOKUP(F492,Ustawienia!$H$4:$H$8,Ustawienia!$I$4:$I$8),"")</f>
        <v/>
      </c>
      <c r="H492" s="4"/>
      <c r="I492" s="4"/>
    </row>
    <row r="493" spans="1:9" x14ac:dyDescent="0.25">
      <c r="A493" s="4"/>
      <c r="B493" s="4" t="str">
        <f ca="1">IFERROR(_xludf.XLOOKUP(A493,Pracownicy!$A$2:$A$501,Pracownicy!$B$2:$B$501),"")</f>
        <v/>
      </c>
      <c r="C493" s="4"/>
      <c r="D493" s="4" t="str">
        <f ca="1">IFERROR(_xludf.XLOOKUP(A493,Milestones!$A$2:$A$501,Milestones!$C$2:$C$501),"")</f>
        <v/>
      </c>
      <c r="E493" s="4"/>
      <c r="F493" s="4"/>
      <c r="G493" s="4" t="str">
        <f ca="1">IFERROR(_xludf.XLOOKUP(F493,Ustawienia!$H$4:$H$8,Ustawienia!$I$4:$I$8),"")</f>
        <v/>
      </c>
      <c r="H493" s="4"/>
      <c r="I493" s="4"/>
    </row>
    <row r="494" spans="1:9" x14ac:dyDescent="0.25">
      <c r="A494" s="4"/>
      <c r="B494" s="4" t="str">
        <f ca="1">IFERROR(_xludf.XLOOKUP(A494,Pracownicy!$A$2:$A$501,Pracownicy!$B$2:$B$501),"")</f>
        <v/>
      </c>
      <c r="C494" s="4"/>
      <c r="D494" s="4" t="str">
        <f ca="1">IFERROR(_xludf.XLOOKUP(A494,Milestones!$A$2:$A$501,Milestones!$C$2:$C$501),"")</f>
        <v/>
      </c>
      <c r="E494" s="4"/>
      <c r="F494" s="4"/>
      <c r="G494" s="4" t="str">
        <f ca="1">IFERROR(_xludf.XLOOKUP(F494,Ustawienia!$H$4:$H$8,Ustawienia!$I$4:$I$8),"")</f>
        <v/>
      </c>
      <c r="H494" s="4"/>
      <c r="I494" s="4"/>
    </row>
    <row r="495" spans="1:9" x14ac:dyDescent="0.25">
      <c r="A495" s="4"/>
      <c r="B495" s="4" t="str">
        <f ca="1">IFERROR(_xludf.XLOOKUP(A495,Pracownicy!$A$2:$A$501,Pracownicy!$B$2:$B$501),"")</f>
        <v/>
      </c>
      <c r="C495" s="4"/>
      <c r="D495" s="4" t="str">
        <f ca="1">IFERROR(_xludf.XLOOKUP(A495,Milestones!$A$2:$A$501,Milestones!$C$2:$C$501),"")</f>
        <v/>
      </c>
      <c r="E495" s="4"/>
      <c r="F495" s="4"/>
      <c r="G495" s="4" t="str">
        <f ca="1">IFERROR(_xludf.XLOOKUP(F495,Ustawienia!$H$4:$H$8,Ustawienia!$I$4:$I$8),"")</f>
        <v/>
      </c>
      <c r="H495" s="4"/>
      <c r="I495" s="4"/>
    </row>
    <row r="496" spans="1:9" x14ac:dyDescent="0.25">
      <c r="A496" s="4"/>
      <c r="B496" s="4" t="str">
        <f ca="1">IFERROR(_xludf.XLOOKUP(A496,Pracownicy!$A$2:$A$501,Pracownicy!$B$2:$B$501),"")</f>
        <v/>
      </c>
      <c r="C496" s="4"/>
      <c r="D496" s="4" t="str">
        <f ca="1">IFERROR(_xludf.XLOOKUP(A496,Milestones!$A$2:$A$501,Milestones!$C$2:$C$501),"")</f>
        <v/>
      </c>
      <c r="E496" s="4"/>
      <c r="F496" s="4"/>
      <c r="G496" s="4" t="str">
        <f ca="1">IFERROR(_xludf.XLOOKUP(F496,Ustawienia!$H$4:$H$8,Ustawienia!$I$4:$I$8),"")</f>
        <v/>
      </c>
      <c r="H496" s="4"/>
      <c r="I496" s="4"/>
    </row>
    <row r="497" spans="1:9" x14ac:dyDescent="0.25">
      <c r="A497" s="4"/>
      <c r="B497" s="4" t="str">
        <f ca="1">IFERROR(_xludf.XLOOKUP(A497,Pracownicy!$A$2:$A$501,Pracownicy!$B$2:$B$501),"")</f>
        <v/>
      </c>
      <c r="C497" s="4"/>
      <c r="D497" s="4" t="str">
        <f ca="1">IFERROR(_xludf.XLOOKUP(A497,Milestones!$A$2:$A$501,Milestones!$C$2:$C$501),"")</f>
        <v/>
      </c>
      <c r="E497" s="4"/>
      <c r="F497" s="4"/>
      <c r="G497" s="4" t="str">
        <f ca="1">IFERROR(_xludf.XLOOKUP(F497,Ustawienia!$H$4:$H$8,Ustawienia!$I$4:$I$8),"")</f>
        <v/>
      </c>
      <c r="H497" s="4"/>
      <c r="I497" s="4"/>
    </row>
    <row r="498" spans="1:9" x14ac:dyDescent="0.25">
      <c r="A498" s="4"/>
      <c r="B498" s="4" t="str">
        <f ca="1">IFERROR(_xludf.XLOOKUP(A498,Pracownicy!$A$2:$A$501,Pracownicy!$B$2:$B$501),"")</f>
        <v/>
      </c>
      <c r="C498" s="4"/>
      <c r="D498" s="4" t="str">
        <f ca="1">IFERROR(_xludf.XLOOKUP(A498,Milestones!$A$2:$A$501,Milestones!$C$2:$C$501),"")</f>
        <v/>
      </c>
      <c r="E498" s="4"/>
      <c r="F498" s="4"/>
      <c r="G498" s="4" t="str">
        <f ca="1">IFERROR(_xludf.XLOOKUP(F498,Ustawienia!$H$4:$H$8,Ustawienia!$I$4:$I$8),"")</f>
        <v/>
      </c>
      <c r="H498" s="4"/>
      <c r="I498" s="4"/>
    </row>
    <row r="499" spans="1:9" x14ac:dyDescent="0.25">
      <c r="A499" s="4"/>
      <c r="B499" s="4" t="str">
        <f ca="1">IFERROR(_xludf.XLOOKUP(A499,Pracownicy!$A$2:$A$501,Pracownicy!$B$2:$B$501),"")</f>
        <v/>
      </c>
      <c r="C499" s="4"/>
      <c r="D499" s="4" t="str">
        <f ca="1">IFERROR(_xludf.XLOOKUP(A499,Milestones!$A$2:$A$501,Milestones!$C$2:$C$501),"")</f>
        <v/>
      </c>
      <c r="E499" s="4"/>
      <c r="F499" s="4"/>
      <c r="G499" s="4" t="str">
        <f ca="1">IFERROR(_xludf.XLOOKUP(F499,Ustawienia!$H$4:$H$8,Ustawienia!$I$4:$I$8),"")</f>
        <v/>
      </c>
      <c r="H499" s="4"/>
      <c r="I499" s="4"/>
    </row>
    <row r="500" spans="1:9" x14ac:dyDescent="0.25">
      <c r="A500" s="4"/>
      <c r="B500" s="4" t="str">
        <f ca="1">IFERROR(_xludf.XLOOKUP(A500,Pracownicy!$A$2:$A$501,Pracownicy!$B$2:$B$501),"")</f>
        <v/>
      </c>
      <c r="C500" s="4"/>
      <c r="D500" s="4" t="str">
        <f ca="1">IFERROR(_xludf.XLOOKUP(A500,Milestones!$A$2:$A$501,Milestones!$C$2:$C$501),"")</f>
        <v/>
      </c>
      <c r="E500" s="4"/>
      <c r="F500" s="4"/>
      <c r="G500" s="4" t="str">
        <f ca="1">IFERROR(_xludf.XLOOKUP(F500,Ustawienia!$H$4:$H$8,Ustawienia!$I$4:$I$8),"")</f>
        <v/>
      </c>
      <c r="H500" s="4"/>
      <c r="I500" s="4"/>
    </row>
    <row r="501" spans="1:9" x14ac:dyDescent="0.25">
      <c r="A501" s="4"/>
      <c r="B501" s="4" t="str">
        <f ca="1">IFERROR(_xludf.XLOOKUP(A501,Pracownicy!$A$2:$A$501,Pracownicy!$B$2:$B$501),"")</f>
        <v/>
      </c>
      <c r="C501" s="4"/>
      <c r="D501" s="4" t="str">
        <f ca="1">IFERROR(_xludf.XLOOKUP(A501,Milestones!$A$2:$A$501,Milestones!$C$2:$C$501),"")</f>
        <v/>
      </c>
      <c r="E501" s="4"/>
      <c r="F501" s="4"/>
      <c r="G501" s="4" t="str">
        <f ca="1">IFERROR(_xludf.XLOOKUP(F501,Ustawienia!$H$4:$H$8,Ustawienia!$I$4:$I$8),"")</f>
        <v/>
      </c>
      <c r="H501" s="4"/>
      <c r="I501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01"/>
  <sheetViews>
    <sheetView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14" customWidth="1"/>
    <col min="2" max="2" width="26" customWidth="1"/>
    <col min="3" max="4" width="14" customWidth="1"/>
    <col min="5" max="5" width="30" customWidth="1"/>
    <col min="6" max="6" width="28" customWidth="1"/>
    <col min="7" max="7" width="18" customWidth="1"/>
    <col min="8" max="8" width="16" customWidth="1"/>
    <col min="9" max="9" width="20" customWidth="1"/>
    <col min="10" max="11" width="10" customWidth="1"/>
    <col min="12" max="13" width="12" customWidth="1"/>
    <col min="14" max="14" width="20" customWidth="1"/>
    <col min="15" max="15" width="18" customWidth="1"/>
  </cols>
  <sheetData>
    <row r="1" spans="1:15" ht="30" customHeight="1" x14ac:dyDescent="0.25">
      <c r="A1" s="6" t="s">
        <v>63</v>
      </c>
      <c r="B1" s="6" t="s">
        <v>64</v>
      </c>
      <c r="C1" s="6" t="s">
        <v>0</v>
      </c>
      <c r="D1" s="6" t="s">
        <v>1</v>
      </c>
      <c r="E1" s="6" t="s">
        <v>76</v>
      </c>
      <c r="F1" s="6" t="s">
        <v>2</v>
      </c>
      <c r="G1" s="6" t="s">
        <v>77</v>
      </c>
      <c r="H1" s="6" t="s">
        <v>12</v>
      </c>
      <c r="I1" s="6" t="s">
        <v>78</v>
      </c>
      <c r="J1" s="6" t="s">
        <v>79</v>
      </c>
      <c r="K1" s="6" t="s">
        <v>56</v>
      </c>
      <c r="L1" s="6" t="s">
        <v>80</v>
      </c>
      <c r="M1" s="6" t="s">
        <v>81</v>
      </c>
      <c r="N1" s="6" t="s">
        <v>82</v>
      </c>
      <c r="O1" s="6" t="s">
        <v>83</v>
      </c>
    </row>
    <row r="2" spans="1:15" x14ac:dyDescent="0.25">
      <c r="A2" s="4" t="str">
        <f>Zaangażowanie!A2</f>
        <v>E-001</v>
      </c>
      <c r="B2" s="4" t="str">
        <f>IFERROR(_xlfn.XLOOKUP(A2,Pracownicy!$A$2:$A$501,Pracownicy!$B$2:$B$501),"")</f>
        <v>Tymoteusz Mądry</v>
      </c>
      <c r="C2" s="4" t="str">
        <f>Zaangażowanie!C2</f>
        <v>MS-001</v>
      </c>
      <c r="D2" s="4" t="str">
        <f>IFERROR(_xlfn.XLOOKUP(C2,Milestones!$A$2:$A$501,Milestones!$B$2:$B$501),"")</f>
        <v>RD-093</v>
      </c>
      <c r="E2" s="4" t="str">
        <f>IFERROR(_xlfn.XLOOKUP(D2,Projekty!$A$2:$A$501,Projekty!$B$2:$B$501),"")</f>
        <v>RD-093: Mikrowiązka v2</v>
      </c>
      <c r="F2" s="4" t="str">
        <f>IFERROR(_xlfn.XLOOKUP(C2,Milestones!$A$2:$A$501,Milestones!$C$2:$C$501),"")</f>
        <v>M1: Analiza Polikapilara</v>
      </c>
      <c r="G2" s="4">
        <f>IFERROR(_xlfn.XLOOKUP(C2,Milestones!$A$2:$A$501,Milestones!$F$2:$F$501),"")</f>
        <v>3000</v>
      </c>
      <c r="H2" s="4">
        <f>IFERROR(_xlfn.XLOOKUP(C2,Milestones!$A$2:$A$501,Milestones!$M$2:$M$501),"")</f>
        <v>1.1200000000000001</v>
      </c>
      <c r="I2" s="4">
        <f t="shared" ref="I2:I65" si="0">IF(H2="","",MIN(H2,1))</f>
        <v>1</v>
      </c>
      <c r="J2" s="4">
        <f>Zaangażowanie!E2</f>
        <v>0.5</v>
      </c>
      <c r="K2" s="4">
        <f>IFERROR(_xlfn.XLOOKUP(A2,Pracownicy!$A$2:$A$501,Pracownicy!$F$2:$F$501),"")</f>
        <v>1</v>
      </c>
      <c r="L2" s="4">
        <f>Zaangażowanie!G2</f>
        <v>1.1000000000000001</v>
      </c>
      <c r="M2" s="4">
        <f t="shared" ref="M2:M65" si="1">IF(OR(J2="",K2="",L2=""),"",J2*K2*L2)</f>
        <v>0.55000000000000004</v>
      </c>
      <c r="N2" s="4">
        <f t="shared" ref="N2:N65" si="2">IF(C2="","",SUMIF($C$2:$C$501,C2,$M$2:$M$501))</f>
        <v>1.5675000000000001</v>
      </c>
      <c r="O2" s="4">
        <f t="shared" ref="O2:O65" si="3">IF(OR(G2="",I2="",M2="",N2="",N2=0),"",ROUNDDOWN(G2*I2*(M2/N2),2))</f>
        <v>1052.6300000000001</v>
      </c>
    </row>
    <row r="3" spans="1:15" x14ac:dyDescent="0.25">
      <c r="A3" s="4" t="str">
        <f>Zaangażowanie!A3</f>
        <v>E-002</v>
      </c>
      <c r="B3" s="4" t="str">
        <f>IFERROR(_xlfn.XLOOKUP(A3,Pracownicy!$A$2:$A$501,Pracownicy!$B$2:$B$501),"")</f>
        <v>Albert Giza</v>
      </c>
      <c r="C3" s="4" t="str">
        <f>Zaangażowanie!C3</f>
        <v>MS-001</v>
      </c>
      <c r="D3" s="4" t="str">
        <f>IFERROR(_xlfn.XLOOKUP(C3,Milestones!$A$2:$A$501,Milestones!$B$2:$B$501),"")</f>
        <v>RD-093</v>
      </c>
      <c r="E3" s="4" t="str">
        <f>IFERROR(_xlfn.XLOOKUP(D3,Projekty!$A$2:$A$501,Projekty!$B$2:$B$501),"")</f>
        <v>RD-093: Mikrowiązka v2</v>
      </c>
      <c r="F3" s="4" t="str">
        <f>IFERROR(_xlfn.XLOOKUP(C3,Milestones!$A$2:$A$501,Milestones!$C$2:$C$501),"")</f>
        <v>M1: Analiza Polikapilara</v>
      </c>
      <c r="G3" s="4">
        <f>IFERROR(_xlfn.XLOOKUP(C3,Milestones!$A$2:$A$501,Milestones!$F$2:$F$501),"")</f>
        <v>3000</v>
      </c>
      <c r="H3" s="4">
        <f>IFERROR(_xlfn.XLOOKUP(C3,Milestones!$A$2:$A$501,Milestones!$M$2:$M$501),"")</f>
        <v>1.1200000000000001</v>
      </c>
      <c r="I3" s="4">
        <f t="shared" si="0"/>
        <v>1</v>
      </c>
      <c r="J3" s="4">
        <f>Zaangażowanie!E3</f>
        <v>0.5</v>
      </c>
      <c r="K3" s="4">
        <f>IFERROR(_xlfn.XLOOKUP(A3,Pracownicy!$A$2:$A$501,Pracownicy!$F$2:$F$501),"")</f>
        <v>1.25</v>
      </c>
      <c r="L3" s="4">
        <f>Zaangażowanie!G3</f>
        <v>1.1000000000000001</v>
      </c>
      <c r="M3" s="4">
        <f t="shared" si="1"/>
        <v>0.6875</v>
      </c>
      <c r="N3" s="4">
        <f t="shared" si="2"/>
        <v>1.5675000000000001</v>
      </c>
      <c r="O3" s="4">
        <f t="shared" si="3"/>
        <v>1315.78</v>
      </c>
    </row>
    <row r="4" spans="1:15" x14ac:dyDescent="0.25">
      <c r="A4" s="4" t="str">
        <f>Zaangażowanie!A4</f>
        <v>E-003</v>
      </c>
      <c r="B4" s="4" t="str">
        <f>IFERROR(_xlfn.XLOOKUP(A4,Pracownicy!$A$2:$A$501,Pracownicy!$B$2:$B$501),"")</f>
        <v>Jan Kochanowski</v>
      </c>
      <c r="C4" s="4" t="str">
        <f>Zaangażowanie!C4</f>
        <v>MS-001</v>
      </c>
      <c r="D4" s="4" t="str">
        <f>IFERROR(_xlfn.XLOOKUP(C4,Milestones!$A$2:$A$501,Milestones!$B$2:$B$501),"")</f>
        <v>RD-093</v>
      </c>
      <c r="E4" s="4" t="str">
        <f>IFERROR(_xlfn.XLOOKUP(D4,Projekty!$A$2:$A$501,Projekty!$B$2:$B$501),"")</f>
        <v>RD-093: Mikrowiązka v2</v>
      </c>
      <c r="F4" s="4" t="str">
        <f>IFERROR(_xlfn.XLOOKUP(C4,Milestones!$A$2:$A$501,Milestones!$C$2:$C$501),"")</f>
        <v>M1: Analiza Polikapilara</v>
      </c>
      <c r="G4" s="4">
        <f>IFERROR(_xlfn.XLOOKUP(C4,Milestones!$A$2:$A$501,Milestones!$F$2:$F$501),"")</f>
        <v>3000</v>
      </c>
      <c r="H4" s="4">
        <f>IFERROR(_xlfn.XLOOKUP(C4,Milestones!$A$2:$A$501,Milestones!$M$2:$M$501),"")</f>
        <v>1.1200000000000001</v>
      </c>
      <c r="I4" s="4">
        <f t="shared" si="0"/>
        <v>1</v>
      </c>
      <c r="J4" s="4">
        <f>Zaangażowanie!E4</f>
        <v>0.3</v>
      </c>
      <c r="K4" s="4">
        <f>IFERROR(_xlfn.XLOOKUP(A4,Pracownicy!$A$2:$A$501,Pracownicy!$F$2:$F$501),"")</f>
        <v>1.1000000000000001</v>
      </c>
      <c r="L4" s="4">
        <f>Zaangażowanie!G4</f>
        <v>1</v>
      </c>
      <c r="M4" s="4">
        <f t="shared" si="1"/>
        <v>0.33</v>
      </c>
      <c r="N4" s="4">
        <f t="shared" si="2"/>
        <v>1.5675000000000001</v>
      </c>
      <c r="O4" s="4">
        <f t="shared" si="3"/>
        <v>631.57000000000005</v>
      </c>
    </row>
    <row r="5" spans="1:15" x14ac:dyDescent="0.25">
      <c r="A5" s="4"/>
      <c r="B5" s="4" t="str">
        <f ca="1">IFERROR(_xludf.XLOOKUP(A5,Pracownicy!$A$2:$A$501,Pracownicy!$B$2:$B$501),"")</f>
        <v/>
      </c>
      <c r="C5" s="4"/>
      <c r="D5" s="4" t="str">
        <f ca="1">IFERROR(_xludf.XLOOKUP(C5,Milestones!$A$2:$A$501,Milestones!$B$2:$B$501),"")</f>
        <v/>
      </c>
      <c r="E5" s="4" t="str">
        <f ca="1">IFERROR(_xludf.XLOOKUP(D5,Projekty!$A$2:$A$501,Projekty!$B$2:$B$501),"")</f>
        <v/>
      </c>
      <c r="F5" s="4" t="str">
        <f ca="1">IFERROR(_xludf.XLOOKUP(C5,Milestones!$A$2:$A$501,Milestones!$C$2:$C$501),"")</f>
        <v/>
      </c>
      <c r="G5" s="4" t="str">
        <f ca="1">IFERROR(_xludf.XLOOKUP(C5,Milestones!$A$2:$A$501,Milestones!$F$2:$F$501),"")</f>
        <v/>
      </c>
      <c r="H5" s="4" t="str">
        <f ca="1">IFERROR(_xludf.XLOOKUP(C5,Milestones!$A$2:$A$501,Milestones!$M$2:$M$501),"")</f>
        <v/>
      </c>
      <c r="I5" s="4" t="str">
        <f t="shared" ca="1" si="0"/>
        <v/>
      </c>
      <c r="J5" s="4"/>
      <c r="K5" s="4" t="str">
        <f ca="1">IFERROR(_xludf.XLOOKUP(A5,Pracownicy!$A$2:$A$501,Pracownicy!$F$2:$F$501),"")</f>
        <v/>
      </c>
      <c r="L5" s="4"/>
      <c r="M5" s="4" t="str">
        <f t="shared" ca="1" si="1"/>
        <v/>
      </c>
      <c r="N5" s="4" t="str">
        <f t="shared" si="2"/>
        <v/>
      </c>
      <c r="O5" s="4" t="str">
        <f t="shared" ca="1" si="3"/>
        <v/>
      </c>
    </row>
    <row r="6" spans="1:15" x14ac:dyDescent="0.25">
      <c r="A6" s="4"/>
      <c r="B6" s="4" t="str">
        <f ca="1">IFERROR(_xludf.XLOOKUP(A6,Pracownicy!$A$2:$A$501,Pracownicy!$B$2:$B$501),"")</f>
        <v/>
      </c>
      <c r="C6" s="4"/>
      <c r="D6" s="4" t="str">
        <f ca="1">IFERROR(_xludf.XLOOKUP(C6,Milestones!$A$2:$A$501,Milestones!$B$2:$B$501),"")</f>
        <v/>
      </c>
      <c r="E6" s="4" t="str">
        <f ca="1">IFERROR(_xludf.XLOOKUP(D6,Projekty!$A$2:$A$501,Projekty!$B$2:$B$501),"")</f>
        <v/>
      </c>
      <c r="F6" s="4" t="str">
        <f ca="1">IFERROR(_xludf.XLOOKUP(C6,Milestones!$A$2:$A$501,Milestones!$C$2:$C$501),"")</f>
        <v/>
      </c>
      <c r="G6" s="4" t="str">
        <f ca="1">IFERROR(_xludf.XLOOKUP(C6,Milestones!$A$2:$A$501,Milestones!$F$2:$F$501),"")</f>
        <v/>
      </c>
      <c r="H6" s="4" t="str">
        <f ca="1">IFERROR(_xludf.XLOOKUP(C6,Milestones!$A$2:$A$501,Milestones!$M$2:$M$501),"")</f>
        <v/>
      </c>
      <c r="I6" s="4" t="str">
        <f t="shared" ca="1" si="0"/>
        <v/>
      </c>
      <c r="J6" s="4"/>
      <c r="K6" s="4" t="str">
        <f ca="1">IFERROR(_xludf.XLOOKUP(A6,Pracownicy!$A$2:$A$501,Pracownicy!$F$2:$F$501),"")</f>
        <v/>
      </c>
      <c r="L6" s="4"/>
      <c r="M6" s="4" t="str">
        <f t="shared" ca="1" si="1"/>
        <v/>
      </c>
      <c r="N6" s="4" t="str">
        <f t="shared" si="2"/>
        <v/>
      </c>
      <c r="O6" s="4" t="str">
        <f t="shared" ca="1" si="3"/>
        <v/>
      </c>
    </row>
    <row r="7" spans="1:15" x14ac:dyDescent="0.25">
      <c r="A7" s="4"/>
      <c r="B7" s="4" t="str">
        <f ca="1">IFERROR(_xludf.XLOOKUP(A7,Pracownicy!$A$2:$A$501,Pracownicy!$B$2:$B$501),"")</f>
        <v/>
      </c>
      <c r="C7" s="4"/>
      <c r="D7" s="4" t="str">
        <f ca="1">IFERROR(_xludf.XLOOKUP(C7,Milestones!$A$2:$A$501,Milestones!$B$2:$B$501),"")</f>
        <v/>
      </c>
      <c r="E7" s="4" t="str">
        <f ca="1">IFERROR(_xludf.XLOOKUP(D7,Projekty!$A$2:$A$501,Projekty!$B$2:$B$501),"")</f>
        <v/>
      </c>
      <c r="F7" s="4" t="str">
        <f ca="1">IFERROR(_xludf.XLOOKUP(C7,Milestones!$A$2:$A$501,Milestones!$C$2:$C$501),"")</f>
        <v/>
      </c>
      <c r="G7" s="4" t="str">
        <f ca="1">IFERROR(_xludf.XLOOKUP(C7,Milestones!$A$2:$A$501,Milestones!$F$2:$F$501),"")</f>
        <v/>
      </c>
      <c r="H7" s="4" t="str">
        <f ca="1">IFERROR(_xludf.XLOOKUP(C7,Milestones!$A$2:$A$501,Milestones!$M$2:$M$501),"")</f>
        <v/>
      </c>
      <c r="I7" s="4" t="str">
        <f t="shared" ca="1" si="0"/>
        <v/>
      </c>
      <c r="J7" s="4"/>
      <c r="K7" s="4" t="str">
        <f ca="1">IFERROR(_xludf.XLOOKUP(A7,Pracownicy!$A$2:$A$501,Pracownicy!$F$2:$F$501),"")</f>
        <v/>
      </c>
      <c r="L7" s="4"/>
      <c r="M7" s="4" t="str">
        <f t="shared" ca="1" si="1"/>
        <v/>
      </c>
      <c r="N7" s="4" t="str">
        <f t="shared" si="2"/>
        <v/>
      </c>
      <c r="O7" s="4" t="str">
        <f t="shared" ca="1" si="3"/>
        <v/>
      </c>
    </row>
    <row r="8" spans="1:15" x14ac:dyDescent="0.25">
      <c r="A8" s="4"/>
      <c r="B8" s="4" t="str">
        <f ca="1">IFERROR(_xludf.XLOOKUP(A8,Pracownicy!$A$2:$A$501,Pracownicy!$B$2:$B$501),"")</f>
        <v/>
      </c>
      <c r="C8" s="4"/>
      <c r="D8" s="4" t="str">
        <f ca="1">IFERROR(_xludf.XLOOKUP(C8,Milestones!$A$2:$A$501,Milestones!$B$2:$B$501),"")</f>
        <v/>
      </c>
      <c r="E8" s="4" t="str">
        <f ca="1">IFERROR(_xludf.XLOOKUP(D8,Projekty!$A$2:$A$501,Projekty!$B$2:$B$501),"")</f>
        <v/>
      </c>
      <c r="F8" s="4" t="str">
        <f ca="1">IFERROR(_xludf.XLOOKUP(C8,Milestones!$A$2:$A$501,Milestones!$C$2:$C$501),"")</f>
        <v/>
      </c>
      <c r="G8" s="4" t="str">
        <f ca="1">IFERROR(_xludf.XLOOKUP(C8,Milestones!$A$2:$A$501,Milestones!$F$2:$F$501),"")</f>
        <v/>
      </c>
      <c r="H8" s="4" t="str">
        <f ca="1">IFERROR(_xludf.XLOOKUP(C8,Milestones!$A$2:$A$501,Milestones!$M$2:$M$501),"")</f>
        <v/>
      </c>
      <c r="I8" s="4" t="str">
        <f t="shared" ca="1" si="0"/>
        <v/>
      </c>
      <c r="J8" s="4"/>
      <c r="K8" s="4" t="str">
        <f ca="1">IFERROR(_xludf.XLOOKUP(A8,Pracownicy!$A$2:$A$501,Pracownicy!$F$2:$F$501),"")</f>
        <v/>
      </c>
      <c r="L8" s="4"/>
      <c r="M8" s="4" t="str">
        <f t="shared" ca="1" si="1"/>
        <v/>
      </c>
      <c r="N8" s="4" t="str">
        <f t="shared" si="2"/>
        <v/>
      </c>
      <c r="O8" s="4" t="str">
        <f t="shared" ca="1" si="3"/>
        <v/>
      </c>
    </row>
    <row r="9" spans="1:15" x14ac:dyDescent="0.25">
      <c r="A9" s="4"/>
      <c r="B9" s="4" t="str">
        <f ca="1">IFERROR(_xludf.XLOOKUP(A9,Pracownicy!$A$2:$A$501,Pracownicy!$B$2:$B$501),"")</f>
        <v/>
      </c>
      <c r="C9" s="4"/>
      <c r="D9" s="4" t="str">
        <f ca="1">IFERROR(_xludf.XLOOKUP(C9,Milestones!$A$2:$A$501,Milestones!$B$2:$B$501),"")</f>
        <v/>
      </c>
      <c r="E9" s="4" t="str">
        <f ca="1">IFERROR(_xludf.XLOOKUP(D9,Projekty!$A$2:$A$501,Projekty!$B$2:$B$501),"")</f>
        <v/>
      </c>
      <c r="F9" s="4" t="str">
        <f ca="1">IFERROR(_xludf.XLOOKUP(C9,Milestones!$A$2:$A$501,Milestones!$C$2:$C$501),"")</f>
        <v/>
      </c>
      <c r="G9" s="4" t="str">
        <f ca="1">IFERROR(_xludf.XLOOKUP(C9,Milestones!$A$2:$A$501,Milestones!$F$2:$F$501),"")</f>
        <v/>
      </c>
      <c r="H9" s="4" t="str">
        <f ca="1">IFERROR(_xludf.XLOOKUP(C9,Milestones!$A$2:$A$501,Milestones!$M$2:$M$501),"")</f>
        <v/>
      </c>
      <c r="I9" s="4" t="str">
        <f t="shared" ca="1" si="0"/>
        <v/>
      </c>
      <c r="J9" s="4"/>
      <c r="K9" s="4" t="str">
        <f ca="1">IFERROR(_xludf.XLOOKUP(A9,Pracownicy!$A$2:$A$501,Pracownicy!$F$2:$F$501),"")</f>
        <v/>
      </c>
      <c r="L9" s="4"/>
      <c r="M9" s="4" t="str">
        <f t="shared" ca="1" si="1"/>
        <v/>
      </c>
      <c r="N9" s="4" t="str">
        <f t="shared" si="2"/>
        <v/>
      </c>
      <c r="O9" s="4" t="str">
        <f t="shared" ca="1" si="3"/>
        <v/>
      </c>
    </row>
    <row r="10" spans="1:15" x14ac:dyDescent="0.25">
      <c r="A10" s="4"/>
      <c r="B10" s="4" t="str">
        <f ca="1">IFERROR(_xludf.XLOOKUP(A10,Pracownicy!$A$2:$A$501,Pracownicy!$B$2:$B$501),"")</f>
        <v/>
      </c>
      <c r="C10" s="4"/>
      <c r="D10" s="4" t="str">
        <f ca="1">IFERROR(_xludf.XLOOKUP(C10,Milestones!$A$2:$A$501,Milestones!$B$2:$B$501),"")</f>
        <v/>
      </c>
      <c r="E10" s="4" t="str">
        <f ca="1">IFERROR(_xludf.XLOOKUP(D10,Projekty!$A$2:$A$501,Projekty!$B$2:$B$501),"")</f>
        <v/>
      </c>
      <c r="F10" s="4" t="str">
        <f ca="1">IFERROR(_xludf.XLOOKUP(C10,Milestones!$A$2:$A$501,Milestones!$C$2:$C$501),"")</f>
        <v/>
      </c>
      <c r="G10" s="4" t="str">
        <f ca="1">IFERROR(_xludf.XLOOKUP(C10,Milestones!$A$2:$A$501,Milestones!$F$2:$F$501),"")</f>
        <v/>
      </c>
      <c r="H10" s="4" t="str">
        <f ca="1">IFERROR(_xludf.XLOOKUP(C10,Milestones!$A$2:$A$501,Milestones!$M$2:$M$501),"")</f>
        <v/>
      </c>
      <c r="I10" s="4" t="str">
        <f t="shared" ca="1" si="0"/>
        <v/>
      </c>
      <c r="J10" s="4"/>
      <c r="K10" s="4" t="str">
        <f ca="1">IFERROR(_xludf.XLOOKUP(A10,Pracownicy!$A$2:$A$501,Pracownicy!$F$2:$F$501),"")</f>
        <v/>
      </c>
      <c r="L10" s="4"/>
      <c r="M10" s="4" t="str">
        <f t="shared" ca="1" si="1"/>
        <v/>
      </c>
      <c r="N10" s="4" t="str">
        <f t="shared" si="2"/>
        <v/>
      </c>
      <c r="O10" s="4" t="str">
        <f t="shared" ca="1" si="3"/>
        <v/>
      </c>
    </row>
    <row r="11" spans="1:15" x14ac:dyDescent="0.25">
      <c r="A11" s="4"/>
      <c r="B11" s="4" t="str">
        <f ca="1">IFERROR(_xludf.XLOOKUP(A11,Pracownicy!$A$2:$A$501,Pracownicy!$B$2:$B$501),"")</f>
        <v/>
      </c>
      <c r="C11" s="4"/>
      <c r="D11" s="4" t="str">
        <f ca="1">IFERROR(_xludf.XLOOKUP(C11,Milestones!$A$2:$A$501,Milestones!$B$2:$B$501),"")</f>
        <v/>
      </c>
      <c r="E11" s="4" t="str">
        <f ca="1">IFERROR(_xludf.XLOOKUP(D11,Projekty!$A$2:$A$501,Projekty!$B$2:$B$501),"")</f>
        <v/>
      </c>
      <c r="F11" s="4" t="str">
        <f ca="1">IFERROR(_xludf.XLOOKUP(C11,Milestones!$A$2:$A$501,Milestones!$C$2:$C$501),"")</f>
        <v/>
      </c>
      <c r="G11" s="4" t="str">
        <f ca="1">IFERROR(_xludf.XLOOKUP(C11,Milestones!$A$2:$A$501,Milestones!$F$2:$F$501),"")</f>
        <v/>
      </c>
      <c r="H11" s="4" t="str">
        <f ca="1">IFERROR(_xludf.XLOOKUP(C11,Milestones!$A$2:$A$501,Milestones!$M$2:$M$501),"")</f>
        <v/>
      </c>
      <c r="I11" s="4" t="str">
        <f t="shared" ca="1" si="0"/>
        <v/>
      </c>
      <c r="J11" s="4"/>
      <c r="K11" s="4" t="str">
        <f ca="1">IFERROR(_xludf.XLOOKUP(A11,Pracownicy!$A$2:$A$501,Pracownicy!$F$2:$F$501),"")</f>
        <v/>
      </c>
      <c r="L11" s="4"/>
      <c r="M11" s="4" t="str">
        <f t="shared" ca="1" si="1"/>
        <v/>
      </c>
      <c r="N11" s="4" t="str">
        <f t="shared" si="2"/>
        <v/>
      </c>
      <c r="O11" s="4" t="str">
        <f t="shared" ca="1" si="3"/>
        <v/>
      </c>
    </row>
    <row r="12" spans="1:15" x14ac:dyDescent="0.25">
      <c r="A12" s="4"/>
      <c r="B12" s="4" t="str">
        <f ca="1">IFERROR(_xludf.XLOOKUP(A12,Pracownicy!$A$2:$A$501,Pracownicy!$B$2:$B$501),"")</f>
        <v/>
      </c>
      <c r="C12" s="4"/>
      <c r="D12" s="4" t="str">
        <f ca="1">IFERROR(_xludf.XLOOKUP(C12,Milestones!$A$2:$A$501,Milestones!$B$2:$B$501),"")</f>
        <v/>
      </c>
      <c r="E12" s="4" t="str">
        <f ca="1">IFERROR(_xludf.XLOOKUP(D12,Projekty!$A$2:$A$501,Projekty!$B$2:$B$501),"")</f>
        <v/>
      </c>
      <c r="F12" s="4" t="str">
        <f ca="1">IFERROR(_xludf.XLOOKUP(C12,Milestones!$A$2:$A$501,Milestones!$C$2:$C$501),"")</f>
        <v/>
      </c>
      <c r="G12" s="4" t="str">
        <f ca="1">IFERROR(_xludf.XLOOKUP(C12,Milestones!$A$2:$A$501,Milestones!$F$2:$F$501),"")</f>
        <v/>
      </c>
      <c r="H12" s="4" t="str">
        <f ca="1">IFERROR(_xludf.XLOOKUP(C12,Milestones!$A$2:$A$501,Milestones!$M$2:$M$501),"")</f>
        <v/>
      </c>
      <c r="I12" s="4" t="str">
        <f t="shared" ca="1" si="0"/>
        <v/>
      </c>
      <c r="J12" s="4"/>
      <c r="K12" s="4" t="str">
        <f ca="1">IFERROR(_xludf.XLOOKUP(A12,Pracownicy!$A$2:$A$501,Pracownicy!$F$2:$F$501),"")</f>
        <v/>
      </c>
      <c r="L12" s="4"/>
      <c r="M12" s="4" t="str">
        <f t="shared" ca="1" si="1"/>
        <v/>
      </c>
      <c r="N12" s="4" t="str">
        <f t="shared" si="2"/>
        <v/>
      </c>
      <c r="O12" s="4" t="str">
        <f t="shared" ca="1" si="3"/>
        <v/>
      </c>
    </row>
    <row r="13" spans="1:15" x14ac:dyDescent="0.25">
      <c r="A13" s="4"/>
      <c r="B13" s="4" t="str">
        <f ca="1">IFERROR(_xludf.XLOOKUP(A13,Pracownicy!$A$2:$A$501,Pracownicy!$B$2:$B$501),"")</f>
        <v/>
      </c>
      <c r="C13" s="4"/>
      <c r="D13" s="4" t="str">
        <f ca="1">IFERROR(_xludf.XLOOKUP(C13,Milestones!$A$2:$A$501,Milestones!$B$2:$B$501),"")</f>
        <v/>
      </c>
      <c r="E13" s="4" t="str">
        <f ca="1">IFERROR(_xludf.XLOOKUP(D13,Projekty!$A$2:$A$501,Projekty!$B$2:$B$501),"")</f>
        <v/>
      </c>
      <c r="F13" s="4" t="str">
        <f ca="1">IFERROR(_xludf.XLOOKUP(C13,Milestones!$A$2:$A$501,Milestones!$C$2:$C$501),"")</f>
        <v/>
      </c>
      <c r="G13" s="4" t="str">
        <f ca="1">IFERROR(_xludf.XLOOKUP(C13,Milestones!$A$2:$A$501,Milestones!$F$2:$F$501),"")</f>
        <v/>
      </c>
      <c r="H13" s="4" t="str">
        <f ca="1">IFERROR(_xludf.XLOOKUP(C13,Milestones!$A$2:$A$501,Milestones!$M$2:$M$501),"")</f>
        <v/>
      </c>
      <c r="I13" s="4" t="str">
        <f t="shared" ca="1" si="0"/>
        <v/>
      </c>
      <c r="J13" s="4"/>
      <c r="K13" s="4" t="str">
        <f ca="1">IFERROR(_xludf.XLOOKUP(A13,Pracownicy!$A$2:$A$501,Pracownicy!$F$2:$F$501),"")</f>
        <v/>
      </c>
      <c r="L13" s="4"/>
      <c r="M13" s="4" t="str">
        <f t="shared" ca="1" si="1"/>
        <v/>
      </c>
      <c r="N13" s="4" t="str">
        <f t="shared" si="2"/>
        <v/>
      </c>
      <c r="O13" s="4" t="str">
        <f t="shared" ca="1" si="3"/>
        <v/>
      </c>
    </row>
    <row r="14" spans="1:15" x14ac:dyDescent="0.25">
      <c r="A14" s="4"/>
      <c r="B14" s="4" t="str">
        <f ca="1">IFERROR(_xludf.XLOOKUP(A14,Pracownicy!$A$2:$A$501,Pracownicy!$B$2:$B$501),"")</f>
        <v/>
      </c>
      <c r="C14" s="4"/>
      <c r="D14" s="4" t="str">
        <f ca="1">IFERROR(_xludf.XLOOKUP(C14,Milestones!$A$2:$A$501,Milestones!$B$2:$B$501),"")</f>
        <v/>
      </c>
      <c r="E14" s="4" t="str">
        <f ca="1">IFERROR(_xludf.XLOOKUP(D14,Projekty!$A$2:$A$501,Projekty!$B$2:$B$501),"")</f>
        <v/>
      </c>
      <c r="F14" s="4" t="str">
        <f ca="1">IFERROR(_xludf.XLOOKUP(C14,Milestones!$A$2:$A$501,Milestones!$C$2:$C$501),"")</f>
        <v/>
      </c>
      <c r="G14" s="4" t="str">
        <f ca="1">IFERROR(_xludf.XLOOKUP(C14,Milestones!$A$2:$A$501,Milestones!$F$2:$F$501),"")</f>
        <v/>
      </c>
      <c r="H14" s="4" t="str">
        <f ca="1">IFERROR(_xludf.XLOOKUP(C14,Milestones!$A$2:$A$501,Milestones!$M$2:$M$501),"")</f>
        <v/>
      </c>
      <c r="I14" s="4" t="str">
        <f t="shared" ca="1" si="0"/>
        <v/>
      </c>
      <c r="J14" s="4"/>
      <c r="K14" s="4" t="str">
        <f ca="1">IFERROR(_xludf.XLOOKUP(A14,Pracownicy!$A$2:$A$501,Pracownicy!$F$2:$F$501),"")</f>
        <v/>
      </c>
      <c r="L14" s="4"/>
      <c r="M14" s="4" t="str">
        <f t="shared" ca="1" si="1"/>
        <v/>
      </c>
      <c r="N14" s="4" t="str">
        <f t="shared" si="2"/>
        <v/>
      </c>
      <c r="O14" s="4" t="str">
        <f t="shared" ca="1" si="3"/>
        <v/>
      </c>
    </row>
    <row r="15" spans="1:15" x14ac:dyDescent="0.25">
      <c r="A15" s="4"/>
      <c r="B15" s="4" t="str">
        <f ca="1">IFERROR(_xludf.XLOOKUP(A15,Pracownicy!$A$2:$A$501,Pracownicy!$B$2:$B$501),"")</f>
        <v/>
      </c>
      <c r="C15" s="4"/>
      <c r="D15" s="4" t="str">
        <f ca="1">IFERROR(_xludf.XLOOKUP(C15,Milestones!$A$2:$A$501,Milestones!$B$2:$B$501),"")</f>
        <v/>
      </c>
      <c r="E15" s="4" t="str">
        <f ca="1">IFERROR(_xludf.XLOOKUP(D15,Projekty!$A$2:$A$501,Projekty!$B$2:$B$501),"")</f>
        <v/>
      </c>
      <c r="F15" s="4" t="str">
        <f ca="1">IFERROR(_xludf.XLOOKUP(C15,Milestones!$A$2:$A$501,Milestones!$C$2:$C$501),"")</f>
        <v/>
      </c>
      <c r="G15" s="4" t="str">
        <f ca="1">IFERROR(_xludf.XLOOKUP(C15,Milestones!$A$2:$A$501,Milestones!$F$2:$F$501),"")</f>
        <v/>
      </c>
      <c r="H15" s="4" t="str">
        <f ca="1">IFERROR(_xludf.XLOOKUP(C15,Milestones!$A$2:$A$501,Milestones!$M$2:$M$501),"")</f>
        <v/>
      </c>
      <c r="I15" s="4" t="str">
        <f t="shared" ca="1" si="0"/>
        <v/>
      </c>
      <c r="J15" s="4"/>
      <c r="K15" s="4" t="str">
        <f ca="1">IFERROR(_xludf.XLOOKUP(A15,Pracownicy!$A$2:$A$501,Pracownicy!$F$2:$F$501),"")</f>
        <v/>
      </c>
      <c r="L15" s="4"/>
      <c r="M15" s="4" t="str">
        <f t="shared" ca="1" si="1"/>
        <v/>
      </c>
      <c r="N15" s="4" t="str">
        <f t="shared" si="2"/>
        <v/>
      </c>
      <c r="O15" s="4" t="str">
        <f t="shared" ca="1" si="3"/>
        <v/>
      </c>
    </row>
    <row r="16" spans="1:15" x14ac:dyDescent="0.25">
      <c r="A16" s="4"/>
      <c r="B16" s="4" t="str">
        <f ca="1">IFERROR(_xludf.XLOOKUP(A16,Pracownicy!$A$2:$A$501,Pracownicy!$B$2:$B$501),"")</f>
        <v/>
      </c>
      <c r="C16" s="4"/>
      <c r="D16" s="4" t="str">
        <f ca="1">IFERROR(_xludf.XLOOKUP(C16,Milestones!$A$2:$A$501,Milestones!$B$2:$B$501),"")</f>
        <v/>
      </c>
      <c r="E16" s="4" t="str">
        <f ca="1">IFERROR(_xludf.XLOOKUP(D16,Projekty!$A$2:$A$501,Projekty!$B$2:$B$501),"")</f>
        <v/>
      </c>
      <c r="F16" s="4" t="str">
        <f ca="1">IFERROR(_xludf.XLOOKUP(C16,Milestones!$A$2:$A$501,Milestones!$C$2:$C$501),"")</f>
        <v/>
      </c>
      <c r="G16" s="4" t="str">
        <f ca="1">IFERROR(_xludf.XLOOKUP(C16,Milestones!$A$2:$A$501,Milestones!$F$2:$F$501),"")</f>
        <v/>
      </c>
      <c r="H16" s="4" t="str">
        <f ca="1">IFERROR(_xludf.XLOOKUP(C16,Milestones!$A$2:$A$501,Milestones!$M$2:$M$501),"")</f>
        <v/>
      </c>
      <c r="I16" s="4" t="str">
        <f t="shared" ca="1" si="0"/>
        <v/>
      </c>
      <c r="J16" s="4"/>
      <c r="K16" s="4" t="str">
        <f ca="1">IFERROR(_xludf.XLOOKUP(A16,Pracownicy!$A$2:$A$501,Pracownicy!$F$2:$F$501),"")</f>
        <v/>
      </c>
      <c r="L16" s="4"/>
      <c r="M16" s="4" t="str">
        <f t="shared" ca="1" si="1"/>
        <v/>
      </c>
      <c r="N16" s="4" t="str">
        <f t="shared" si="2"/>
        <v/>
      </c>
      <c r="O16" s="4" t="str">
        <f t="shared" ca="1" si="3"/>
        <v/>
      </c>
    </row>
    <row r="17" spans="1:15" x14ac:dyDescent="0.25">
      <c r="A17" s="4"/>
      <c r="B17" s="4" t="str">
        <f ca="1">IFERROR(_xludf.XLOOKUP(A17,Pracownicy!$A$2:$A$501,Pracownicy!$B$2:$B$501),"")</f>
        <v/>
      </c>
      <c r="C17" s="4"/>
      <c r="D17" s="4" t="str">
        <f ca="1">IFERROR(_xludf.XLOOKUP(C17,Milestones!$A$2:$A$501,Milestones!$B$2:$B$501),"")</f>
        <v/>
      </c>
      <c r="E17" s="4" t="str">
        <f ca="1">IFERROR(_xludf.XLOOKUP(D17,Projekty!$A$2:$A$501,Projekty!$B$2:$B$501),"")</f>
        <v/>
      </c>
      <c r="F17" s="4" t="str">
        <f ca="1">IFERROR(_xludf.XLOOKUP(C17,Milestones!$A$2:$A$501,Milestones!$C$2:$C$501),"")</f>
        <v/>
      </c>
      <c r="G17" s="4" t="str">
        <f ca="1">IFERROR(_xludf.XLOOKUP(C17,Milestones!$A$2:$A$501,Milestones!$F$2:$F$501),"")</f>
        <v/>
      </c>
      <c r="H17" s="4" t="str">
        <f ca="1">IFERROR(_xludf.XLOOKUP(C17,Milestones!$A$2:$A$501,Milestones!$M$2:$M$501),"")</f>
        <v/>
      </c>
      <c r="I17" s="4" t="str">
        <f t="shared" ca="1" si="0"/>
        <v/>
      </c>
      <c r="J17" s="4"/>
      <c r="K17" s="4" t="str">
        <f ca="1">IFERROR(_xludf.XLOOKUP(A17,Pracownicy!$A$2:$A$501,Pracownicy!$F$2:$F$501),"")</f>
        <v/>
      </c>
      <c r="L17" s="4"/>
      <c r="M17" s="4" t="str">
        <f t="shared" ca="1" si="1"/>
        <v/>
      </c>
      <c r="N17" s="4" t="str">
        <f t="shared" si="2"/>
        <v/>
      </c>
      <c r="O17" s="4" t="str">
        <f t="shared" ca="1" si="3"/>
        <v/>
      </c>
    </row>
    <row r="18" spans="1:15" x14ac:dyDescent="0.25">
      <c r="A18" s="4"/>
      <c r="B18" s="4" t="str">
        <f ca="1">IFERROR(_xludf.XLOOKUP(A18,Pracownicy!$A$2:$A$501,Pracownicy!$B$2:$B$501),"")</f>
        <v/>
      </c>
      <c r="C18" s="4"/>
      <c r="D18" s="4" t="str">
        <f ca="1">IFERROR(_xludf.XLOOKUP(C18,Milestones!$A$2:$A$501,Milestones!$B$2:$B$501),"")</f>
        <v/>
      </c>
      <c r="E18" s="4" t="str">
        <f ca="1">IFERROR(_xludf.XLOOKUP(D18,Projekty!$A$2:$A$501,Projekty!$B$2:$B$501),"")</f>
        <v/>
      </c>
      <c r="F18" s="4" t="str">
        <f ca="1">IFERROR(_xludf.XLOOKUP(C18,Milestones!$A$2:$A$501,Milestones!$C$2:$C$501),"")</f>
        <v/>
      </c>
      <c r="G18" s="4" t="str">
        <f ca="1">IFERROR(_xludf.XLOOKUP(C18,Milestones!$A$2:$A$501,Milestones!$F$2:$F$501),"")</f>
        <v/>
      </c>
      <c r="H18" s="4" t="str">
        <f ca="1">IFERROR(_xludf.XLOOKUP(C18,Milestones!$A$2:$A$501,Milestones!$M$2:$M$501),"")</f>
        <v/>
      </c>
      <c r="I18" s="4" t="str">
        <f t="shared" ca="1" si="0"/>
        <v/>
      </c>
      <c r="J18" s="4"/>
      <c r="K18" s="4" t="str">
        <f ca="1">IFERROR(_xludf.XLOOKUP(A18,Pracownicy!$A$2:$A$501,Pracownicy!$F$2:$F$501),"")</f>
        <v/>
      </c>
      <c r="L18" s="4"/>
      <c r="M18" s="4" t="str">
        <f t="shared" ca="1" si="1"/>
        <v/>
      </c>
      <c r="N18" s="4" t="str">
        <f t="shared" si="2"/>
        <v/>
      </c>
      <c r="O18" s="4" t="str">
        <f t="shared" ca="1" si="3"/>
        <v/>
      </c>
    </row>
    <row r="19" spans="1:15" x14ac:dyDescent="0.25">
      <c r="A19" s="4"/>
      <c r="B19" s="4" t="str">
        <f ca="1">IFERROR(_xludf.XLOOKUP(A19,Pracownicy!$A$2:$A$501,Pracownicy!$B$2:$B$501),"")</f>
        <v/>
      </c>
      <c r="C19" s="4"/>
      <c r="D19" s="4" t="str">
        <f ca="1">IFERROR(_xludf.XLOOKUP(C19,Milestones!$A$2:$A$501,Milestones!$B$2:$B$501),"")</f>
        <v/>
      </c>
      <c r="E19" s="4" t="str">
        <f ca="1">IFERROR(_xludf.XLOOKUP(D19,Projekty!$A$2:$A$501,Projekty!$B$2:$B$501),"")</f>
        <v/>
      </c>
      <c r="F19" s="4" t="str">
        <f ca="1">IFERROR(_xludf.XLOOKUP(C19,Milestones!$A$2:$A$501,Milestones!$C$2:$C$501),"")</f>
        <v/>
      </c>
      <c r="G19" s="4" t="str">
        <f ca="1">IFERROR(_xludf.XLOOKUP(C19,Milestones!$A$2:$A$501,Milestones!$F$2:$F$501),"")</f>
        <v/>
      </c>
      <c r="H19" s="4" t="str">
        <f ca="1">IFERROR(_xludf.XLOOKUP(C19,Milestones!$A$2:$A$501,Milestones!$M$2:$M$501),"")</f>
        <v/>
      </c>
      <c r="I19" s="4" t="str">
        <f t="shared" ca="1" si="0"/>
        <v/>
      </c>
      <c r="J19" s="4"/>
      <c r="K19" s="4" t="str">
        <f ca="1">IFERROR(_xludf.XLOOKUP(A19,Pracownicy!$A$2:$A$501,Pracownicy!$F$2:$F$501),"")</f>
        <v/>
      </c>
      <c r="L19" s="4"/>
      <c r="M19" s="4" t="str">
        <f t="shared" ca="1" si="1"/>
        <v/>
      </c>
      <c r="N19" s="4" t="str">
        <f t="shared" si="2"/>
        <v/>
      </c>
      <c r="O19" s="4" t="str">
        <f t="shared" ca="1" si="3"/>
        <v/>
      </c>
    </row>
    <row r="20" spans="1:15" x14ac:dyDescent="0.25">
      <c r="A20" s="4"/>
      <c r="B20" s="4" t="str">
        <f ca="1">IFERROR(_xludf.XLOOKUP(A20,Pracownicy!$A$2:$A$501,Pracownicy!$B$2:$B$501),"")</f>
        <v/>
      </c>
      <c r="C20" s="4"/>
      <c r="D20" s="4" t="str">
        <f ca="1">IFERROR(_xludf.XLOOKUP(C20,Milestones!$A$2:$A$501,Milestones!$B$2:$B$501),"")</f>
        <v/>
      </c>
      <c r="E20" s="4" t="str">
        <f ca="1">IFERROR(_xludf.XLOOKUP(D20,Projekty!$A$2:$A$501,Projekty!$B$2:$B$501),"")</f>
        <v/>
      </c>
      <c r="F20" s="4" t="str">
        <f ca="1">IFERROR(_xludf.XLOOKUP(C20,Milestones!$A$2:$A$501,Milestones!$C$2:$C$501),"")</f>
        <v/>
      </c>
      <c r="G20" s="4" t="str">
        <f ca="1">IFERROR(_xludf.XLOOKUP(C20,Milestones!$A$2:$A$501,Milestones!$F$2:$F$501),"")</f>
        <v/>
      </c>
      <c r="H20" s="4" t="str">
        <f ca="1">IFERROR(_xludf.XLOOKUP(C20,Milestones!$A$2:$A$501,Milestones!$M$2:$M$501),"")</f>
        <v/>
      </c>
      <c r="I20" s="4" t="str">
        <f t="shared" ca="1" si="0"/>
        <v/>
      </c>
      <c r="J20" s="4"/>
      <c r="K20" s="4" t="str">
        <f ca="1">IFERROR(_xludf.XLOOKUP(A20,Pracownicy!$A$2:$A$501,Pracownicy!$F$2:$F$501),"")</f>
        <v/>
      </c>
      <c r="L20" s="4"/>
      <c r="M20" s="4" t="str">
        <f t="shared" ca="1" si="1"/>
        <v/>
      </c>
      <c r="N20" s="4" t="str">
        <f t="shared" si="2"/>
        <v/>
      </c>
      <c r="O20" s="4" t="str">
        <f t="shared" ca="1" si="3"/>
        <v/>
      </c>
    </row>
    <row r="21" spans="1:15" x14ac:dyDescent="0.25">
      <c r="A21" s="4"/>
      <c r="B21" s="4" t="str">
        <f ca="1">IFERROR(_xludf.XLOOKUP(A21,Pracownicy!$A$2:$A$501,Pracownicy!$B$2:$B$501),"")</f>
        <v/>
      </c>
      <c r="C21" s="4"/>
      <c r="D21" s="4" t="str">
        <f ca="1">IFERROR(_xludf.XLOOKUP(C21,Milestones!$A$2:$A$501,Milestones!$B$2:$B$501),"")</f>
        <v/>
      </c>
      <c r="E21" s="4" t="str">
        <f ca="1">IFERROR(_xludf.XLOOKUP(D21,Projekty!$A$2:$A$501,Projekty!$B$2:$B$501),"")</f>
        <v/>
      </c>
      <c r="F21" s="4" t="str">
        <f ca="1">IFERROR(_xludf.XLOOKUP(C21,Milestones!$A$2:$A$501,Milestones!$C$2:$C$501),"")</f>
        <v/>
      </c>
      <c r="G21" s="4" t="str">
        <f ca="1">IFERROR(_xludf.XLOOKUP(C21,Milestones!$A$2:$A$501,Milestones!$F$2:$F$501),"")</f>
        <v/>
      </c>
      <c r="H21" s="4" t="str">
        <f ca="1">IFERROR(_xludf.XLOOKUP(C21,Milestones!$A$2:$A$501,Milestones!$M$2:$M$501),"")</f>
        <v/>
      </c>
      <c r="I21" s="4" t="str">
        <f t="shared" ca="1" si="0"/>
        <v/>
      </c>
      <c r="J21" s="4"/>
      <c r="K21" s="4" t="str">
        <f ca="1">IFERROR(_xludf.XLOOKUP(A21,Pracownicy!$A$2:$A$501,Pracownicy!$F$2:$F$501),"")</f>
        <v/>
      </c>
      <c r="L21" s="4"/>
      <c r="M21" s="4" t="str">
        <f t="shared" ca="1" si="1"/>
        <v/>
      </c>
      <c r="N21" s="4" t="str">
        <f t="shared" si="2"/>
        <v/>
      </c>
      <c r="O21" s="4" t="str">
        <f t="shared" ca="1" si="3"/>
        <v/>
      </c>
    </row>
    <row r="22" spans="1:15" x14ac:dyDescent="0.25">
      <c r="A22" s="4"/>
      <c r="B22" s="4" t="str">
        <f ca="1">IFERROR(_xludf.XLOOKUP(A22,Pracownicy!$A$2:$A$501,Pracownicy!$B$2:$B$501),"")</f>
        <v/>
      </c>
      <c r="C22" s="4"/>
      <c r="D22" s="4" t="str">
        <f ca="1">IFERROR(_xludf.XLOOKUP(C22,Milestones!$A$2:$A$501,Milestones!$B$2:$B$501),"")</f>
        <v/>
      </c>
      <c r="E22" s="4" t="str">
        <f ca="1">IFERROR(_xludf.XLOOKUP(D22,Projekty!$A$2:$A$501,Projekty!$B$2:$B$501),"")</f>
        <v/>
      </c>
      <c r="F22" s="4" t="str">
        <f ca="1">IFERROR(_xludf.XLOOKUP(C22,Milestones!$A$2:$A$501,Milestones!$C$2:$C$501),"")</f>
        <v/>
      </c>
      <c r="G22" s="4" t="str">
        <f ca="1">IFERROR(_xludf.XLOOKUP(C22,Milestones!$A$2:$A$501,Milestones!$F$2:$F$501),"")</f>
        <v/>
      </c>
      <c r="H22" s="4" t="str">
        <f ca="1">IFERROR(_xludf.XLOOKUP(C22,Milestones!$A$2:$A$501,Milestones!$M$2:$M$501),"")</f>
        <v/>
      </c>
      <c r="I22" s="4" t="str">
        <f t="shared" ca="1" si="0"/>
        <v/>
      </c>
      <c r="J22" s="4"/>
      <c r="K22" s="4" t="str">
        <f ca="1">IFERROR(_xludf.XLOOKUP(A22,Pracownicy!$A$2:$A$501,Pracownicy!$F$2:$F$501),"")</f>
        <v/>
      </c>
      <c r="L22" s="4"/>
      <c r="M22" s="4" t="str">
        <f t="shared" ca="1" si="1"/>
        <v/>
      </c>
      <c r="N22" s="4" t="str">
        <f t="shared" si="2"/>
        <v/>
      </c>
      <c r="O22" s="4" t="str">
        <f t="shared" ca="1" si="3"/>
        <v/>
      </c>
    </row>
    <row r="23" spans="1:15" x14ac:dyDescent="0.25">
      <c r="A23" s="4"/>
      <c r="B23" s="4" t="str">
        <f ca="1">IFERROR(_xludf.XLOOKUP(A23,Pracownicy!$A$2:$A$501,Pracownicy!$B$2:$B$501),"")</f>
        <v/>
      </c>
      <c r="C23" s="4"/>
      <c r="D23" s="4" t="str">
        <f ca="1">IFERROR(_xludf.XLOOKUP(C23,Milestones!$A$2:$A$501,Milestones!$B$2:$B$501),"")</f>
        <v/>
      </c>
      <c r="E23" s="4" t="str">
        <f ca="1">IFERROR(_xludf.XLOOKUP(D23,Projekty!$A$2:$A$501,Projekty!$B$2:$B$501),"")</f>
        <v/>
      </c>
      <c r="F23" s="4" t="str">
        <f ca="1">IFERROR(_xludf.XLOOKUP(C23,Milestones!$A$2:$A$501,Milestones!$C$2:$C$501),"")</f>
        <v/>
      </c>
      <c r="G23" s="4" t="str">
        <f ca="1">IFERROR(_xludf.XLOOKUP(C23,Milestones!$A$2:$A$501,Milestones!$F$2:$F$501),"")</f>
        <v/>
      </c>
      <c r="H23" s="4" t="str">
        <f ca="1">IFERROR(_xludf.XLOOKUP(C23,Milestones!$A$2:$A$501,Milestones!$M$2:$M$501),"")</f>
        <v/>
      </c>
      <c r="I23" s="4" t="str">
        <f t="shared" ca="1" si="0"/>
        <v/>
      </c>
      <c r="J23" s="4"/>
      <c r="K23" s="4" t="str">
        <f ca="1">IFERROR(_xludf.XLOOKUP(A23,Pracownicy!$A$2:$A$501,Pracownicy!$F$2:$F$501),"")</f>
        <v/>
      </c>
      <c r="L23" s="4"/>
      <c r="M23" s="4" t="str">
        <f t="shared" ca="1" si="1"/>
        <v/>
      </c>
      <c r="N23" s="4" t="str">
        <f t="shared" si="2"/>
        <v/>
      </c>
      <c r="O23" s="4" t="str">
        <f t="shared" ca="1" si="3"/>
        <v/>
      </c>
    </row>
    <row r="24" spans="1:15" x14ac:dyDescent="0.25">
      <c r="A24" s="4"/>
      <c r="B24" s="4" t="str">
        <f ca="1">IFERROR(_xludf.XLOOKUP(A24,Pracownicy!$A$2:$A$501,Pracownicy!$B$2:$B$501),"")</f>
        <v/>
      </c>
      <c r="C24" s="4"/>
      <c r="D24" s="4" t="str">
        <f ca="1">IFERROR(_xludf.XLOOKUP(C24,Milestones!$A$2:$A$501,Milestones!$B$2:$B$501),"")</f>
        <v/>
      </c>
      <c r="E24" s="4" t="str">
        <f ca="1">IFERROR(_xludf.XLOOKUP(D24,Projekty!$A$2:$A$501,Projekty!$B$2:$B$501),"")</f>
        <v/>
      </c>
      <c r="F24" s="4" t="str">
        <f ca="1">IFERROR(_xludf.XLOOKUP(C24,Milestones!$A$2:$A$501,Milestones!$C$2:$C$501),"")</f>
        <v/>
      </c>
      <c r="G24" s="4" t="str">
        <f ca="1">IFERROR(_xludf.XLOOKUP(C24,Milestones!$A$2:$A$501,Milestones!$F$2:$F$501),"")</f>
        <v/>
      </c>
      <c r="H24" s="4" t="str">
        <f ca="1">IFERROR(_xludf.XLOOKUP(C24,Milestones!$A$2:$A$501,Milestones!$M$2:$M$501),"")</f>
        <v/>
      </c>
      <c r="I24" s="4" t="str">
        <f t="shared" ca="1" si="0"/>
        <v/>
      </c>
      <c r="J24" s="4"/>
      <c r="K24" s="4" t="str">
        <f ca="1">IFERROR(_xludf.XLOOKUP(A24,Pracownicy!$A$2:$A$501,Pracownicy!$F$2:$F$501),"")</f>
        <v/>
      </c>
      <c r="L24" s="4"/>
      <c r="M24" s="4" t="str">
        <f t="shared" ca="1" si="1"/>
        <v/>
      </c>
      <c r="N24" s="4" t="str">
        <f t="shared" si="2"/>
        <v/>
      </c>
      <c r="O24" s="4" t="str">
        <f t="shared" ca="1" si="3"/>
        <v/>
      </c>
    </row>
    <row r="25" spans="1:15" x14ac:dyDescent="0.25">
      <c r="A25" s="4"/>
      <c r="B25" s="4" t="str">
        <f ca="1">IFERROR(_xludf.XLOOKUP(A25,Pracownicy!$A$2:$A$501,Pracownicy!$B$2:$B$501),"")</f>
        <v/>
      </c>
      <c r="C25" s="4"/>
      <c r="D25" s="4" t="str">
        <f ca="1">IFERROR(_xludf.XLOOKUP(C25,Milestones!$A$2:$A$501,Milestones!$B$2:$B$501),"")</f>
        <v/>
      </c>
      <c r="E25" s="4" t="str">
        <f ca="1">IFERROR(_xludf.XLOOKUP(D25,Projekty!$A$2:$A$501,Projekty!$B$2:$B$501),"")</f>
        <v/>
      </c>
      <c r="F25" s="4" t="str">
        <f ca="1">IFERROR(_xludf.XLOOKUP(C25,Milestones!$A$2:$A$501,Milestones!$C$2:$C$501),"")</f>
        <v/>
      </c>
      <c r="G25" s="4" t="str">
        <f ca="1">IFERROR(_xludf.XLOOKUP(C25,Milestones!$A$2:$A$501,Milestones!$F$2:$F$501),"")</f>
        <v/>
      </c>
      <c r="H25" s="4" t="str">
        <f ca="1">IFERROR(_xludf.XLOOKUP(C25,Milestones!$A$2:$A$501,Milestones!$M$2:$M$501),"")</f>
        <v/>
      </c>
      <c r="I25" s="4" t="str">
        <f t="shared" ca="1" si="0"/>
        <v/>
      </c>
      <c r="J25" s="4"/>
      <c r="K25" s="4" t="str">
        <f ca="1">IFERROR(_xludf.XLOOKUP(A25,Pracownicy!$A$2:$A$501,Pracownicy!$F$2:$F$501),"")</f>
        <v/>
      </c>
      <c r="L25" s="4"/>
      <c r="M25" s="4" t="str">
        <f t="shared" ca="1" si="1"/>
        <v/>
      </c>
      <c r="N25" s="4" t="str">
        <f t="shared" si="2"/>
        <v/>
      </c>
      <c r="O25" s="4" t="str">
        <f t="shared" ca="1" si="3"/>
        <v/>
      </c>
    </row>
    <row r="26" spans="1:15" x14ac:dyDescent="0.25">
      <c r="A26" s="4"/>
      <c r="B26" s="4" t="str">
        <f ca="1">IFERROR(_xludf.XLOOKUP(A26,Pracownicy!$A$2:$A$501,Pracownicy!$B$2:$B$501),"")</f>
        <v/>
      </c>
      <c r="C26" s="4"/>
      <c r="D26" s="4" t="str">
        <f ca="1">IFERROR(_xludf.XLOOKUP(C26,Milestones!$A$2:$A$501,Milestones!$B$2:$B$501),"")</f>
        <v/>
      </c>
      <c r="E26" s="4" t="str">
        <f ca="1">IFERROR(_xludf.XLOOKUP(D26,Projekty!$A$2:$A$501,Projekty!$B$2:$B$501),"")</f>
        <v/>
      </c>
      <c r="F26" s="4" t="str">
        <f ca="1">IFERROR(_xludf.XLOOKUP(C26,Milestones!$A$2:$A$501,Milestones!$C$2:$C$501),"")</f>
        <v/>
      </c>
      <c r="G26" s="4" t="str">
        <f ca="1">IFERROR(_xludf.XLOOKUP(C26,Milestones!$A$2:$A$501,Milestones!$F$2:$F$501),"")</f>
        <v/>
      </c>
      <c r="H26" s="4" t="str">
        <f ca="1">IFERROR(_xludf.XLOOKUP(C26,Milestones!$A$2:$A$501,Milestones!$M$2:$M$501),"")</f>
        <v/>
      </c>
      <c r="I26" s="4" t="str">
        <f t="shared" ca="1" si="0"/>
        <v/>
      </c>
      <c r="J26" s="4"/>
      <c r="K26" s="4" t="str">
        <f ca="1">IFERROR(_xludf.XLOOKUP(A26,Pracownicy!$A$2:$A$501,Pracownicy!$F$2:$F$501),"")</f>
        <v/>
      </c>
      <c r="L26" s="4"/>
      <c r="M26" s="4" t="str">
        <f t="shared" ca="1" si="1"/>
        <v/>
      </c>
      <c r="N26" s="4" t="str">
        <f t="shared" si="2"/>
        <v/>
      </c>
      <c r="O26" s="4" t="str">
        <f t="shared" ca="1" si="3"/>
        <v/>
      </c>
    </row>
    <row r="27" spans="1:15" x14ac:dyDescent="0.25">
      <c r="A27" s="4"/>
      <c r="B27" s="4" t="str">
        <f ca="1">IFERROR(_xludf.XLOOKUP(A27,Pracownicy!$A$2:$A$501,Pracownicy!$B$2:$B$501),"")</f>
        <v/>
      </c>
      <c r="C27" s="4"/>
      <c r="D27" s="4" t="str">
        <f ca="1">IFERROR(_xludf.XLOOKUP(C27,Milestones!$A$2:$A$501,Milestones!$B$2:$B$501),"")</f>
        <v/>
      </c>
      <c r="E27" s="4" t="str">
        <f ca="1">IFERROR(_xludf.XLOOKUP(D27,Projekty!$A$2:$A$501,Projekty!$B$2:$B$501),"")</f>
        <v/>
      </c>
      <c r="F27" s="4" t="str">
        <f ca="1">IFERROR(_xludf.XLOOKUP(C27,Milestones!$A$2:$A$501,Milestones!$C$2:$C$501),"")</f>
        <v/>
      </c>
      <c r="G27" s="4" t="str">
        <f ca="1">IFERROR(_xludf.XLOOKUP(C27,Milestones!$A$2:$A$501,Milestones!$F$2:$F$501),"")</f>
        <v/>
      </c>
      <c r="H27" s="4" t="str">
        <f ca="1">IFERROR(_xludf.XLOOKUP(C27,Milestones!$A$2:$A$501,Milestones!$M$2:$M$501),"")</f>
        <v/>
      </c>
      <c r="I27" s="4" t="str">
        <f t="shared" ca="1" si="0"/>
        <v/>
      </c>
      <c r="J27" s="4"/>
      <c r="K27" s="4" t="str">
        <f ca="1">IFERROR(_xludf.XLOOKUP(A27,Pracownicy!$A$2:$A$501,Pracownicy!$F$2:$F$501),"")</f>
        <v/>
      </c>
      <c r="L27" s="4"/>
      <c r="M27" s="4" t="str">
        <f t="shared" ca="1" si="1"/>
        <v/>
      </c>
      <c r="N27" s="4" t="str">
        <f t="shared" si="2"/>
        <v/>
      </c>
      <c r="O27" s="4" t="str">
        <f t="shared" ca="1" si="3"/>
        <v/>
      </c>
    </row>
    <row r="28" spans="1:15" x14ac:dyDescent="0.25">
      <c r="A28" s="4"/>
      <c r="B28" s="4" t="str">
        <f ca="1">IFERROR(_xludf.XLOOKUP(A28,Pracownicy!$A$2:$A$501,Pracownicy!$B$2:$B$501),"")</f>
        <v/>
      </c>
      <c r="C28" s="4"/>
      <c r="D28" s="4" t="str">
        <f ca="1">IFERROR(_xludf.XLOOKUP(C28,Milestones!$A$2:$A$501,Milestones!$B$2:$B$501),"")</f>
        <v/>
      </c>
      <c r="E28" s="4" t="str">
        <f ca="1">IFERROR(_xludf.XLOOKUP(D28,Projekty!$A$2:$A$501,Projekty!$B$2:$B$501),"")</f>
        <v/>
      </c>
      <c r="F28" s="4" t="str">
        <f ca="1">IFERROR(_xludf.XLOOKUP(C28,Milestones!$A$2:$A$501,Milestones!$C$2:$C$501),"")</f>
        <v/>
      </c>
      <c r="G28" s="4" t="str">
        <f ca="1">IFERROR(_xludf.XLOOKUP(C28,Milestones!$A$2:$A$501,Milestones!$F$2:$F$501),"")</f>
        <v/>
      </c>
      <c r="H28" s="4" t="str">
        <f ca="1">IFERROR(_xludf.XLOOKUP(C28,Milestones!$A$2:$A$501,Milestones!$M$2:$M$501),"")</f>
        <v/>
      </c>
      <c r="I28" s="4" t="str">
        <f t="shared" ca="1" si="0"/>
        <v/>
      </c>
      <c r="J28" s="4"/>
      <c r="K28" s="4" t="str">
        <f ca="1">IFERROR(_xludf.XLOOKUP(A28,Pracownicy!$A$2:$A$501,Pracownicy!$F$2:$F$501),"")</f>
        <v/>
      </c>
      <c r="L28" s="4"/>
      <c r="M28" s="4" t="str">
        <f t="shared" ca="1" si="1"/>
        <v/>
      </c>
      <c r="N28" s="4" t="str">
        <f t="shared" si="2"/>
        <v/>
      </c>
      <c r="O28" s="4" t="str">
        <f t="shared" ca="1" si="3"/>
        <v/>
      </c>
    </row>
    <row r="29" spans="1:15" x14ac:dyDescent="0.25">
      <c r="A29" s="4"/>
      <c r="B29" s="4" t="str">
        <f ca="1">IFERROR(_xludf.XLOOKUP(A29,Pracownicy!$A$2:$A$501,Pracownicy!$B$2:$B$501),"")</f>
        <v/>
      </c>
      <c r="C29" s="4"/>
      <c r="D29" s="4" t="str">
        <f ca="1">IFERROR(_xludf.XLOOKUP(C29,Milestones!$A$2:$A$501,Milestones!$B$2:$B$501),"")</f>
        <v/>
      </c>
      <c r="E29" s="4" t="str">
        <f ca="1">IFERROR(_xludf.XLOOKUP(D29,Projekty!$A$2:$A$501,Projekty!$B$2:$B$501),"")</f>
        <v/>
      </c>
      <c r="F29" s="4" t="str">
        <f ca="1">IFERROR(_xludf.XLOOKUP(C29,Milestones!$A$2:$A$501,Milestones!$C$2:$C$501),"")</f>
        <v/>
      </c>
      <c r="G29" s="4" t="str">
        <f ca="1">IFERROR(_xludf.XLOOKUP(C29,Milestones!$A$2:$A$501,Milestones!$F$2:$F$501),"")</f>
        <v/>
      </c>
      <c r="H29" s="4" t="str">
        <f ca="1">IFERROR(_xludf.XLOOKUP(C29,Milestones!$A$2:$A$501,Milestones!$M$2:$M$501),"")</f>
        <v/>
      </c>
      <c r="I29" s="4" t="str">
        <f t="shared" ca="1" si="0"/>
        <v/>
      </c>
      <c r="J29" s="4"/>
      <c r="K29" s="4" t="str">
        <f ca="1">IFERROR(_xludf.XLOOKUP(A29,Pracownicy!$A$2:$A$501,Pracownicy!$F$2:$F$501),"")</f>
        <v/>
      </c>
      <c r="L29" s="4"/>
      <c r="M29" s="4" t="str">
        <f t="shared" ca="1" si="1"/>
        <v/>
      </c>
      <c r="N29" s="4" t="str">
        <f t="shared" si="2"/>
        <v/>
      </c>
      <c r="O29" s="4" t="str">
        <f t="shared" ca="1" si="3"/>
        <v/>
      </c>
    </row>
    <row r="30" spans="1:15" x14ac:dyDescent="0.25">
      <c r="A30" s="4"/>
      <c r="B30" s="4" t="str">
        <f ca="1">IFERROR(_xludf.XLOOKUP(A30,Pracownicy!$A$2:$A$501,Pracownicy!$B$2:$B$501),"")</f>
        <v/>
      </c>
      <c r="C30" s="4"/>
      <c r="D30" s="4" t="str">
        <f ca="1">IFERROR(_xludf.XLOOKUP(C30,Milestones!$A$2:$A$501,Milestones!$B$2:$B$501),"")</f>
        <v/>
      </c>
      <c r="E30" s="4" t="str">
        <f ca="1">IFERROR(_xludf.XLOOKUP(D30,Projekty!$A$2:$A$501,Projekty!$B$2:$B$501),"")</f>
        <v/>
      </c>
      <c r="F30" s="4" t="str">
        <f ca="1">IFERROR(_xludf.XLOOKUP(C30,Milestones!$A$2:$A$501,Milestones!$C$2:$C$501),"")</f>
        <v/>
      </c>
      <c r="G30" s="4" t="str">
        <f ca="1">IFERROR(_xludf.XLOOKUP(C30,Milestones!$A$2:$A$501,Milestones!$F$2:$F$501),"")</f>
        <v/>
      </c>
      <c r="H30" s="4" t="str">
        <f ca="1">IFERROR(_xludf.XLOOKUP(C30,Milestones!$A$2:$A$501,Milestones!$M$2:$M$501),"")</f>
        <v/>
      </c>
      <c r="I30" s="4" t="str">
        <f t="shared" ca="1" si="0"/>
        <v/>
      </c>
      <c r="J30" s="4"/>
      <c r="K30" s="4" t="str">
        <f ca="1">IFERROR(_xludf.XLOOKUP(A30,Pracownicy!$A$2:$A$501,Pracownicy!$F$2:$F$501),"")</f>
        <v/>
      </c>
      <c r="L30" s="4"/>
      <c r="M30" s="4" t="str">
        <f t="shared" ca="1" si="1"/>
        <v/>
      </c>
      <c r="N30" s="4" t="str">
        <f t="shared" si="2"/>
        <v/>
      </c>
      <c r="O30" s="4" t="str">
        <f t="shared" ca="1" si="3"/>
        <v/>
      </c>
    </row>
    <row r="31" spans="1:15" x14ac:dyDescent="0.25">
      <c r="A31" s="4"/>
      <c r="B31" s="4" t="str">
        <f ca="1">IFERROR(_xludf.XLOOKUP(A31,Pracownicy!$A$2:$A$501,Pracownicy!$B$2:$B$501),"")</f>
        <v/>
      </c>
      <c r="C31" s="4"/>
      <c r="D31" s="4" t="str">
        <f ca="1">IFERROR(_xludf.XLOOKUP(C31,Milestones!$A$2:$A$501,Milestones!$B$2:$B$501),"")</f>
        <v/>
      </c>
      <c r="E31" s="4" t="str">
        <f ca="1">IFERROR(_xludf.XLOOKUP(D31,Projekty!$A$2:$A$501,Projekty!$B$2:$B$501),"")</f>
        <v/>
      </c>
      <c r="F31" s="4" t="str">
        <f ca="1">IFERROR(_xludf.XLOOKUP(C31,Milestones!$A$2:$A$501,Milestones!$C$2:$C$501),"")</f>
        <v/>
      </c>
      <c r="G31" s="4" t="str">
        <f ca="1">IFERROR(_xludf.XLOOKUP(C31,Milestones!$A$2:$A$501,Milestones!$F$2:$F$501),"")</f>
        <v/>
      </c>
      <c r="H31" s="4" t="str">
        <f ca="1">IFERROR(_xludf.XLOOKUP(C31,Milestones!$A$2:$A$501,Milestones!$M$2:$M$501),"")</f>
        <v/>
      </c>
      <c r="I31" s="4" t="str">
        <f t="shared" ca="1" si="0"/>
        <v/>
      </c>
      <c r="J31" s="4"/>
      <c r="K31" s="4" t="str">
        <f ca="1">IFERROR(_xludf.XLOOKUP(A31,Pracownicy!$A$2:$A$501,Pracownicy!$F$2:$F$501),"")</f>
        <v/>
      </c>
      <c r="L31" s="4"/>
      <c r="M31" s="4" t="str">
        <f t="shared" ca="1" si="1"/>
        <v/>
      </c>
      <c r="N31" s="4" t="str">
        <f t="shared" si="2"/>
        <v/>
      </c>
      <c r="O31" s="4" t="str">
        <f t="shared" ca="1" si="3"/>
        <v/>
      </c>
    </row>
    <row r="32" spans="1:15" x14ac:dyDescent="0.25">
      <c r="A32" s="4"/>
      <c r="B32" s="4" t="str">
        <f ca="1">IFERROR(_xludf.XLOOKUP(A32,Pracownicy!$A$2:$A$501,Pracownicy!$B$2:$B$501),"")</f>
        <v/>
      </c>
      <c r="C32" s="4"/>
      <c r="D32" s="4" t="str">
        <f ca="1">IFERROR(_xludf.XLOOKUP(C32,Milestones!$A$2:$A$501,Milestones!$B$2:$B$501),"")</f>
        <v/>
      </c>
      <c r="E32" s="4" t="str">
        <f ca="1">IFERROR(_xludf.XLOOKUP(D32,Projekty!$A$2:$A$501,Projekty!$B$2:$B$501),"")</f>
        <v/>
      </c>
      <c r="F32" s="4" t="str">
        <f ca="1">IFERROR(_xludf.XLOOKUP(C32,Milestones!$A$2:$A$501,Milestones!$C$2:$C$501),"")</f>
        <v/>
      </c>
      <c r="G32" s="4" t="str">
        <f ca="1">IFERROR(_xludf.XLOOKUP(C32,Milestones!$A$2:$A$501,Milestones!$F$2:$F$501),"")</f>
        <v/>
      </c>
      <c r="H32" s="4" t="str">
        <f ca="1">IFERROR(_xludf.XLOOKUP(C32,Milestones!$A$2:$A$501,Milestones!$M$2:$M$501),"")</f>
        <v/>
      </c>
      <c r="I32" s="4" t="str">
        <f t="shared" ca="1" si="0"/>
        <v/>
      </c>
      <c r="J32" s="4"/>
      <c r="K32" s="4" t="str">
        <f ca="1">IFERROR(_xludf.XLOOKUP(A32,Pracownicy!$A$2:$A$501,Pracownicy!$F$2:$F$501),"")</f>
        <v/>
      </c>
      <c r="L32" s="4"/>
      <c r="M32" s="4" t="str">
        <f t="shared" ca="1" si="1"/>
        <v/>
      </c>
      <c r="N32" s="4" t="str">
        <f t="shared" si="2"/>
        <v/>
      </c>
      <c r="O32" s="4" t="str">
        <f t="shared" ca="1" si="3"/>
        <v/>
      </c>
    </row>
    <row r="33" spans="1:15" x14ac:dyDescent="0.25">
      <c r="A33" s="4"/>
      <c r="B33" s="4" t="str">
        <f ca="1">IFERROR(_xludf.XLOOKUP(A33,Pracownicy!$A$2:$A$501,Pracownicy!$B$2:$B$501),"")</f>
        <v/>
      </c>
      <c r="C33" s="4"/>
      <c r="D33" s="4" t="str">
        <f ca="1">IFERROR(_xludf.XLOOKUP(C33,Milestones!$A$2:$A$501,Milestones!$B$2:$B$501),"")</f>
        <v/>
      </c>
      <c r="E33" s="4" t="str">
        <f ca="1">IFERROR(_xludf.XLOOKUP(D33,Projekty!$A$2:$A$501,Projekty!$B$2:$B$501),"")</f>
        <v/>
      </c>
      <c r="F33" s="4" t="str">
        <f ca="1">IFERROR(_xludf.XLOOKUP(C33,Milestones!$A$2:$A$501,Milestones!$C$2:$C$501),"")</f>
        <v/>
      </c>
      <c r="G33" s="4" t="str">
        <f ca="1">IFERROR(_xludf.XLOOKUP(C33,Milestones!$A$2:$A$501,Milestones!$F$2:$F$501),"")</f>
        <v/>
      </c>
      <c r="H33" s="4" t="str">
        <f ca="1">IFERROR(_xludf.XLOOKUP(C33,Milestones!$A$2:$A$501,Milestones!$M$2:$M$501),"")</f>
        <v/>
      </c>
      <c r="I33" s="4" t="str">
        <f t="shared" ca="1" si="0"/>
        <v/>
      </c>
      <c r="J33" s="4"/>
      <c r="K33" s="4" t="str">
        <f ca="1">IFERROR(_xludf.XLOOKUP(A33,Pracownicy!$A$2:$A$501,Pracownicy!$F$2:$F$501),"")</f>
        <v/>
      </c>
      <c r="L33" s="4"/>
      <c r="M33" s="4" t="str">
        <f t="shared" ca="1" si="1"/>
        <v/>
      </c>
      <c r="N33" s="4" t="str">
        <f t="shared" si="2"/>
        <v/>
      </c>
      <c r="O33" s="4" t="str">
        <f t="shared" ca="1" si="3"/>
        <v/>
      </c>
    </row>
    <row r="34" spans="1:15" x14ac:dyDescent="0.25">
      <c r="A34" s="4"/>
      <c r="B34" s="4" t="str">
        <f ca="1">IFERROR(_xludf.XLOOKUP(A34,Pracownicy!$A$2:$A$501,Pracownicy!$B$2:$B$501),"")</f>
        <v/>
      </c>
      <c r="C34" s="4"/>
      <c r="D34" s="4" t="str">
        <f ca="1">IFERROR(_xludf.XLOOKUP(C34,Milestones!$A$2:$A$501,Milestones!$B$2:$B$501),"")</f>
        <v/>
      </c>
      <c r="E34" s="4" t="str">
        <f ca="1">IFERROR(_xludf.XLOOKUP(D34,Projekty!$A$2:$A$501,Projekty!$B$2:$B$501),"")</f>
        <v/>
      </c>
      <c r="F34" s="4" t="str">
        <f ca="1">IFERROR(_xludf.XLOOKUP(C34,Milestones!$A$2:$A$501,Milestones!$C$2:$C$501),"")</f>
        <v/>
      </c>
      <c r="G34" s="4" t="str">
        <f ca="1">IFERROR(_xludf.XLOOKUP(C34,Milestones!$A$2:$A$501,Milestones!$F$2:$F$501),"")</f>
        <v/>
      </c>
      <c r="H34" s="4" t="str">
        <f ca="1">IFERROR(_xludf.XLOOKUP(C34,Milestones!$A$2:$A$501,Milestones!$M$2:$M$501),"")</f>
        <v/>
      </c>
      <c r="I34" s="4" t="str">
        <f t="shared" ca="1" si="0"/>
        <v/>
      </c>
      <c r="J34" s="4"/>
      <c r="K34" s="4" t="str">
        <f ca="1">IFERROR(_xludf.XLOOKUP(A34,Pracownicy!$A$2:$A$501,Pracownicy!$F$2:$F$501),"")</f>
        <v/>
      </c>
      <c r="L34" s="4"/>
      <c r="M34" s="4" t="str">
        <f t="shared" ca="1" si="1"/>
        <v/>
      </c>
      <c r="N34" s="4" t="str">
        <f t="shared" si="2"/>
        <v/>
      </c>
      <c r="O34" s="4" t="str">
        <f t="shared" ca="1" si="3"/>
        <v/>
      </c>
    </row>
    <row r="35" spans="1:15" x14ac:dyDescent="0.25">
      <c r="A35" s="4"/>
      <c r="B35" s="4" t="str">
        <f ca="1">IFERROR(_xludf.XLOOKUP(A35,Pracownicy!$A$2:$A$501,Pracownicy!$B$2:$B$501),"")</f>
        <v/>
      </c>
      <c r="C35" s="4"/>
      <c r="D35" s="4" t="str">
        <f ca="1">IFERROR(_xludf.XLOOKUP(C35,Milestones!$A$2:$A$501,Milestones!$B$2:$B$501),"")</f>
        <v/>
      </c>
      <c r="E35" s="4" t="str">
        <f ca="1">IFERROR(_xludf.XLOOKUP(D35,Projekty!$A$2:$A$501,Projekty!$B$2:$B$501),"")</f>
        <v/>
      </c>
      <c r="F35" s="4" t="str">
        <f ca="1">IFERROR(_xludf.XLOOKUP(C35,Milestones!$A$2:$A$501,Milestones!$C$2:$C$501),"")</f>
        <v/>
      </c>
      <c r="G35" s="4" t="str">
        <f ca="1">IFERROR(_xludf.XLOOKUP(C35,Milestones!$A$2:$A$501,Milestones!$F$2:$F$501),"")</f>
        <v/>
      </c>
      <c r="H35" s="4" t="str">
        <f ca="1">IFERROR(_xludf.XLOOKUP(C35,Milestones!$A$2:$A$501,Milestones!$M$2:$M$501),"")</f>
        <v/>
      </c>
      <c r="I35" s="4" t="str">
        <f t="shared" ca="1" si="0"/>
        <v/>
      </c>
      <c r="J35" s="4"/>
      <c r="K35" s="4" t="str">
        <f ca="1">IFERROR(_xludf.XLOOKUP(A35,Pracownicy!$A$2:$A$501,Pracownicy!$F$2:$F$501),"")</f>
        <v/>
      </c>
      <c r="L35" s="4"/>
      <c r="M35" s="4" t="str">
        <f t="shared" ca="1" si="1"/>
        <v/>
      </c>
      <c r="N35" s="4" t="str">
        <f t="shared" si="2"/>
        <v/>
      </c>
      <c r="O35" s="4" t="str">
        <f t="shared" ca="1" si="3"/>
        <v/>
      </c>
    </row>
    <row r="36" spans="1:15" x14ac:dyDescent="0.25">
      <c r="A36" s="4"/>
      <c r="B36" s="4" t="str">
        <f ca="1">IFERROR(_xludf.XLOOKUP(A36,Pracownicy!$A$2:$A$501,Pracownicy!$B$2:$B$501),"")</f>
        <v/>
      </c>
      <c r="C36" s="4"/>
      <c r="D36" s="4" t="str">
        <f ca="1">IFERROR(_xludf.XLOOKUP(C36,Milestones!$A$2:$A$501,Milestones!$B$2:$B$501),"")</f>
        <v/>
      </c>
      <c r="E36" s="4" t="str">
        <f ca="1">IFERROR(_xludf.XLOOKUP(D36,Projekty!$A$2:$A$501,Projekty!$B$2:$B$501),"")</f>
        <v/>
      </c>
      <c r="F36" s="4" t="str">
        <f ca="1">IFERROR(_xludf.XLOOKUP(C36,Milestones!$A$2:$A$501,Milestones!$C$2:$C$501),"")</f>
        <v/>
      </c>
      <c r="G36" s="4" t="str">
        <f ca="1">IFERROR(_xludf.XLOOKUP(C36,Milestones!$A$2:$A$501,Milestones!$F$2:$F$501),"")</f>
        <v/>
      </c>
      <c r="H36" s="4" t="str">
        <f ca="1">IFERROR(_xludf.XLOOKUP(C36,Milestones!$A$2:$A$501,Milestones!$M$2:$M$501),"")</f>
        <v/>
      </c>
      <c r="I36" s="4" t="str">
        <f t="shared" ca="1" si="0"/>
        <v/>
      </c>
      <c r="J36" s="4"/>
      <c r="K36" s="4" t="str">
        <f ca="1">IFERROR(_xludf.XLOOKUP(A36,Pracownicy!$A$2:$A$501,Pracownicy!$F$2:$F$501),"")</f>
        <v/>
      </c>
      <c r="L36" s="4"/>
      <c r="M36" s="4" t="str">
        <f t="shared" ca="1" si="1"/>
        <v/>
      </c>
      <c r="N36" s="4" t="str">
        <f t="shared" si="2"/>
        <v/>
      </c>
      <c r="O36" s="4" t="str">
        <f t="shared" ca="1" si="3"/>
        <v/>
      </c>
    </row>
    <row r="37" spans="1:15" x14ac:dyDescent="0.25">
      <c r="A37" s="4"/>
      <c r="B37" s="4" t="str">
        <f ca="1">IFERROR(_xludf.XLOOKUP(A37,Pracownicy!$A$2:$A$501,Pracownicy!$B$2:$B$501),"")</f>
        <v/>
      </c>
      <c r="C37" s="4"/>
      <c r="D37" s="4" t="str">
        <f ca="1">IFERROR(_xludf.XLOOKUP(C37,Milestones!$A$2:$A$501,Milestones!$B$2:$B$501),"")</f>
        <v/>
      </c>
      <c r="E37" s="4" t="str">
        <f ca="1">IFERROR(_xludf.XLOOKUP(D37,Projekty!$A$2:$A$501,Projekty!$B$2:$B$501),"")</f>
        <v/>
      </c>
      <c r="F37" s="4" t="str">
        <f ca="1">IFERROR(_xludf.XLOOKUP(C37,Milestones!$A$2:$A$501,Milestones!$C$2:$C$501),"")</f>
        <v/>
      </c>
      <c r="G37" s="4" t="str">
        <f ca="1">IFERROR(_xludf.XLOOKUP(C37,Milestones!$A$2:$A$501,Milestones!$F$2:$F$501),"")</f>
        <v/>
      </c>
      <c r="H37" s="4" t="str">
        <f ca="1">IFERROR(_xludf.XLOOKUP(C37,Milestones!$A$2:$A$501,Milestones!$M$2:$M$501),"")</f>
        <v/>
      </c>
      <c r="I37" s="4" t="str">
        <f t="shared" ca="1" si="0"/>
        <v/>
      </c>
      <c r="J37" s="4"/>
      <c r="K37" s="4" t="str">
        <f ca="1">IFERROR(_xludf.XLOOKUP(A37,Pracownicy!$A$2:$A$501,Pracownicy!$F$2:$F$501),"")</f>
        <v/>
      </c>
      <c r="L37" s="4"/>
      <c r="M37" s="4" t="str">
        <f t="shared" ca="1" si="1"/>
        <v/>
      </c>
      <c r="N37" s="4" t="str">
        <f t="shared" si="2"/>
        <v/>
      </c>
      <c r="O37" s="4" t="str">
        <f t="shared" ca="1" si="3"/>
        <v/>
      </c>
    </row>
    <row r="38" spans="1:15" x14ac:dyDescent="0.25">
      <c r="A38" s="4"/>
      <c r="B38" s="4" t="str">
        <f ca="1">IFERROR(_xludf.XLOOKUP(A38,Pracownicy!$A$2:$A$501,Pracownicy!$B$2:$B$501),"")</f>
        <v/>
      </c>
      <c r="C38" s="4"/>
      <c r="D38" s="4" t="str">
        <f ca="1">IFERROR(_xludf.XLOOKUP(C38,Milestones!$A$2:$A$501,Milestones!$B$2:$B$501),"")</f>
        <v/>
      </c>
      <c r="E38" s="4" t="str">
        <f ca="1">IFERROR(_xludf.XLOOKUP(D38,Projekty!$A$2:$A$501,Projekty!$B$2:$B$501),"")</f>
        <v/>
      </c>
      <c r="F38" s="4" t="str">
        <f ca="1">IFERROR(_xludf.XLOOKUP(C38,Milestones!$A$2:$A$501,Milestones!$C$2:$C$501),"")</f>
        <v/>
      </c>
      <c r="G38" s="4" t="str">
        <f ca="1">IFERROR(_xludf.XLOOKUP(C38,Milestones!$A$2:$A$501,Milestones!$F$2:$F$501),"")</f>
        <v/>
      </c>
      <c r="H38" s="4" t="str">
        <f ca="1">IFERROR(_xludf.XLOOKUP(C38,Milestones!$A$2:$A$501,Milestones!$M$2:$M$501),"")</f>
        <v/>
      </c>
      <c r="I38" s="4" t="str">
        <f t="shared" ca="1" si="0"/>
        <v/>
      </c>
      <c r="J38" s="4"/>
      <c r="K38" s="4" t="str">
        <f ca="1">IFERROR(_xludf.XLOOKUP(A38,Pracownicy!$A$2:$A$501,Pracownicy!$F$2:$F$501),"")</f>
        <v/>
      </c>
      <c r="L38" s="4"/>
      <c r="M38" s="4" t="str">
        <f t="shared" ca="1" si="1"/>
        <v/>
      </c>
      <c r="N38" s="4" t="str">
        <f t="shared" si="2"/>
        <v/>
      </c>
      <c r="O38" s="4" t="str">
        <f t="shared" ca="1" si="3"/>
        <v/>
      </c>
    </row>
    <row r="39" spans="1:15" x14ac:dyDescent="0.25">
      <c r="A39" s="4"/>
      <c r="B39" s="4" t="str">
        <f ca="1">IFERROR(_xludf.XLOOKUP(A39,Pracownicy!$A$2:$A$501,Pracownicy!$B$2:$B$501),"")</f>
        <v/>
      </c>
      <c r="C39" s="4"/>
      <c r="D39" s="4" t="str">
        <f ca="1">IFERROR(_xludf.XLOOKUP(C39,Milestones!$A$2:$A$501,Milestones!$B$2:$B$501),"")</f>
        <v/>
      </c>
      <c r="E39" s="4" t="str">
        <f ca="1">IFERROR(_xludf.XLOOKUP(D39,Projekty!$A$2:$A$501,Projekty!$B$2:$B$501),"")</f>
        <v/>
      </c>
      <c r="F39" s="4" t="str">
        <f ca="1">IFERROR(_xludf.XLOOKUP(C39,Milestones!$A$2:$A$501,Milestones!$C$2:$C$501),"")</f>
        <v/>
      </c>
      <c r="G39" s="4" t="str">
        <f ca="1">IFERROR(_xludf.XLOOKUP(C39,Milestones!$A$2:$A$501,Milestones!$F$2:$F$501),"")</f>
        <v/>
      </c>
      <c r="H39" s="4" t="str">
        <f ca="1">IFERROR(_xludf.XLOOKUP(C39,Milestones!$A$2:$A$501,Milestones!$M$2:$M$501),"")</f>
        <v/>
      </c>
      <c r="I39" s="4" t="str">
        <f t="shared" ca="1" si="0"/>
        <v/>
      </c>
      <c r="J39" s="4"/>
      <c r="K39" s="4" t="str">
        <f ca="1">IFERROR(_xludf.XLOOKUP(A39,Pracownicy!$A$2:$A$501,Pracownicy!$F$2:$F$501),"")</f>
        <v/>
      </c>
      <c r="L39" s="4"/>
      <c r="M39" s="4" t="str">
        <f t="shared" ca="1" si="1"/>
        <v/>
      </c>
      <c r="N39" s="4" t="str">
        <f t="shared" si="2"/>
        <v/>
      </c>
      <c r="O39" s="4" t="str">
        <f t="shared" ca="1" si="3"/>
        <v/>
      </c>
    </row>
    <row r="40" spans="1:15" x14ac:dyDescent="0.25">
      <c r="A40" s="4"/>
      <c r="B40" s="4" t="str">
        <f ca="1">IFERROR(_xludf.XLOOKUP(A40,Pracownicy!$A$2:$A$501,Pracownicy!$B$2:$B$501),"")</f>
        <v/>
      </c>
      <c r="C40" s="4"/>
      <c r="D40" s="4" t="str">
        <f ca="1">IFERROR(_xludf.XLOOKUP(C40,Milestones!$A$2:$A$501,Milestones!$B$2:$B$501),"")</f>
        <v/>
      </c>
      <c r="E40" s="4" t="str">
        <f ca="1">IFERROR(_xludf.XLOOKUP(D40,Projekty!$A$2:$A$501,Projekty!$B$2:$B$501),"")</f>
        <v/>
      </c>
      <c r="F40" s="4" t="str">
        <f ca="1">IFERROR(_xludf.XLOOKUP(C40,Milestones!$A$2:$A$501,Milestones!$C$2:$C$501),"")</f>
        <v/>
      </c>
      <c r="G40" s="4" t="str">
        <f ca="1">IFERROR(_xludf.XLOOKUP(C40,Milestones!$A$2:$A$501,Milestones!$F$2:$F$501),"")</f>
        <v/>
      </c>
      <c r="H40" s="4" t="str">
        <f ca="1">IFERROR(_xludf.XLOOKUP(C40,Milestones!$A$2:$A$501,Milestones!$M$2:$M$501),"")</f>
        <v/>
      </c>
      <c r="I40" s="4" t="str">
        <f t="shared" ca="1" si="0"/>
        <v/>
      </c>
      <c r="J40" s="4"/>
      <c r="K40" s="4" t="str">
        <f ca="1">IFERROR(_xludf.XLOOKUP(A40,Pracownicy!$A$2:$A$501,Pracownicy!$F$2:$F$501),"")</f>
        <v/>
      </c>
      <c r="L40" s="4"/>
      <c r="M40" s="4" t="str">
        <f t="shared" ca="1" si="1"/>
        <v/>
      </c>
      <c r="N40" s="4" t="str">
        <f t="shared" si="2"/>
        <v/>
      </c>
      <c r="O40" s="4" t="str">
        <f t="shared" ca="1" si="3"/>
        <v/>
      </c>
    </row>
    <row r="41" spans="1:15" x14ac:dyDescent="0.25">
      <c r="A41" s="4"/>
      <c r="B41" s="4" t="str">
        <f ca="1">IFERROR(_xludf.XLOOKUP(A41,Pracownicy!$A$2:$A$501,Pracownicy!$B$2:$B$501),"")</f>
        <v/>
      </c>
      <c r="C41" s="4"/>
      <c r="D41" s="4" t="str">
        <f ca="1">IFERROR(_xludf.XLOOKUP(C41,Milestones!$A$2:$A$501,Milestones!$B$2:$B$501),"")</f>
        <v/>
      </c>
      <c r="E41" s="4" t="str">
        <f ca="1">IFERROR(_xludf.XLOOKUP(D41,Projekty!$A$2:$A$501,Projekty!$B$2:$B$501),"")</f>
        <v/>
      </c>
      <c r="F41" s="4" t="str">
        <f ca="1">IFERROR(_xludf.XLOOKUP(C41,Milestones!$A$2:$A$501,Milestones!$C$2:$C$501),"")</f>
        <v/>
      </c>
      <c r="G41" s="4" t="str">
        <f ca="1">IFERROR(_xludf.XLOOKUP(C41,Milestones!$A$2:$A$501,Milestones!$F$2:$F$501),"")</f>
        <v/>
      </c>
      <c r="H41" s="4" t="str">
        <f ca="1">IFERROR(_xludf.XLOOKUP(C41,Milestones!$A$2:$A$501,Milestones!$M$2:$M$501),"")</f>
        <v/>
      </c>
      <c r="I41" s="4" t="str">
        <f t="shared" ca="1" si="0"/>
        <v/>
      </c>
      <c r="J41" s="4"/>
      <c r="K41" s="4" t="str">
        <f ca="1">IFERROR(_xludf.XLOOKUP(A41,Pracownicy!$A$2:$A$501,Pracownicy!$F$2:$F$501),"")</f>
        <v/>
      </c>
      <c r="L41" s="4"/>
      <c r="M41" s="4" t="str">
        <f t="shared" ca="1" si="1"/>
        <v/>
      </c>
      <c r="N41" s="4" t="str">
        <f t="shared" si="2"/>
        <v/>
      </c>
      <c r="O41" s="4" t="str">
        <f t="shared" ca="1" si="3"/>
        <v/>
      </c>
    </row>
    <row r="42" spans="1:15" x14ac:dyDescent="0.25">
      <c r="A42" s="4"/>
      <c r="B42" s="4" t="str">
        <f ca="1">IFERROR(_xludf.XLOOKUP(A42,Pracownicy!$A$2:$A$501,Pracownicy!$B$2:$B$501),"")</f>
        <v/>
      </c>
      <c r="C42" s="4"/>
      <c r="D42" s="4" t="str">
        <f ca="1">IFERROR(_xludf.XLOOKUP(C42,Milestones!$A$2:$A$501,Milestones!$B$2:$B$501),"")</f>
        <v/>
      </c>
      <c r="E42" s="4" t="str">
        <f ca="1">IFERROR(_xludf.XLOOKUP(D42,Projekty!$A$2:$A$501,Projekty!$B$2:$B$501),"")</f>
        <v/>
      </c>
      <c r="F42" s="4" t="str">
        <f ca="1">IFERROR(_xludf.XLOOKUP(C42,Milestones!$A$2:$A$501,Milestones!$C$2:$C$501),"")</f>
        <v/>
      </c>
      <c r="G42" s="4" t="str">
        <f ca="1">IFERROR(_xludf.XLOOKUP(C42,Milestones!$A$2:$A$501,Milestones!$F$2:$F$501),"")</f>
        <v/>
      </c>
      <c r="H42" s="4" t="str">
        <f ca="1">IFERROR(_xludf.XLOOKUP(C42,Milestones!$A$2:$A$501,Milestones!$M$2:$M$501),"")</f>
        <v/>
      </c>
      <c r="I42" s="4" t="str">
        <f t="shared" ca="1" si="0"/>
        <v/>
      </c>
      <c r="J42" s="4"/>
      <c r="K42" s="4" t="str">
        <f ca="1">IFERROR(_xludf.XLOOKUP(A42,Pracownicy!$A$2:$A$501,Pracownicy!$F$2:$F$501),"")</f>
        <v/>
      </c>
      <c r="L42" s="4"/>
      <c r="M42" s="4" t="str">
        <f t="shared" ca="1" si="1"/>
        <v/>
      </c>
      <c r="N42" s="4" t="str">
        <f t="shared" si="2"/>
        <v/>
      </c>
      <c r="O42" s="4" t="str">
        <f t="shared" ca="1" si="3"/>
        <v/>
      </c>
    </row>
    <row r="43" spans="1:15" x14ac:dyDescent="0.25">
      <c r="A43" s="4"/>
      <c r="B43" s="4" t="str">
        <f ca="1">IFERROR(_xludf.XLOOKUP(A43,Pracownicy!$A$2:$A$501,Pracownicy!$B$2:$B$501),"")</f>
        <v/>
      </c>
      <c r="C43" s="4"/>
      <c r="D43" s="4" t="str">
        <f ca="1">IFERROR(_xludf.XLOOKUP(C43,Milestones!$A$2:$A$501,Milestones!$B$2:$B$501),"")</f>
        <v/>
      </c>
      <c r="E43" s="4" t="str">
        <f ca="1">IFERROR(_xludf.XLOOKUP(D43,Projekty!$A$2:$A$501,Projekty!$B$2:$B$501),"")</f>
        <v/>
      </c>
      <c r="F43" s="4" t="str">
        <f ca="1">IFERROR(_xludf.XLOOKUP(C43,Milestones!$A$2:$A$501,Milestones!$C$2:$C$501),"")</f>
        <v/>
      </c>
      <c r="G43" s="4" t="str">
        <f ca="1">IFERROR(_xludf.XLOOKUP(C43,Milestones!$A$2:$A$501,Milestones!$F$2:$F$501),"")</f>
        <v/>
      </c>
      <c r="H43" s="4" t="str">
        <f ca="1">IFERROR(_xludf.XLOOKUP(C43,Milestones!$A$2:$A$501,Milestones!$M$2:$M$501),"")</f>
        <v/>
      </c>
      <c r="I43" s="4" t="str">
        <f t="shared" ca="1" si="0"/>
        <v/>
      </c>
      <c r="J43" s="4"/>
      <c r="K43" s="4" t="str">
        <f ca="1">IFERROR(_xludf.XLOOKUP(A43,Pracownicy!$A$2:$A$501,Pracownicy!$F$2:$F$501),"")</f>
        <v/>
      </c>
      <c r="L43" s="4"/>
      <c r="M43" s="4" t="str">
        <f t="shared" ca="1" si="1"/>
        <v/>
      </c>
      <c r="N43" s="4" t="str">
        <f t="shared" si="2"/>
        <v/>
      </c>
      <c r="O43" s="4" t="str">
        <f t="shared" ca="1" si="3"/>
        <v/>
      </c>
    </row>
    <row r="44" spans="1:15" x14ac:dyDescent="0.25">
      <c r="A44" s="4"/>
      <c r="B44" s="4" t="str">
        <f ca="1">IFERROR(_xludf.XLOOKUP(A44,Pracownicy!$A$2:$A$501,Pracownicy!$B$2:$B$501),"")</f>
        <v/>
      </c>
      <c r="C44" s="4"/>
      <c r="D44" s="4" t="str">
        <f ca="1">IFERROR(_xludf.XLOOKUP(C44,Milestones!$A$2:$A$501,Milestones!$B$2:$B$501),"")</f>
        <v/>
      </c>
      <c r="E44" s="4" t="str">
        <f ca="1">IFERROR(_xludf.XLOOKUP(D44,Projekty!$A$2:$A$501,Projekty!$B$2:$B$501),"")</f>
        <v/>
      </c>
      <c r="F44" s="4" t="str">
        <f ca="1">IFERROR(_xludf.XLOOKUP(C44,Milestones!$A$2:$A$501,Milestones!$C$2:$C$501),"")</f>
        <v/>
      </c>
      <c r="G44" s="4" t="str">
        <f ca="1">IFERROR(_xludf.XLOOKUP(C44,Milestones!$A$2:$A$501,Milestones!$F$2:$F$501),"")</f>
        <v/>
      </c>
      <c r="H44" s="4" t="str">
        <f ca="1">IFERROR(_xludf.XLOOKUP(C44,Milestones!$A$2:$A$501,Milestones!$M$2:$M$501),"")</f>
        <v/>
      </c>
      <c r="I44" s="4" t="str">
        <f t="shared" ca="1" si="0"/>
        <v/>
      </c>
      <c r="J44" s="4"/>
      <c r="K44" s="4" t="str">
        <f ca="1">IFERROR(_xludf.XLOOKUP(A44,Pracownicy!$A$2:$A$501,Pracownicy!$F$2:$F$501),"")</f>
        <v/>
      </c>
      <c r="L44" s="4"/>
      <c r="M44" s="4" t="str">
        <f t="shared" ca="1" si="1"/>
        <v/>
      </c>
      <c r="N44" s="4" t="str">
        <f t="shared" si="2"/>
        <v/>
      </c>
      <c r="O44" s="4" t="str">
        <f t="shared" ca="1" si="3"/>
        <v/>
      </c>
    </row>
    <row r="45" spans="1:15" x14ac:dyDescent="0.25">
      <c r="A45" s="4"/>
      <c r="B45" s="4" t="str">
        <f ca="1">IFERROR(_xludf.XLOOKUP(A45,Pracownicy!$A$2:$A$501,Pracownicy!$B$2:$B$501),"")</f>
        <v/>
      </c>
      <c r="C45" s="4"/>
      <c r="D45" s="4" t="str">
        <f ca="1">IFERROR(_xludf.XLOOKUP(C45,Milestones!$A$2:$A$501,Milestones!$B$2:$B$501),"")</f>
        <v/>
      </c>
      <c r="E45" s="4" t="str">
        <f ca="1">IFERROR(_xludf.XLOOKUP(D45,Projekty!$A$2:$A$501,Projekty!$B$2:$B$501),"")</f>
        <v/>
      </c>
      <c r="F45" s="4" t="str">
        <f ca="1">IFERROR(_xludf.XLOOKUP(C45,Milestones!$A$2:$A$501,Milestones!$C$2:$C$501),"")</f>
        <v/>
      </c>
      <c r="G45" s="4" t="str">
        <f ca="1">IFERROR(_xludf.XLOOKUP(C45,Milestones!$A$2:$A$501,Milestones!$F$2:$F$501),"")</f>
        <v/>
      </c>
      <c r="H45" s="4" t="str">
        <f ca="1">IFERROR(_xludf.XLOOKUP(C45,Milestones!$A$2:$A$501,Milestones!$M$2:$M$501),"")</f>
        <v/>
      </c>
      <c r="I45" s="4" t="str">
        <f t="shared" ca="1" si="0"/>
        <v/>
      </c>
      <c r="J45" s="4"/>
      <c r="K45" s="4" t="str">
        <f ca="1">IFERROR(_xludf.XLOOKUP(A45,Pracownicy!$A$2:$A$501,Pracownicy!$F$2:$F$501),"")</f>
        <v/>
      </c>
      <c r="L45" s="4"/>
      <c r="M45" s="4" t="str">
        <f t="shared" ca="1" si="1"/>
        <v/>
      </c>
      <c r="N45" s="4" t="str">
        <f t="shared" si="2"/>
        <v/>
      </c>
      <c r="O45" s="4" t="str">
        <f t="shared" ca="1" si="3"/>
        <v/>
      </c>
    </row>
    <row r="46" spans="1:15" x14ac:dyDescent="0.25">
      <c r="A46" s="4"/>
      <c r="B46" s="4" t="str">
        <f ca="1">IFERROR(_xludf.XLOOKUP(A46,Pracownicy!$A$2:$A$501,Pracownicy!$B$2:$B$501),"")</f>
        <v/>
      </c>
      <c r="C46" s="4"/>
      <c r="D46" s="4" t="str">
        <f ca="1">IFERROR(_xludf.XLOOKUP(C46,Milestones!$A$2:$A$501,Milestones!$B$2:$B$501),"")</f>
        <v/>
      </c>
      <c r="E46" s="4" t="str">
        <f ca="1">IFERROR(_xludf.XLOOKUP(D46,Projekty!$A$2:$A$501,Projekty!$B$2:$B$501),"")</f>
        <v/>
      </c>
      <c r="F46" s="4" t="str">
        <f ca="1">IFERROR(_xludf.XLOOKUP(C46,Milestones!$A$2:$A$501,Milestones!$C$2:$C$501),"")</f>
        <v/>
      </c>
      <c r="G46" s="4" t="str">
        <f ca="1">IFERROR(_xludf.XLOOKUP(C46,Milestones!$A$2:$A$501,Milestones!$F$2:$F$501),"")</f>
        <v/>
      </c>
      <c r="H46" s="4" t="str">
        <f ca="1">IFERROR(_xludf.XLOOKUP(C46,Milestones!$A$2:$A$501,Milestones!$M$2:$M$501),"")</f>
        <v/>
      </c>
      <c r="I46" s="4" t="str">
        <f t="shared" ca="1" si="0"/>
        <v/>
      </c>
      <c r="J46" s="4"/>
      <c r="K46" s="4" t="str">
        <f ca="1">IFERROR(_xludf.XLOOKUP(A46,Pracownicy!$A$2:$A$501,Pracownicy!$F$2:$F$501),"")</f>
        <v/>
      </c>
      <c r="L46" s="4"/>
      <c r="M46" s="4" t="str">
        <f t="shared" ca="1" si="1"/>
        <v/>
      </c>
      <c r="N46" s="4" t="str">
        <f t="shared" si="2"/>
        <v/>
      </c>
      <c r="O46" s="4" t="str">
        <f t="shared" ca="1" si="3"/>
        <v/>
      </c>
    </row>
    <row r="47" spans="1:15" x14ac:dyDescent="0.25">
      <c r="A47" s="4"/>
      <c r="B47" s="4" t="str">
        <f ca="1">IFERROR(_xludf.XLOOKUP(A47,Pracownicy!$A$2:$A$501,Pracownicy!$B$2:$B$501),"")</f>
        <v/>
      </c>
      <c r="C47" s="4"/>
      <c r="D47" s="4" t="str">
        <f ca="1">IFERROR(_xludf.XLOOKUP(C47,Milestones!$A$2:$A$501,Milestones!$B$2:$B$501),"")</f>
        <v/>
      </c>
      <c r="E47" s="4" t="str">
        <f ca="1">IFERROR(_xludf.XLOOKUP(D47,Projekty!$A$2:$A$501,Projekty!$B$2:$B$501),"")</f>
        <v/>
      </c>
      <c r="F47" s="4" t="str">
        <f ca="1">IFERROR(_xludf.XLOOKUP(C47,Milestones!$A$2:$A$501,Milestones!$C$2:$C$501),"")</f>
        <v/>
      </c>
      <c r="G47" s="4" t="str">
        <f ca="1">IFERROR(_xludf.XLOOKUP(C47,Milestones!$A$2:$A$501,Milestones!$F$2:$F$501),"")</f>
        <v/>
      </c>
      <c r="H47" s="4" t="str">
        <f ca="1">IFERROR(_xludf.XLOOKUP(C47,Milestones!$A$2:$A$501,Milestones!$M$2:$M$501),"")</f>
        <v/>
      </c>
      <c r="I47" s="4" t="str">
        <f t="shared" ca="1" si="0"/>
        <v/>
      </c>
      <c r="J47" s="4"/>
      <c r="K47" s="4" t="str">
        <f ca="1">IFERROR(_xludf.XLOOKUP(A47,Pracownicy!$A$2:$A$501,Pracownicy!$F$2:$F$501),"")</f>
        <v/>
      </c>
      <c r="L47" s="4"/>
      <c r="M47" s="4" t="str">
        <f t="shared" ca="1" si="1"/>
        <v/>
      </c>
      <c r="N47" s="4" t="str">
        <f t="shared" si="2"/>
        <v/>
      </c>
      <c r="O47" s="4" t="str">
        <f t="shared" ca="1" si="3"/>
        <v/>
      </c>
    </row>
    <row r="48" spans="1:15" x14ac:dyDescent="0.25">
      <c r="A48" s="4"/>
      <c r="B48" s="4" t="str">
        <f ca="1">IFERROR(_xludf.XLOOKUP(A48,Pracownicy!$A$2:$A$501,Pracownicy!$B$2:$B$501),"")</f>
        <v/>
      </c>
      <c r="C48" s="4"/>
      <c r="D48" s="4" t="str">
        <f ca="1">IFERROR(_xludf.XLOOKUP(C48,Milestones!$A$2:$A$501,Milestones!$B$2:$B$501),"")</f>
        <v/>
      </c>
      <c r="E48" s="4" t="str">
        <f ca="1">IFERROR(_xludf.XLOOKUP(D48,Projekty!$A$2:$A$501,Projekty!$B$2:$B$501),"")</f>
        <v/>
      </c>
      <c r="F48" s="4" t="str">
        <f ca="1">IFERROR(_xludf.XLOOKUP(C48,Milestones!$A$2:$A$501,Milestones!$C$2:$C$501),"")</f>
        <v/>
      </c>
      <c r="G48" s="4" t="str">
        <f ca="1">IFERROR(_xludf.XLOOKUP(C48,Milestones!$A$2:$A$501,Milestones!$F$2:$F$501),"")</f>
        <v/>
      </c>
      <c r="H48" s="4" t="str">
        <f ca="1">IFERROR(_xludf.XLOOKUP(C48,Milestones!$A$2:$A$501,Milestones!$M$2:$M$501),"")</f>
        <v/>
      </c>
      <c r="I48" s="4" t="str">
        <f t="shared" ca="1" si="0"/>
        <v/>
      </c>
      <c r="J48" s="4"/>
      <c r="K48" s="4" t="str">
        <f ca="1">IFERROR(_xludf.XLOOKUP(A48,Pracownicy!$A$2:$A$501,Pracownicy!$F$2:$F$501),"")</f>
        <v/>
      </c>
      <c r="L48" s="4"/>
      <c r="M48" s="4" t="str">
        <f t="shared" ca="1" si="1"/>
        <v/>
      </c>
      <c r="N48" s="4" t="str">
        <f t="shared" si="2"/>
        <v/>
      </c>
      <c r="O48" s="4" t="str">
        <f t="shared" ca="1" si="3"/>
        <v/>
      </c>
    </row>
    <row r="49" spans="1:15" x14ac:dyDescent="0.25">
      <c r="A49" s="4"/>
      <c r="B49" s="4" t="str">
        <f ca="1">IFERROR(_xludf.XLOOKUP(A49,Pracownicy!$A$2:$A$501,Pracownicy!$B$2:$B$501),"")</f>
        <v/>
      </c>
      <c r="C49" s="4"/>
      <c r="D49" s="4" t="str">
        <f ca="1">IFERROR(_xludf.XLOOKUP(C49,Milestones!$A$2:$A$501,Milestones!$B$2:$B$501),"")</f>
        <v/>
      </c>
      <c r="E49" s="4" t="str">
        <f ca="1">IFERROR(_xludf.XLOOKUP(D49,Projekty!$A$2:$A$501,Projekty!$B$2:$B$501),"")</f>
        <v/>
      </c>
      <c r="F49" s="4" t="str">
        <f ca="1">IFERROR(_xludf.XLOOKUP(C49,Milestones!$A$2:$A$501,Milestones!$C$2:$C$501),"")</f>
        <v/>
      </c>
      <c r="G49" s="4" t="str">
        <f ca="1">IFERROR(_xludf.XLOOKUP(C49,Milestones!$A$2:$A$501,Milestones!$F$2:$F$501),"")</f>
        <v/>
      </c>
      <c r="H49" s="4" t="str">
        <f ca="1">IFERROR(_xludf.XLOOKUP(C49,Milestones!$A$2:$A$501,Milestones!$M$2:$M$501),"")</f>
        <v/>
      </c>
      <c r="I49" s="4" t="str">
        <f t="shared" ca="1" si="0"/>
        <v/>
      </c>
      <c r="J49" s="4"/>
      <c r="K49" s="4" t="str">
        <f ca="1">IFERROR(_xludf.XLOOKUP(A49,Pracownicy!$A$2:$A$501,Pracownicy!$F$2:$F$501),"")</f>
        <v/>
      </c>
      <c r="L49" s="4"/>
      <c r="M49" s="4" t="str">
        <f t="shared" ca="1" si="1"/>
        <v/>
      </c>
      <c r="N49" s="4" t="str">
        <f t="shared" si="2"/>
        <v/>
      </c>
      <c r="O49" s="4" t="str">
        <f t="shared" ca="1" si="3"/>
        <v/>
      </c>
    </row>
    <row r="50" spans="1:15" x14ac:dyDescent="0.25">
      <c r="A50" s="4"/>
      <c r="B50" s="4" t="str">
        <f ca="1">IFERROR(_xludf.XLOOKUP(A50,Pracownicy!$A$2:$A$501,Pracownicy!$B$2:$B$501),"")</f>
        <v/>
      </c>
      <c r="C50" s="4"/>
      <c r="D50" s="4" t="str">
        <f ca="1">IFERROR(_xludf.XLOOKUP(C50,Milestones!$A$2:$A$501,Milestones!$B$2:$B$501),"")</f>
        <v/>
      </c>
      <c r="E50" s="4" t="str">
        <f ca="1">IFERROR(_xludf.XLOOKUP(D50,Projekty!$A$2:$A$501,Projekty!$B$2:$B$501),"")</f>
        <v/>
      </c>
      <c r="F50" s="4" t="str">
        <f ca="1">IFERROR(_xludf.XLOOKUP(C50,Milestones!$A$2:$A$501,Milestones!$C$2:$C$501),"")</f>
        <v/>
      </c>
      <c r="G50" s="4" t="str">
        <f ca="1">IFERROR(_xludf.XLOOKUP(C50,Milestones!$A$2:$A$501,Milestones!$F$2:$F$501),"")</f>
        <v/>
      </c>
      <c r="H50" s="4" t="str">
        <f ca="1">IFERROR(_xludf.XLOOKUP(C50,Milestones!$A$2:$A$501,Milestones!$M$2:$M$501),"")</f>
        <v/>
      </c>
      <c r="I50" s="4" t="str">
        <f t="shared" ca="1" si="0"/>
        <v/>
      </c>
      <c r="J50" s="4"/>
      <c r="K50" s="4" t="str">
        <f ca="1">IFERROR(_xludf.XLOOKUP(A50,Pracownicy!$A$2:$A$501,Pracownicy!$F$2:$F$501),"")</f>
        <v/>
      </c>
      <c r="L50" s="4"/>
      <c r="M50" s="4" t="str">
        <f t="shared" ca="1" si="1"/>
        <v/>
      </c>
      <c r="N50" s="4" t="str">
        <f t="shared" si="2"/>
        <v/>
      </c>
      <c r="O50" s="4" t="str">
        <f t="shared" ca="1" si="3"/>
        <v/>
      </c>
    </row>
    <row r="51" spans="1:15" x14ac:dyDescent="0.25">
      <c r="A51" s="4"/>
      <c r="B51" s="4" t="str">
        <f ca="1">IFERROR(_xludf.XLOOKUP(A51,Pracownicy!$A$2:$A$501,Pracownicy!$B$2:$B$501),"")</f>
        <v/>
      </c>
      <c r="C51" s="4"/>
      <c r="D51" s="4" t="str">
        <f ca="1">IFERROR(_xludf.XLOOKUP(C51,Milestones!$A$2:$A$501,Milestones!$B$2:$B$501),"")</f>
        <v/>
      </c>
      <c r="E51" s="4" t="str">
        <f ca="1">IFERROR(_xludf.XLOOKUP(D51,Projekty!$A$2:$A$501,Projekty!$B$2:$B$501),"")</f>
        <v/>
      </c>
      <c r="F51" s="4" t="str">
        <f ca="1">IFERROR(_xludf.XLOOKUP(C51,Milestones!$A$2:$A$501,Milestones!$C$2:$C$501),"")</f>
        <v/>
      </c>
      <c r="G51" s="4" t="str">
        <f ca="1">IFERROR(_xludf.XLOOKUP(C51,Milestones!$A$2:$A$501,Milestones!$F$2:$F$501),"")</f>
        <v/>
      </c>
      <c r="H51" s="4" t="str">
        <f ca="1">IFERROR(_xludf.XLOOKUP(C51,Milestones!$A$2:$A$501,Milestones!$M$2:$M$501),"")</f>
        <v/>
      </c>
      <c r="I51" s="4" t="str">
        <f t="shared" ca="1" si="0"/>
        <v/>
      </c>
      <c r="J51" s="4"/>
      <c r="K51" s="4" t="str">
        <f ca="1">IFERROR(_xludf.XLOOKUP(A51,Pracownicy!$A$2:$A$501,Pracownicy!$F$2:$F$501),"")</f>
        <v/>
      </c>
      <c r="L51" s="4"/>
      <c r="M51" s="4" t="str">
        <f t="shared" ca="1" si="1"/>
        <v/>
      </c>
      <c r="N51" s="4" t="str">
        <f t="shared" si="2"/>
        <v/>
      </c>
      <c r="O51" s="4" t="str">
        <f t="shared" ca="1" si="3"/>
        <v/>
      </c>
    </row>
    <row r="52" spans="1:15" x14ac:dyDescent="0.25">
      <c r="A52" s="4"/>
      <c r="B52" s="4" t="str">
        <f ca="1">IFERROR(_xludf.XLOOKUP(A52,Pracownicy!$A$2:$A$501,Pracownicy!$B$2:$B$501),"")</f>
        <v/>
      </c>
      <c r="C52" s="4"/>
      <c r="D52" s="4" t="str">
        <f ca="1">IFERROR(_xludf.XLOOKUP(C52,Milestones!$A$2:$A$501,Milestones!$B$2:$B$501),"")</f>
        <v/>
      </c>
      <c r="E52" s="4" t="str">
        <f ca="1">IFERROR(_xludf.XLOOKUP(D52,Projekty!$A$2:$A$501,Projekty!$B$2:$B$501),"")</f>
        <v/>
      </c>
      <c r="F52" s="4" t="str">
        <f ca="1">IFERROR(_xludf.XLOOKUP(C52,Milestones!$A$2:$A$501,Milestones!$C$2:$C$501),"")</f>
        <v/>
      </c>
      <c r="G52" s="4" t="str">
        <f ca="1">IFERROR(_xludf.XLOOKUP(C52,Milestones!$A$2:$A$501,Milestones!$F$2:$F$501),"")</f>
        <v/>
      </c>
      <c r="H52" s="4" t="str">
        <f ca="1">IFERROR(_xludf.XLOOKUP(C52,Milestones!$A$2:$A$501,Milestones!$M$2:$M$501),"")</f>
        <v/>
      </c>
      <c r="I52" s="4" t="str">
        <f t="shared" ca="1" si="0"/>
        <v/>
      </c>
      <c r="J52" s="4"/>
      <c r="K52" s="4" t="str">
        <f ca="1">IFERROR(_xludf.XLOOKUP(A52,Pracownicy!$A$2:$A$501,Pracownicy!$F$2:$F$501),"")</f>
        <v/>
      </c>
      <c r="L52" s="4"/>
      <c r="M52" s="4" t="str">
        <f t="shared" ca="1" si="1"/>
        <v/>
      </c>
      <c r="N52" s="4" t="str">
        <f t="shared" si="2"/>
        <v/>
      </c>
      <c r="O52" s="4" t="str">
        <f t="shared" ca="1" si="3"/>
        <v/>
      </c>
    </row>
    <row r="53" spans="1:15" x14ac:dyDescent="0.25">
      <c r="A53" s="4"/>
      <c r="B53" s="4" t="str">
        <f ca="1">IFERROR(_xludf.XLOOKUP(A53,Pracownicy!$A$2:$A$501,Pracownicy!$B$2:$B$501),"")</f>
        <v/>
      </c>
      <c r="C53" s="4"/>
      <c r="D53" s="4" t="str">
        <f ca="1">IFERROR(_xludf.XLOOKUP(C53,Milestones!$A$2:$A$501,Milestones!$B$2:$B$501),"")</f>
        <v/>
      </c>
      <c r="E53" s="4" t="str">
        <f ca="1">IFERROR(_xludf.XLOOKUP(D53,Projekty!$A$2:$A$501,Projekty!$B$2:$B$501),"")</f>
        <v/>
      </c>
      <c r="F53" s="4" t="str">
        <f ca="1">IFERROR(_xludf.XLOOKUP(C53,Milestones!$A$2:$A$501,Milestones!$C$2:$C$501),"")</f>
        <v/>
      </c>
      <c r="G53" s="4" t="str">
        <f ca="1">IFERROR(_xludf.XLOOKUP(C53,Milestones!$A$2:$A$501,Milestones!$F$2:$F$501),"")</f>
        <v/>
      </c>
      <c r="H53" s="4" t="str">
        <f ca="1">IFERROR(_xludf.XLOOKUP(C53,Milestones!$A$2:$A$501,Milestones!$M$2:$M$501),"")</f>
        <v/>
      </c>
      <c r="I53" s="4" t="str">
        <f t="shared" ca="1" si="0"/>
        <v/>
      </c>
      <c r="J53" s="4"/>
      <c r="K53" s="4" t="str">
        <f ca="1">IFERROR(_xludf.XLOOKUP(A53,Pracownicy!$A$2:$A$501,Pracownicy!$F$2:$F$501),"")</f>
        <v/>
      </c>
      <c r="L53" s="4"/>
      <c r="M53" s="4" t="str">
        <f t="shared" ca="1" si="1"/>
        <v/>
      </c>
      <c r="N53" s="4" t="str">
        <f t="shared" si="2"/>
        <v/>
      </c>
      <c r="O53" s="4" t="str">
        <f t="shared" ca="1" si="3"/>
        <v/>
      </c>
    </row>
    <row r="54" spans="1:15" x14ac:dyDescent="0.25">
      <c r="A54" s="4"/>
      <c r="B54" s="4" t="str">
        <f ca="1">IFERROR(_xludf.XLOOKUP(A54,Pracownicy!$A$2:$A$501,Pracownicy!$B$2:$B$501),"")</f>
        <v/>
      </c>
      <c r="C54" s="4"/>
      <c r="D54" s="4" t="str">
        <f ca="1">IFERROR(_xludf.XLOOKUP(C54,Milestones!$A$2:$A$501,Milestones!$B$2:$B$501),"")</f>
        <v/>
      </c>
      <c r="E54" s="4" t="str">
        <f ca="1">IFERROR(_xludf.XLOOKUP(D54,Projekty!$A$2:$A$501,Projekty!$B$2:$B$501),"")</f>
        <v/>
      </c>
      <c r="F54" s="4" t="str">
        <f ca="1">IFERROR(_xludf.XLOOKUP(C54,Milestones!$A$2:$A$501,Milestones!$C$2:$C$501),"")</f>
        <v/>
      </c>
      <c r="G54" s="4" t="str">
        <f ca="1">IFERROR(_xludf.XLOOKUP(C54,Milestones!$A$2:$A$501,Milestones!$F$2:$F$501),"")</f>
        <v/>
      </c>
      <c r="H54" s="4" t="str">
        <f ca="1">IFERROR(_xludf.XLOOKUP(C54,Milestones!$A$2:$A$501,Milestones!$M$2:$M$501),"")</f>
        <v/>
      </c>
      <c r="I54" s="4" t="str">
        <f t="shared" ca="1" si="0"/>
        <v/>
      </c>
      <c r="J54" s="4"/>
      <c r="K54" s="4" t="str">
        <f ca="1">IFERROR(_xludf.XLOOKUP(A54,Pracownicy!$A$2:$A$501,Pracownicy!$F$2:$F$501),"")</f>
        <v/>
      </c>
      <c r="L54" s="4"/>
      <c r="M54" s="4" t="str">
        <f t="shared" ca="1" si="1"/>
        <v/>
      </c>
      <c r="N54" s="4" t="str">
        <f t="shared" si="2"/>
        <v/>
      </c>
      <c r="O54" s="4" t="str">
        <f t="shared" ca="1" si="3"/>
        <v/>
      </c>
    </row>
    <row r="55" spans="1:15" x14ac:dyDescent="0.25">
      <c r="A55" s="4"/>
      <c r="B55" s="4" t="str">
        <f ca="1">IFERROR(_xludf.XLOOKUP(A55,Pracownicy!$A$2:$A$501,Pracownicy!$B$2:$B$501),"")</f>
        <v/>
      </c>
      <c r="C55" s="4"/>
      <c r="D55" s="4" t="str">
        <f ca="1">IFERROR(_xludf.XLOOKUP(C55,Milestones!$A$2:$A$501,Milestones!$B$2:$B$501),"")</f>
        <v/>
      </c>
      <c r="E55" s="4" t="str">
        <f ca="1">IFERROR(_xludf.XLOOKUP(D55,Projekty!$A$2:$A$501,Projekty!$B$2:$B$501),"")</f>
        <v/>
      </c>
      <c r="F55" s="4" t="str">
        <f ca="1">IFERROR(_xludf.XLOOKUP(C55,Milestones!$A$2:$A$501,Milestones!$C$2:$C$501),"")</f>
        <v/>
      </c>
      <c r="G55" s="4" t="str">
        <f ca="1">IFERROR(_xludf.XLOOKUP(C55,Milestones!$A$2:$A$501,Milestones!$F$2:$F$501),"")</f>
        <v/>
      </c>
      <c r="H55" s="4" t="str">
        <f ca="1">IFERROR(_xludf.XLOOKUP(C55,Milestones!$A$2:$A$501,Milestones!$M$2:$M$501),"")</f>
        <v/>
      </c>
      <c r="I55" s="4" t="str">
        <f t="shared" ca="1" si="0"/>
        <v/>
      </c>
      <c r="J55" s="4"/>
      <c r="K55" s="4" t="str">
        <f ca="1">IFERROR(_xludf.XLOOKUP(A55,Pracownicy!$A$2:$A$501,Pracownicy!$F$2:$F$501),"")</f>
        <v/>
      </c>
      <c r="L55" s="4"/>
      <c r="M55" s="4" t="str">
        <f t="shared" ca="1" si="1"/>
        <v/>
      </c>
      <c r="N55" s="4" t="str">
        <f t="shared" si="2"/>
        <v/>
      </c>
      <c r="O55" s="4" t="str">
        <f t="shared" ca="1" si="3"/>
        <v/>
      </c>
    </row>
    <row r="56" spans="1:15" x14ac:dyDescent="0.25">
      <c r="A56" s="4"/>
      <c r="B56" s="4" t="str">
        <f ca="1">IFERROR(_xludf.XLOOKUP(A56,Pracownicy!$A$2:$A$501,Pracownicy!$B$2:$B$501),"")</f>
        <v/>
      </c>
      <c r="C56" s="4"/>
      <c r="D56" s="4" t="str">
        <f ca="1">IFERROR(_xludf.XLOOKUP(C56,Milestones!$A$2:$A$501,Milestones!$B$2:$B$501),"")</f>
        <v/>
      </c>
      <c r="E56" s="4" t="str">
        <f ca="1">IFERROR(_xludf.XLOOKUP(D56,Projekty!$A$2:$A$501,Projekty!$B$2:$B$501),"")</f>
        <v/>
      </c>
      <c r="F56" s="4" t="str">
        <f ca="1">IFERROR(_xludf.XLOOKUP(C56,Milestones!$A$2:$A$501,Milestones!$C$2:$C$501),"")</f>
        <v/>
      </c>
      <c r="G56" s="4" t="str">
        <f ca="1">IFERROR(_xludf.XLOOKUP(C56,Milestones!$A$2:$A$501,Milestones!$F$2:$F$501),"")</f>
        <v/>
      </c>
      <c r="H56" s="4" t="str">
        <f ca="1">IFERROR(_xludf.XLOOKUP(C56,Milestones!$A$2:$A$501,Milestones!$M$2:$M$501),"")</f>
        <v/>
      </c>
      <c r="I56" s="4" t="str">
        <f t="shared" ca="1" si="0"/>
        <v/>
      </c>
      <c r="J56" s="4"/>
      <c r="K56" s="4" t="str">
        <f ca="1">IFERROR(_xludf.XLOOKUP(A56,Pracownicy!$A$2:$A$501,Pracownicy!$F$2:$F$501),"")</f>
        <v/>
      </c>
      <c r="L56" s="4"/>
      <c r="M56" s="4" t="str">
        <f t="shared" ca="1" si="1"/>
        <v/>
      </c>
      <c r="N56" s="4" t="str">
        <f t="shared" si="2"/>
        <v/>
      </c>
      <c r="O56" s="4" t="str">
        <f t="shared" ca="1" si="3"/>
        <v/>
      </c>
    </row>
    <row r="57" spans="1:15" x14ac:dyDescent="0.25">
      <c r="A57" s="4"/>
      <c r="B57" s="4" t="str">
        <f ca="1">IFERROR(_xludf.XLOOKUP(A57,Pracownicy!$A$2:$A$501,Pracownicy!$B$2:$B$501),"")</f>
        <v/>
      </c>
      <c r="C57" s="4"/>
      <c r="D57" s="4" t="str">
        <f ca="1">IFERROR(_xludf.XLOOKUP(C57,Milestones!$A$2:$A$501,Milestones!$B$2:$B$501),"")</f>
        <v/>
      </c>
      <c r="E57" s="4" t="str">
        <f ca="1">IFERROR(_xludf.XLOOKUP(D57,Projekty!$A$2:$A$501,Projekty!$B$2:$B$501),"")</f>
        <v/>
      </c>
      <c r="F57" s="4" t="str">
        <f ca="1">IFERROR(_xludf.XLOOKUP(C57,Milestones!$A$2:$A$501,Milestones!$C$2:$C$501),"")</f>
        <v/>
      </c>
      <c r="G57" s="4" t="str">
        <f ca="1">IFERROR(_xludf.XLOOKUP(C57,Milestones!$A$2:$A$501,Milestones!$F$2:$F$501),"")</f>
        <v/>
      </c>
      <c r="H57" s="4" t="str">
        <f ca="1">IFERROR(_xludf.XLOOKUP(C57,Milestones!$A$2:$A$501,Milestones!$M$2:$M$501),"")</f>
        <v/>
      </c>
      <c r="I57" s="4" t="str">
        <f t="shared" ca="1" si="0"/>
        <v/>
      </c>
      <c r="J57" s="4"/>
      <c r="K57" s="4" t="str">
        <f ca="1">IFERROR(_xludf.XLOOKUP(A57,Pracownicy!$A$2:$A$501,Pracownicy!$F$2:$F$501),"")</f>
        <v/>
      </c>
      <c r="L57" s="4"/>
      <c r="M57" s="4" t="str">
        <f t="shared" ca="1" si="1"/>
        <v/>
      </c>
      <c r="N57" s="4" t="str">
        <f t="shared" si="2"/>
        <v/>
      </c>
      <c r="O57" s="4" t="str">
        <f t="shared" ca="1" si="3"/>
        <v/>
      </c>
    </row>
    <row r="58" spans="1:15" x14ac:dyDescent="0.25">
      <c r="A58" s="4"/>
      <c r="B58" s="4" t="str">
        <f ca="1">IFERROR(_xludf.XLOOKUP(A58,Pracownicy!$A$2:$A$501,Pracownicy!$B$2:$B$501),"")</f>
        <v/>
      </c>
      <c r="C58" s="4"/>
      <c r="D58" s="4" t="str">
        <f ca="1">IFERROR(_xludf.XLOOKUP(C58,Milestones!$A$2:$A$501,Milestones!$B$2:$B$501),"")</f>
        <v/>
      </c>
      <c r="E58" s="4" t="str">
        <f ca="1">IFERROR(_xludf.XLOOKUP(D58,Projekty!$A$2:$A$501,Projekty!$B$2:$B$501),"")</f>
        <v/>
      </c>
      <c r="F58" s="4" t="str">
        <f ca="1">IFERROR(_xludf.XLOOKUP(C58,Milestones!$A$2:$A$501,Milestones!$C$2:$C$501),"")</f>
        <v/>
      </c>
      <c r="G58" s="4" t="str">
        <f ca="1">IFERROR(_xludf.XLOOKUP(C58,Milestones!$A$2:$A$501,Milestones!$F$2:$F$501),"")</f>
        <v/>
      </c>
      <c r="H58" s="4" t="str">
        <f ca="1">IFERROR(_xludf.XLOOKUP(C58,Milestones!$A$2:$A$501,Milestones!$M$2:$M$501),"")</f>
        <v/>
      </c>
      <c r="I58" s="4" t="str">
        <f t="shared" ca="1" si="0"/>
        <v/>
      </c>
      <c r="J58" s="4"/>
      <c r="K58" s="4" t="str">
        <f ca="1">IFERROR(_xludf.XLOOKUP(A58,Pracownicy!$A$2:$A$501,Pracownicy!$F$2:$F$501),"")</f>
        <v/>
      </c>
      <c r="L58" s="4"/>
      <c r="M58" s="4" t="str">
        <f t="shared" ca="1" si="1"/>
        <v/>
      </c>
      <c r="N58" s="4" t="str">
        <f t="shared" si="2"/>
        <v/>
      </c>
      <c r="O58" s="4" t="str">
        <f t="shared" ca="1" si="3"/>
        <v/>
      </c>
    </row>
    <row r="59" spans="1:15" x14ac:dyDescent="0.25">
      <c r="A59" s="4"/>
      <c r="B59" s="4" t="str">
        <f ca="1">IFERROR(_xludf.XLOOKUP(A59,Pracownicy!$A$2:$A$501,Pracownicy!$B$2:$B$501),"")</f>
        <v/>
      </c>
      <c r="C59" s="4"/>
      <c r="D59" s="4" t="str">
        <f ca="1">IFERROR(_xludf.XLOOKUP(C59,Milestones!$A$2:$A$501,Milestones!$B$2:$B$501),"")</f>
        <v/>
      </c>
      <c r="E59" s="4" t="str">
        <f ca="1">IFERROR(_xludf.XLOOKUP(D59,Projekty!$A$2:$A$501,Projekty!$B$2:$B$501),"")</f>
        <v/>
      </c>
      <c r="F59" s="4" t="str">
        <f ca="1">IFERROR(_xludf.XLOOKUP(C59,Milestones!$A$2:$A$501,Milestones!$C$2:$C$501),"")</f>
        <v/>
      </c>
      <c r="G59" s="4" t="str">
        <f ca="1">IFERROR(_xludf.XLOOKUP(C59,Milestones!$A$2:$A$501,Milestones!$F$2:$F$501),"")</f>
        <v/>
      </c>
      <c r="H59" s="4" t="str">
        <f ca="1">IFERROR(_xludf.XLOOKUP(C59,Milestones!$A$2:$A$501,Milestones!$M$2:$M$501),"")</f>
        <v/>
      </c>
      <c r="I59" s="4" t="str">
        <f t="shared" ca="1" si="0"/>
        <v/>
      </c>
      <c r="J59" s="4"/>
      <c r="K59" s="4" t="str">
        <f ca="1">IFERROR(_xludf.XLOOKUP(A59,Pracownicy!$A$2:$A$501,Pracownicy!$F$2:$F$501),"")</f>
        <v/>
      </c>
      <c r="L59" s="4"/>
      <c r="M59" s="4" t="str">
        <f t="shared" ca="1" si="1"/>
        <v/>
      </c>
      <c r="N59" s="4" t="str">
        <f t="shared" si="2"/>
        <v/>
      </c>
      <c r="O59" s="4" t="str">
        <f t="shared" ca="1" si="3"/>
        <v/>
      </c>
    </row>
    <row r="60" spans="1:15" x14ac:dyDescent="0.25">
      <c r="A60" s="4"/>
      <c r="B60" s="4" t="str">
        <f ca="1">IFERROR(_xludf.XLOOKUP(A60,Pracownicy!$A$2:$A$501,Pracownicy!$B$2:$B$501),"")</f>
        <v/>
      </c>
      <c r="C60" s="4"/>
      <c r="D60" s="4" t="str">
        <f ca="1">IFERROR(_xludf.XLOOKUP(C60,Milestones!$A$2:$A$501,Milestones!$B$2:$B$501),"")</f>
        <v/>
      </c>
      <c r="E60" s="4" t="str">
        <f ca="1">IFERROR(_xludf.XLOOKUP(D60,Projekty!$A$2:$A$501,Projekty!$B$2:$B$501),"")</f>
        <v/>
      </c>
      <c r="F60" s="4" t="str">
        <f ca="1">IFERROR(_xludf.XLOOKUP(C60,Milestones!$A$2:$A$501,Milestones!$C$2:$C$501),"")</f>
        <v/>
      </c>
      <c r="G60" s="4" t="str">
        <f ca="1">IFERROR(_xludf.XLOOKUP(C60,Milestones!$A$2:$A$501,Milestones!$F$2:$F$501),"")</f>
        <v/>
      </c>
      <c r="H60" s="4" t="str">
        <f ca="1">IFERROR(_xludf.XLOOKUP(C60,Milestones!$A$2:$A$501,Milestones!$M$2:$M$501),"")</f>
        <v/>
      </c>
      <c r="I60" s="4" t="str">
        <f t="shared" ca="1" si="0"/>
        <v/>
      </c>
      <c r="J60" s="4"/>
      <c r="K60" s="4" t="str">
        <f ca="1">IFERROR(_xludf.XLOOKUP(A60,Pracownicy!$A$2:$A$501,Pracownicy!$F$2:$F$501),"")</f>
        <v/>
      </c>
      <c r="L60" s="4"/>
      <c r="M60" s="4" t="str">
        <f t="shared" ca="1" si="1"/>
        <v/>
      </c>
      <c r="N60" s="4" t="str">
        <f t="shared" si="2"/>
        <v/>
      </c>
      <c r="O60" s="4" t="str">
        <f t="shared" ca="1" si="3"/>
        <v/>
      </c>
    </row>
    <row r="61" spans="1:15" x14ac:dyDescent="0.25">
      <c r="A61" s="4"/>
      <c r="B61" s="4" t="str">
        <f ca="1">IFERROR(_xludf.XLOOKUP(A61,Pracownicy!$A$2:$A$501,Pracownicy!$B$2:$B$501),"")</f>
        <v/>
      </c>
      <c r="C61" s="4"/>
      <c r="D61" s="4" t="str">
        <f ca="1">IFERROR(_xludf.XLOOKUP(C61,Milestones!$A$2:$A$501,Milestones!$B$2:$B$501),"")</f>
        <v/>
      </c>
      <c r="E61" s="4" t="str">
        <f ca="1">IFERROR(_xludf.XLOOKUP(D61,Projekty!$A$2:$A$501,Projekty!$B$2:$B$501),"")</f>
        <v/>
      </c>
      <c r="F61" s="4" t="str">
        <f ca="1">IFERROR(_xludf.XLOOKUP(C61,Milestones!$A$2:$A$501,Milestones!$C$2:$C$501),"")</f>
        <v/>
      </c>
      <c r="G61" s="4" t="str">
        <f ca="1">IFERROR(_xludf.XLOOKUP(C61,Milestones!$A$2:$A$501,Milestones!$F$2:$F$501),"")</f>
        <v/>
      </c>
      <c r="H61" s="4" t="str">
        <f ca="1">IFERROR(_xludf.XLOOKUP(C61,Milestones!$A$2:$A$501,Milestones!$M$2:$M$501),"")</f>
        <v/>
      </c>
      <c r="I61" s="4" t="str">
        <f t="shared" ca="1" si="0"/>
        <v/>
      </c>
      <c r="J61" s="4"/>
      <c r="K61" s="4" t="str">
        <f ca="1">IFERROR(_xludf.XLOOKUP(A61,Pracownicy!$A$2:$A$501,Pracownicy!$F$2:$F$501),"")</f>
        <v/>
      </c>
      <c r="L61" s="4"/>
      <c r="M61" s="4" t="str">
        <f t="shared" ca="1" si="1"/>
        <v/>
      </c>
      <c r="N61" s="4" t="str">
        <f t="shared" si="2"/>
        <v/>
      </c>
      <c r="O61" s="4" t="str">
        <f t="shared" ca="1" si="3"/>
        <v/>
      </c>
    </row>
    <row r="62" spans="1:15" x14ac:dyDescent="0.25">
      <c r="A62" s="4"/>
      <c r="B62" s="4" t="str">
        <f ca="1">IFERROR(_xludf.XLOOKUP(A62,Pracownicy!$A$2:$A$501,Pracownicy!$B$2:$B$501),"")</f>
        <v/>
      </c>
      <c r="C62" s="4"/>
      <c r="D62" s="4" t="str">
        <f ca="1">IFERROR(_xludf.XLOOKUP(C62,Milestones!$A$2:$A$501,Milestones!$B$2:$B$501),"")</f>
        <v/>
      </c>
      <c r="E62" s="4" t="str">
        <f ca="1">IFERROR(_xludf.XLOOKUP(D62,Projekty!$A$2:$A$501,Projekty!$B$2:$B$501),"")</f>
        <v/>
      </c>
      <c r="F62" s="4" t="str">
        <f ca="1">IFERROR(_xludf.XLOOKUP(C62,Milestones!$A$2:$A$501,Milestones!$C$2:$C$501),"")</f>
        <v/>
      </c>
      <c r="G62" s="4" t="str">
        <f ca="1">IFERROR(_xludf.XLOOKUP(C62,Milestones!$A$2:$A$501,Milestones!$F$2:$F$501),"")</f>
        <v/>
      </c>
      <c r="H62" s="4" t="str">
        <f ca="1">IFERROR(_xludf.XLOOKUP(C62,Milestones!$A$2:$A$501,Milestones!$M$2:$M$501),"")</f>
        <v/>
      </c>
      <c r="I62" s="4" t="str">
        <f t="shared" ca="1" si="0"/>
        <v/>
      </c>
      <c r="J62" s="4"/>
      <c r="K62" s="4" t="str">
        <f ca="1">IFERROR(_xludf.XLOOKUP(A62,Pracownicy!$A$2:$A$501,Pracownicy!$F$2:$F$501),"")</f>
        <v/>
      </c>
      <c r="L62" s="4"/>
      <c r="M62" s="4" t="str">
        <f t="shared" ca="1" si="1"/>
        <v/>
      </c>
      <c r="N62" s="4" t="str">
        <f t="shared" si="2"/>
        <v/>
      </c>
      <c r="O62" s="4" t="str">
        <f t="shared" ca="1" si="3"/>
        <v/>
      </c>
    </row>
    <row r="63" spans="1:15" x14ac:dyDescent="0.25">
      <c r="A63" s="4"/>
      <c r="B63" s="4" t="str">
        <f ca="1">IFERROR(_xludf.XLOOKUP(A63,Pracownicy!$A$2:$A$501,Pracownicy!$B$2:$B$501),"")</f>
        <v/>
      </c>
      <c r="C63" s="4"/>
      <c r="D63" s="4" t="str">
        <f ca="1">IFERROR(_xludf.XLOOKUP(C63,Milestones!$A$2:$A$501,Milestones!$B$2:$B$501),"")</f>
        <v/>
      </c>
      <c r="E63" s="4" t="str">
        <f ca="1">IFERROR(_xludf.XLOOKUP(D63,Projekty!$A$2:$A$501,Projekty!$B$2:$B$501),"")</f>
        <v/>
      </c>
      <c r="F63" s="4" t="str">
        <f ca="1">IFERROR(_xludf.XLOOKUP(C63,Milestones!$A$2:$A$501,Milestones!$C$2:$C$501),"")</f>
        <v/>
      </c>
      <c r="G63" s="4" t="str">
        <f ca="1">IFERROR(_xludf.XLOOKUP(C63,Milestones!$A$2:$A$501,Milestones!$F$2:$F$501),"")</f>
        <v/>
      </c>
      <c r="H63" s="4" t="str">
        <f ca="1">IFERROR(_xludf.XLOOKUP(C63,Milestones!$A$2:$A$501,Milestones!$M$2:$M$501),"")</f>
        <v/>
      </c>
      <c r="I63" s="4" t="str">
        <f t="shared" ca="1" si="0"/>
        <v/>
      </c>
      <c r="J63" s="4"/>
      <c r="K63" s="4" t="str">
        <f ca="1">IFERROR(_xludf.XLOOKUP(A63,Pracownicy!$A$2:$A$501,Pracownicy!$F$2:$F$501),"")</f>
        <v/>
      </c>
      <c r="L63" s="4"/>
      <c r="M63" s="4" t="str">
        <f t="shared" ca="1" si="1"/>
        <v/>
      </c>
      <c r="N63" s="4" t="str">
        <f t="shared" si="2"/>
        <v/>
      </c>
      <c r="O63" s="4" t="str">
        <f t="shared" ca="1" si="3"/>
        <v/>
      </c>
    </row>
    <row r="64" spans="1:15" x14ac:dyDescent="0.25">
      <c r="A64" s="4"/>
      <c r="B64" s="4" t="str">
        <f ca="1">IFERROR(_xludf.XLOOKUP(A64,Pracownicy!$A$2:$A$501,Pracownicy!$B$2:$B$501),"")</f>
        <v/>
      </c>
      <c r="C64" s="4"/>
      <c r="D64" s="4" t="str">
        <f ca="1">IFERROR(_xludf.XLOOKUP(C64,Milestones!$A$2:$A$501,Milestones!$B$2:$B$501),"")</f>
        <v/>
      </c>
      <c r="E64" s="4" t="str">
        <f ca="1">IFERROR(_xludf.XLOOKUP(D64,Projekty!$A$2:$A$501,Projekty!$B$2:$B$501),"")</f>
        <v/>
      </c>
      <c r="F64" s="4" t="str">
        <f ca="1">IFERROR(_xludf.XLOOKUP(C64,Milestones!$A$2:$A$501,Milestones!$C$2:$C$501),"")</f>
        <v/>
      </c>
      <c r="G64" s="4" t="str">
        <f ca="1">IFERROR(_xludf.XLOOKUP(C64,Milestones!$A$2:$A$501,Milestones!$F$2:$F$501),"")</f>
        <v/>
      </c>
      <c r="H64" s="4" t="str">
        <f ca="1">IFERROR(_xludf.XLOOKUP(C64,Milestones!$A$2:$A$501,Milestones!$M$2:$M$501),"")</f>
        <v/>
      </c>
      <c r="I64" s="4" t="str">
        <f t="shared" ca="1" si="0"/>
        <v/>
      </c>
      <c r="J64" s="4"/>
      <c r="K64" s="4" t="str">
        <f ca="1">IFERROR(_xludf.XLOOKUP(A64,Pracownicy!$A$2:$A$501,Pracownicy!$F$2:$F$501),"")</f>
        <v/>
      </c>
      <c r="L64" s="4"/>
      <c r="M64" s="4" t="str">
        <f t="shared" ca="1" si="1"/>
        <v/>
      </c>
      <c r="N64" s="4" t="str">
        <f t="shared" si="2"/>
        <v/>
      </c>
      <c r="O64" s="4" t="str">
        <f t="shared" ca="1" si="3"/>
        <v/>
      </c>
    </row>
    <row r="65" spans="1:15" x14ac:dyDescent="0.25">
      <c r="A65" s="4"/>
      <c r="B65" s="4" t="str">
        <f ca="1">IFERROR(_xludf.XLOOKUP(A65,Pracownicy!$A$2:$A$501,Pracownicy!$B$2:$B$501),"")</f>
        <v/>
      </c>
      <c r="C65" s="4"/>
      <c r="D65" s="4" t="str">
        <f ca="1">IFERROR(_xludf.XLOOKUP(C65,Milestones!$A$2:$A$501,Milestones!$B$2:$B$501),"")</f>
        <v/>
      </c>
      <c r="E65" s="4" t="str">
        <f ca="1">IFERROR(_xludf.XLOOKUP(D65,Projekty!$A$2:$A$501,Projekty!$B$2:$B$501),"")</f>
        <v/>
      </c>
      <c r="F65" s="4" t="str">
        <f ca="1">IFERROR(_xludf.XLOOKUP(C65,Milestones!$A$2:$A$501,Milestones!$C$2:$C$501),"")</f>
        <v/>
      </c>
      <c r="G65" s="4" t="str">
        <f ca="1">IFERROR(_xludf.XLOOKUP(C65,Milestones!$A$2:$A$501,Milestones!$F$2:$F$501),"")</f>
        <v/>
      </c>
      <c r="H65" s="4" t="str">
        <f ca="1">IFERROR(_xludf.XLOOKUP(C65,Milestones!$A$2:$A$501,Milestones!$M$2:$M$501),"")</f>
        <v/>
      </c>
      <c r="I65" s="4" t="str">
        <f t="shared" ca="1" si="0"/>
        <v/>
      </c>
      <c r="J65" s="4"/>
      <c r="K65" s="4" t="str">
        <f ca="1">IFERROR(_xludf.XLOOKUP(A65,Pracownicy!$A$2:$A$501,Pracownicy!$F$2:$F$501),"")</f>
        <v/>
      </c>
      <c r="L65" s="4"/>
      <c r="M65" s="4" t="str">
        <f t="shared" ca="1" si="1"/>
        <v/>
      </c>
      <c r="N65" s="4" t="str">
        <f t="shared" si="2"/>
        <v/>
      </c>
      <c r="O65" s="4" t="str">
        <f t="shared" ca="1" si="3"/>
        <v/>
      </c>
    </row>
    <row r="66" spans="1:15" x14ac:dyDescent="0.25">
      <c r="A66" s="4"/>
      <c r="B66" s="4" t="str">
        <f ca="1">IFERROR(_xludf.XLOOKUP(A66,Pracownicy!$A$2:$A$501,Pracownicy!$B$2:$B$501),"")</f>
        <v/>
      </c>
      <c r="C66" s="4"/>
      <c r="D66" s="4" t="str">
        <f ca="1">IFERROR(_xludf.XLOOKUP(C66,Milestones!$A$2:$A$501,Milestones!$B$2:$B$501),"")</f>
        <v/>
      </c>
      <c r="E66" s="4" t="str">
        <f ca="1">IFERROR(_xludf.XLOOKUP(D66,Projekty!$A$2:$A$501,Projekty!$B$2:$B$501),"")</f>
        <v/>
      </c>
      <c r="F66" s="4" t="str">
        <f ca="1">IFERROR(_xludf.XLOOKUP(C66,Milestones!$A$2:$A$501,Milestones!$C$2:$C$501),"")</f>
        <v/>
      </c>
      <c r="G66" s="4" t="str">
        <f ca="1">IFERROR(_xludf.XLOOKUP(C66,Milestones!$A$2:$A$501,Milestones!$F$2:$F$501),"")</f>
        <v/>
      </c>
      <c r="H66" s="4" t="str">
        <f ca="1">IFERROR(_xludf.XLOOKUP(C66,Milestones!$A$2:$A$501,Milestones!$M$2:$M$501),"")</f>
        <v/>
      </c>
      <c r="I66" s="4" t="str">
        <f t="shared" ref="I66:I129" ca="1" si="4">IF(H66="","",MIN(H66,1))</f>
        <v/>
      </c>
      <c r="J66" s="4"/>
      <c r="K66" s="4" t="str">
        <f ca="1">IFERROR(_xludf.XLOOKUP(A66,Pracownicy!$A$2:$A$501,Pracownicy!$F$2:$F$501),"")</f>
        <v/>
      </c>
      <c r="L66" s="4"/>
      <c r="M66" s="4" t="str">
        <f t="shared" ref="M66:M129" ca="1" si="5">IF(OR(J66="",K66="",L66=""),"",J66*K66*L66)</f>
        <v/>
      </c>
      <c r="N66" s="4" t="str">
        <f t="shared" ref="N66:N129" si="6">IF(C66="","",SUMIF($C$2:$C$501,C66,$M$2:$M$501))</f>
        <v/>
      </c>
      <c r="O66" s="4" t="str">
        <f t="shared" ref="O66:O129" ca="1" si="7">IF(OR(G66="",I66="",M66="",N66="",N66=0),"",ROUNDDOWN(G66*I66*(M66/N66),2))</f>
        <v/>
      </c>
    </row>
    <row r="67" spans="1:15" x14ac:dyDescent="0.25">
      <c r="A67" s="4"/>
      <c r="B67" s="4" t="str">
        <f ca="1">IFERROR(_xludf.XLOOKUP(A67,Pracownicy!$A$2:$A$501,Pracownicy!$B$2:$B$501),"")</f>
        <v/>
      </c>
      <c r="C67" s="4"/>
      <c r="D67" s="4" t="str">
        <f ca="1">IFERROR(_xludf.XLOOKUP(C67,Milestones!$A$2:$A$501,Milestones!$B$2:$B$501),"")</f>
        <v/>
      </c>
      <c r="E67" s="4" t="str">
        <f ca="1">IFERROR(_xludf.XLOOKUP(D67,Projekty!$A$2:$A$501,Projekty!$B$2:$B$501),"")</f>
        <v/>
      </c>
      <c r="F67" s="4" t="str">
        <f ca="1">IFERROR(_xludf.XLOOKUP(C67,Milestones!$A$2:$A$501,Milestones!$C$2:$C$501),"")</f>
        <v/>
      </c>
      <c r="G67" s="4" t="str">
        <f ca="1">IFERROR(_xludf.XLOOKUP(C67,Milestones!$A$2:$A$501,Milestones!$F$2:$F$501),"")</f>
        <v/>
      </c>
      <c r="H67" s="4" t="str">
        <f ca="1">IFERROR(_xludf.XLOOKUP(C67,Milestones!$A$2:$A$501,Milestones!$M$2:$M$501),"")</f>
        <v/>
      </c>
      <c r="I67" s="4" t="str">
        <f t="shared" ca="1" si="4"/>
        <v/>
      </c>
      <c r="J67" s="4"/>
      <c r="K67" s="4" t="str">
        <f ca="1">IFERROR(_xludf.XLOOKUP(A67,Pracownicy!$A$2:$A$501,Pracownicy!$F$2:$F$501),"")</f>
        <v/>
      </c>
      <c r="L67" s="4"/>
      <c r="M67" s="4" t="str">
        <f t="shared" ca="1" si="5"/>
        <v/>
      </c>
      <c r="N67" s="4" t="str">
        <f t="shared" si="6"/>
        <v/>
      </c>
      <c r="O67" s="4" t="str">
        <f t="shared" ca="1" si="7"/>
        <v/>
      </c>
    </row>
    <row r="68" spans="1:15" x14ac:dyDescent="0.25">
      <c r="A68" s="4"/>
      <c r="B68" s="4" t="str">
        <f ca="1">IFERROR(_xludf.XLOOKUP(A68,Pracownicy!$A$2:$A$501,Pracownicy!$B$2:$B$501),"")</f>
        <v/>
      </c>
      <c r="C68" s="4"/>
      <c r="D68" s="4" t="str">
        <f ca="1">IFERROR(_xludf.XLOOKUP(C68,Milestones!$A$2:$A$501,Milestones!$B$2:$B$501),"")</f>
        <v/>
      </c>
      <c r="E68" s="4" t="str">
        <f ca="1">IFERROR(_xludf.XLOOKUP(D68,Projekty!$A$2:$A$501,Projekty!$B$2:$B$501),"")</f>
        <v/>
      </c>
      <c r="F68" s="4" t="str">
        <f ca="1">IFERROR(_xludf.XLOOKUP(C68,Milestones!$A$2:$A$501,Milestones!$C$2:$C$501),"")</f>
        <v/>
      </c>
      <c r="G68" s="4" t="str">
        <f ca="1">IFERROR(_xludf.XLOOKUP(C68,Milestones!$A$2:$A$501,Milestones!$F$2:$F$501),"")</f>
        <v/>
      </c>
      <c r="H68" s="4" t="str">
        <f ca="1">IFERROR(_xludf.XLOOKUP(C68,Milestones!$A$2:$A$501,Milestones!$M$2:$M$501),"")</f>
        <v/>
      </c>
      <c r="I68" s="4" t="str">
        <f t="shared" ca="1" si="4"/>
        <v/>
      </c>
      <c r="J68" s="4"/>
      <c r="K68" s="4" t="str">
        <f ca="1">IFERROR(_xludf.XLOOKUP(A68,Pracownicy!$A$2:$A$501,Pracownicy!$F$2:$F$501),"")</f>
        <v/>
      </c>
      <c r="L68" s="4"/>
      <c r="M68" s="4" t="str">
        <f t="shared" ca="1" si="5"/>
        <v/>
      </c>
      <c r="N68" s="4" t="str">
        <f t="shared" si="6"/>
        <v/>
      </c>
      <c r="O68" s="4" t="str">
        <f t="shared" ca="1" si="7"/>
        <v/>
      </c>
    </row>
    <row r="69" spans="1:15" x14ac:dyDescent="0.25">
      <c r="A69" s="4"/>
      <c r="B69" s="4" t="str">
        <f ca="1">IFERROR(_xludf.XLOOKUP(A69,Pracownicy!$A$2:$A$501,Pracownicy!$B$2:$B$501),"")</f>
        <v/>
      </c>
      <c r="C69" s="4"/>
      <c r="D69" s="4" t="str">
        <f ca="1">IFERROR(_xludf.XLOOKUP(C69,Milestones!$A$2:$A$501,Milestones!$B$2:$B$501),"")</f>
        <v/>
      </c>
      <c r="E69" s="4" t="str">
        <f ca="1">IFERROR(_xludf.XLOOKUP(D69,Projekty!$A$2:$A$501,Projekty!$B$2:$B$501),"")</f>
        <v/>
      </c>
      <c r="F69" s="4" t="str">
        <f ca="1">IFERROR(_xludf.XLOOKUP(C69,Milestones!$A$2:$A$501,Milestones!$C$2:$C$501),"")</f>
        <v/>
      </c>
      <c r="G69" s="4" t="str">
        <f ca="1">IFERROR(_xludf.XLOOKUP(C69,Milestones!$A$2:$A$501,Milestones!$F$2:$F$501),"")</f>
        <v/>
      </c>
      <c r="H69" s="4" t="str">
        <f ca="1">IFERROR(_xludf.XLOOKUP(C69,Milestones!$A$2:$A$501,Milestones!$M$2:$M$501),"")</f>
        <v/>
      </c>
      <c r="I69" s="4" t="str">
        <f t="shared" ca="1" si="4"/>
        <v/>
      </c>
      <c r="J69" s="4"/>
      <c r="K69" s="4" t="str">
        <f ca="1">IFERROR(_xludf.XLOOKUP(A69,Pracownicy!$A$2:$A$501,Pracownicy!$F$2:$F$501),"")</f>
        <v/>
      </c>
      <c r="L69" s="4"/>
      <c r="M69" s="4" t="str">
        <f t="shared" ca="1" si="5"/>
        <v/>
      </c>
      <c r="N69" s="4" t="str">
        <f t="shared" si="6"/>
        <v/>
      </c>
      <c r="O69" s="4" t="str">
        <f t="shared" ca="1" si="7"/>
        <v/>
      </c>
    </row>
    <row r="70" spans="1:15" x14ac:dyDescent="0.25">
      <c r="A70" s="4"/>
      <c r="B70" s="4" t="str">
        <f ca="1">IFERROR(_xludf.XLOOKUP(A70,Pracownicy!$A$2:$A$501,Pracownicy!$B$2:$B$501),"")</f>
        <v/>
      </c>
      <c r="C70" s="4"/>
      <c r="D70" s="4" t="str">
        <f ca="1">IFERROR(_xludf.XLOOKUP(C70,Milestones!$A$2:$A$501,Milestones!$B$2:$B$501),"")</f>
        <v/>
      </c>
      <c r="E70" s="4" t="str">
        <f ca="1">IFERROR(_xludf.XLOOKUP(D70,Projekty!$A$2:$A$501,Projekty!$B$2:$B$501),"")</f>
        <v/>
      </c>
      <c r="F70" s="4" t="str">
        <f ca="1">IFERROR(_xludf.XLOOKUP(C70,Milestones!$A$2:$A$501,Milestones!$C$2:$C$501),"")</f>
        <v/>
      </c>
      <c r="G70" s="4" t="str">
        <f ca="1">IFERROR(_xludf.XLOOKUP(C70,Milestones!$A$2:$A$501,Milestones!$F$2:$F$501),"")</f>
        <v/>
      </c>
      <c r="H70" s="4" t="str">
        <f ca="1">IFERROR(_xludf.XLOOKUP(C70,Milestones!$A$2:$A$501,Milestones!$M$2:$M$501),"")</f>
        <v/>
      </c>
      <c r="I70" s="4" t="str">
        <f t="shared" ca="1" si="4"/>
        <v/>
      </c>
      <c r="J70" s="4"/>
      <c r="K70" s="4" t="str">
        <f ca="1">IFERROR(_xludf.XLOOKUP(A70,Pracownicy!$A$2:$A$501,Pracownicy!$F$2:$F$501),"")</f>
        <v/>
      </c>
      <c r="L70" s="4"/>
      <c r="M70" s="4" t="str">
        <f t="shared" ca="1" si="5"/>
        <v/>
      </c>
      <c r="N70" s="4" t="str">
        <f t="shared" si="6"/>
        <v/>
      </c>
      <c r="O70" s="4" t="str">
        <f t="shared" ca="1" si="7"/>
        <v/>
      </c>
    </row>
    <row r="71" spans="1:15" x14ac:dyDescent="0.25">
      <c r="A71" s="4"/>
      <c r="B71" s="4" t="str">
        <f ca="1">IFERROR(_xludf.XLOOKUP(A71,Pracownicy!$A$2:$A$501,Pracownicy!$B$2:$B$501),"")</f>
        <v/>
      </c>
      <c r="C71" s="4"/>
      <c r="D71" s="4" t="str">
        <f ca="1">IFERROR(_xludf.XLOOKUP(C71,Milestones!$A$2:$A$501,Milestones!$B$2:$B$501),"")</f>
        <v/>
      </c>
      <c r="E71" s="4" t="str">
        <f ca="1">IFERROR(_xludf.XLOOKUP(D71,Projekty!$A$2:$A$501,Projekty!$B$2:$B$501),"")</f>
        <v/>
      </c>
      <c r="F71" s="4" t="str">
        <f ca="1">IFERROR(_xludf.XLOOKUP(C71,Milestones!$A$2:$A$501,Milestones!$C$2:$C$501),"")</f>
        <v/>
      </c>
      <c r="G71" s="4" t="str">
        <f ca="1">IFERROR(_xludf.XLOOKUP(C71,Milestones!$A$2:$A$501,Milestones!$F$2:$F$501),"")</f>
        <v/>
      </c>
      <c r="H71" s="4" t="str">
        <f ca="1">IFERROR(_xludf.XLOOKUP(C71,Milestones!$A$2:$A$501,Milestones!$M$2:$M$501),"")</f>
        <v/>
      </c>
      <c r="I71" s="4" t="str">
        <f t="shared" ca="1" si="4"/>
        <v/>
      </c>
      <c r="J71" s="4"/>
      <c r="K71" s="4" t="str">
        <f ca="1">IFERROR(_xludf.XLOOKUP(A71,Pracownicy!$A$2:$A$501,Pracownicy!$F$2:$F$501),"")</f>
        <v/>
      </c>
      <c r="L71" s="4"/>
      <c r="M71" s="4" t="str">
        <f t="shared" ca="1" si="5"/>
        <v/>
      </c>
      <c r="N71" s="4" t="str">
        <f t="shared" si="6"/>
        <v/>
      </c>
      <c r="O71" s="4" t="str">
        <f t="shared" ca="1" si="7"/>
        <v/>
      </c>
    </row>
    <row r="72" spans="1:15" x14ac:dyDescent="0.25">
      <c r="A72" s="4"/>
      <c r="B72" s="4" t="str">
        <f ca="1">IFERROR(_xludf.XLOOKUP(A72,Pracownicy!$A$2:$A$501,Pracownicy!$B$2:$B$501),"")</f>
        <v/>
      </c>
      <c r="C72" s="4"/>
      <c r="D72" s="4" t="str">
        <f ca="1">IFERROR(_xludf.XLOOKUP(C72,Milestones!$A$2:$A$501,Milestones!$B$2:$B$501),"")</f>
        <v/>
      </c>
      <c r="E72" s="4" t="str">
        <f ca="1">IFERROR(_xludf.XLOOKUP(D72,Projekty!$A$2:$A$501,Projekty!$B$2:$B$501),"")</f>
        <v/>
      </c>
      <c r="F72" s="4" t="str">
        <f ca="1">IFERROR(_xludf.XLOOKUP(C72,Milestones!$A$2:$A$501,Milestones!$C$2:$C$501),"")</f>
        <v/>
      </c>
      <c r="G72" s="4" t="str">
        <f ca="1">IFERROR(_xludf.XLOOKUP(C72,Milestones!$A$2:$A$501,Milestones!$F$2:$F$501),"")</f>
        <v/>
      </c>
      <c r="H72" s="4" t="str">
        <f ca="1">IFERROR(_xludf.XLOOKUP(C72,Milestones!$A$2:$A$501,Milestones!$M$2:$M$501),"")</f>
        <v/>
      </c>
      <c r="I72" s="4" t="str">
        <f t="shared" ca="1" si="4"/>
        <v/>
      </c>
      <c r="J72" s="4"/>
      <c r="K72" s="4" t="str">
        <f ca="1">IFERROR(_xludf.XLOOKUP(A72,Pracownicy!$A$2:$A$501,Pracownicy!$F$2:$F$501),"")</f>
        <v/>
      </c>
      <c r="L72" s="4"/>
      <c r="M72" s="4" t="str">
        <f t="shared" ca="1" si="5"/>
        <v/>
      </c>
      <c r="N72" s="4" t="str">
        <f t="shared" si="6"/>
        <v/>
      </c>
      <c r="O72" s="4" t="str">
        <f t="shared" ca="1" si="7"/>
        <v/>
      </c>
    </row>
    <row r="73" spans="1:15" x14ac:dyDescent="0.25">
      <c r="A73" s="4"/>
      <c r="B73" s="4" t="str">
        <f ca="1">IFERROR(_xludf.XLOOKUP(A73,Pracownicy!$A$2:$A$501,Pracownicy!$B$2:$B$501),"")</f>
        <v/>
      </c>
      <c r="C73" s="4"/>
      <c r="D73" s="4" t="str">
        <f ca="1">IFERROR(_xludf.XLOOKUP(C73,Milestones!$A$2:$A$501,Milestones!$B$2:$B$501),"")</f>
        <v/>
      </c>
      <c r="E73" s="4" t="str">
        <f ca="1">IFERROR(_xludf.XLOOKUP(D73,Projekty!$A$2:$A$501,Projekty!$B$2:$B$501),"")</f>
        <v/>
      </c>
      <c r="F73" s="4" t="str">
        <f ca="1">IFERROR(_xludf.XLOOKUP(C73,Milestones!$A$2:$A$501,Milestones!$C$2:$C$501),"")</f>
        <v/>
      </c>
      <c r="G73" s="4" t="str">
        <f ca="1">IFERROR(_xludf.XLOOKUP(C73,Milestones!$A$2:$A$501,Milestones!$F$2:$F$501),"")</f>
        <v/>
      </c>
      <c r="H73" s="4" t="str">
        <f ca="1">IFERROR(_xludf.XLOOKUP(C73,Milestones!$A$2:$A$501,Milestones!$M$2:$M$501),"")</f>
        <v/>
      </c>
      <c r="I73" s="4" t="str">
        <f t="shared" ca="1" si="4"/>
        <v/>
      </c>
      <c r="J73" s="4"/>
      <c r="K73" s="4" t="str">
        <f ca="1">IFERROR(_xludf.XLOOKUP(A73,Pracownicy!$A$2:$A$501,Pracownicy!$F$2:$F$501),"")</f>
        <v/>
      </c>
      <c r="L73" s="4"/>
      <c r="M73" s="4" t="str">
        <f t="shared" ca="1" si="5"/>
        <v/>
      </c>
      <c r="N73" s="4" t="str">
        <f t="shared" si="6"/>
        <v/>
      </c>
      <c r="O73" s="4" t="str">
        <f t="shared" ca="1" si="7"/>
        <v/>
      </c>
    </row>
    <row r="74" spans="1:15" x14ac:dyDescent="0.25">
      <c r="A74" s="4"/>
      <c r="B74" s="4" t="str">
        <f ca="1">IFERROR(_xludf.XLOOKUP(A74,Pracownicy!$A$2:$A$501,Pracownicy!$B$2:$B$501),"")</f>
        <v/>
      </c>
      <c r="C74" s="4"/>
      <c r="D74" s="4" t="str">
        <f ca="1">IFERROR(_xludf.XLOOKUP(C74,Milestones!$A$2:$A$501,Milestones!$B$2:$B$501),"")</f>
        <v/>
      </c>
      <c r="E74" s="4" t="str">
        <f ca="1">IFERROR(_xludf.XLOOKUP(D74,Projekty!$A$2:$A$501,Projekty!$B$2:$B$501),"")</f>
        <v/>
      </c>
      <c r="F74" s="4" t="str">
        <f ca="1">IFERROR(_xludf.XLOOKUP(C74,Milestones!$A$2:$A$501,Milestones!$C$2:$C$501),"")</f>
        <v/>
      </c>
      <c r="G74" s="4" t="str">
        <f ca="1">IFERROR(_xludf.XLOOKUP(C74,Milestones!$A$2:$A$501,Milestones!$F$2:$F$501),"")</f>
        <v/>
      </c>
      <c r="H74" s="4" t="str">
        <f ca="1">IFERROR(_xludf.XLOOKUP(C74,Milestones!$A$2:$A$501,Milestones!$M$2:$M$501),"")</f>
        <v/>
      </c>
      <c r="I74" s="4" t="str">
        <f t="shared" ca="1" si="4"/>
        <v/>
      </c>
      <c r="J74" s="4"/>
      <c r="K74" s="4" t="str">
        <f ca="1">IFERROR(_xludf.XLOOKUP(A74,Pracownicy!$A$2:$A$501,Pracownicy!$F$2:$F$501),"")</f>
        <v/>
      </c>
      <c r="L74" s="4"/>
      <c r="M74" s="4" t="str">
        <f t="shared" ca="1" si="5"/>
        <v/>
      </c>
      <c r="N74" s="4" t="str">
        <f t="shared" si="6"/>
        <v/>
      </c>
      <c r="O74" s="4" t="str">
        <f t="shared" ca="1" si="7"/>
        <v/>
      </c>
    </row>
    <row r="75" spans="1:15" x14ac:dyDescent="0.25">
      <c r="A75" s="4"/>
      <c r="B75" s="4" t="str">
        <f ca="1">IFERROR(_xludf.XLOOKUP(A75,Pracownicy!$A$2:$A$501,Pracownicy!$B$2:$B$501),"")</f>
        <v/>
      </c>
      <c r="C75" s="4"/>
      <c r="D75" s="4" t="str">
        <f ca="1">IFERROR(_xludf.XLOOKUP(C75,Milestones!$A$2:$A$501,Milestones!$B$2:$B$501),"")</f>
        <v/>
      </c>
      <c r="E75" s="4" t="str">
        <f ca="1">IFERROR(_xludf.XLOOKUP(D75,Projekty!$A$2:$A$501,Projekty!$B$2:$B$501),"")</f>
        <v/>
      </c>
      <c r="F75" s="4" t="str">
        <f ca="1">IFERROR(_xludf.XLOOKUP(C75,Milestones!$A$2:$A$501,Milestones!$C$2:$C$501),"")</f>
        <v/>
      </c>
      <c r="G75" s="4" t="str">
        <f ca="1">IFERROR(_xludf.XLOOKUP(C75,Milestones!$A$2:$A$501,Milestones!$F$2:$F$501),"")</f>
        <v/>
      </c>
      <c r="H75" s="4" t="str">
        <f ca="1">IFERROR(_xludf.XLOOKUP(C75,Milestones!$A$2:$A$501,Milestones!$M$2:$M$501),"")</f>
        <v/>
      </c>
      <c r="I75" s="4" t="str">
        <f t="shared" ca="1" si="4"/>
        <v/>
      </c>
      <c r="J75" s="4"/>
      <c r="K75" s="4" t="str">
        <f ca="1">IFERROR(_xludf.XLOOKUP(A75,Pracownicy!$A$2:$A$501,Pracownicy!$F$2:$F$501),"")</f>
        <v/>
      </c>
      <c r="L75" s="4"/>
      <c r="M75" s="4" t="str">
        <f t="shared" ca="1" si="5"/>
        <v/>
      </c>
      <c r="N75" s="4" t="str">
        <f t="shared" si="6"/>
        <v/>
      </c>
      <c r="O75" s="4" t="str">
        <f t="shared" ca="1" si="7"/>
        <v/>
      </c>
    </row>
    <row r="76" spans="1:15" x14ac:dyDescent="0.25">
      <c r="A76" s="4"/>
      <c r="B76" s="4" t="str">
        <f ca="1">IFERROR(_xludf.XLOOKUP(A76,Pracownicy!$A$2:$A$501,Pracownicy!$B$2:$B$501),"")</f>
        <v/>
      </c>
      <c r="C76" s="4"/>
      <c r="D76" s="4" t="str">
        <f ca="1">IFERROR(_xludf.XLOOKUP(C76,Milestones!$A$2:$A$501,Milestones!$B$2:$B$501),"")</f>
        <v/>
      </c>
      <c r="E76" s="4" t="str">
        <f ca="1">IFERROR(_xludf.XLOOKUP(D76,Projekty!$A$2:$A$501,Projekty!$B$2:$B$501),"")</f>
        <v/>
      </c>
      <c r="F76" s="4" t="str">
        <f ca="1">IFERROR(_xludf.XLOOKUP(C76,Milestones!$A$2:$A$501,Milestones!$C$2:$C$501),"")</f>
        <v/>
      </c>
      <c r="G76" s="4" t="str">
        <f ca="1">IFERROR(_xludf.XLOOKUP(C76,Milestones!$A$2:$A$501,Milestones!$F$2:$F$501),"")</f>
        <v/>
      </c>
      <c r="H76" s="4" t="str">
        <f ca="1">IFERROR(_xludf.XLOOKUP(C76,Milestones!$A$2:$A$501,Milestones!$M$2:$M$501),"")</f>
        <v/>
      </c>
      <c r="I76" s="4" t="str">
        <f t="shared" ca="1" si="4"/>
        <v/>
      </c>
      <c r="J76" s="4"/>
      <c r="K76" s="4" t="str">
        <f ca="1">IFERROR(_xludf.XLOOKUP(A76,Pracownicy!$A$2:$A$501,Pracownicy!$F$2:$F$501),"")</f>
        <v/>
      </c>
      <c r="L76" s="4"/>
      <c r="M76" s="4" t="str">
        <f t="shared" ca="1" si="5"/>
        <v/>
      </c>
      <c r="N76" s="4" t="str">
        <f t="shared" si="6"/>
        <v/>
      </c>
      <c r="O76" s="4" t="str">
        <f t="shared" ca="1" si="7"/>
        <v/>
      </c>
    </row>
    <row r="77" spans="1:15" x14ac:dyDescent="0.25">
      <c r="A77" s="4"/>
      <c r="B77" s="4" t="str">
        <f ca="1">IFERROR(_xludf.XLOOKUP(A77,Pracownicy!$A$2:$A$501,Pracownicy!$B$2:$B$501),"")</f>
        <v/>
      </c>
      <c r="C77" s="4"/>
      <c r="D77" s="4" t="str">
        <f ca="1">IFERROR(_xludf.XLOOKUP(C77,Milestones!$A$2:$A$501,Milestones!$B$2:$B$501),"")</f>
        <v/>
      </c>
      <c r="E77" s="4" t="str">
        <f ca="1">IFERROR(_xludf.XLOOKUP(D77,Projekty!$A$2:$A$501,Projekty!$B$2:$B$501),"")</f>
        <v/>
      </c>
      <c r="F77" s="4" t="str">
        <f ca="1">IFERROR(_xludf.XLOOKUP(C77,Milestones!$A$2:$A$501,Milestones!$C$2:$C$501),"")</f>
        <v/>
      </c>
      <c r="G77" s="4" t="str">
        <f ca="1">IFERROR(_xludf.XLOOKUP(C77,Milestones!$A$2:$A$501,Milestones!$F$2:$F$501),"")</f>
        <v/>
      </c>
      <c r="H77" s="4" t="str">
        <f ca="1">IFERROR(_xludf.XLOOKUP(C77,Milestones!$A$2:$A$501,Milestones!$M$2:$M$501),"")</f>
        <v/>
      </c>
      <c r="I77" s="4" t="str">
        <f t="shared" ca="1" si="4"/>
        <v/>
      </c>
      <c r="J77" s="4"/>
      <c r="K77" s="4" t="str">
        <f ca="1">IFERROR(_xludf.XLOOKUP(A77,Pracownicy!$A$2:$A$501,Pracownicy!$F$2:$F$501),"")</f>
        <v/>
      </c>
      <c r="L77" s="4"/>
      <c r="M77" s="4" t="str">
        <f t="shared" ca="1" si="5"/>
        <v/>
      </c>
      <c r="N77" s="4" t="str">
        <f t="shared" si="6"/>
        <v/>
      </c>
      <c r="O77" s="4" t="str">
        <f t="shared" ca="1" si="7"/>
        <v/>
      </c>
    </row>
    <row r="78" spans="1:15" x14ac:dyDescent="0.25">
      <c r="A78" s="4"/>
      <c r="B78" s="4" t="str">
        <f ca="1">IFERROR(_xludf.XLOOKUP(A78,Pracownicy!$A$2:$A$501,Pracownicy!$B$2:$B$501),"")</f>
        <v/>
      </c>
      <c r="C78" s="4"/>
      <c r="D78" s="4" t="str">
        <f ca="1">IFERROR(_xludf.XLOOKUP(C78,Milestones!$A$2:$A$501,Milestones!$B$2:$B$501),"")</f>
        <v/>
      </c>
      <c r="E78" s="4" t="str">
        <f ca="1">IFERROR(_xludf.XLOOKUP(D78,Projekty!$A$2:$A$501,Projekty!$B$2:$B$501),"")</f>
        <v/>
      </c>
      <c r="F78" s="4" t="str">
        <f ca="1">IFERROR(_xludf.XLOOKUP(C78,Milestones!$A$2:$A$501,Milestones!$C$2:$C$501),"")</f>
        <v/>
      </c>
      <c r="G78" s="4" t="str">
        <f ca="1">IFERROR(_xludf.XLOOKUP(C78,Milestones!$A$2:$A$501,Milestones!$F$2:$F$501),"")</f>
        <v/>
      </c>
      <c r="H78" s="4" t="str">
        <f ca="1">IFERROR(_xludf.XLOOKUP(C78,Milestones!$A$2:$A$501,Milestones!$M$2:$M$501),"")</f>
        <v/>
      </c>
      <c r="I78" s="4" t="str">
        <f t="shared" ca="1" si="4"/>
        <v/>
      </c>
      <c r="J78" s="4"/>
      <c r="K78" s="4" t="str">
        <f ca="1">IFERROR(_xludf.XLOOKUP(A78,Pracownicy!$A$2:$A$501,Pracownicy!$F$2:$F$501),"")</f>
        <v/>
      </c>
      <c r="L78" s="4"/>
      <c r="M78" s="4" t="str">
        <f t="shared" ca="1" si="5"/>
        <v/>
      </c>
      <c r="N78" s="4" t="str">
        <f t="shared" si="6"/>
        <v/>
      </c>
      <c r="O78" s="4" t="str">
        <f t="shared" ca="1" si="7"/>
        <v/>
      </c>
    </row>
    <row r="79" spans="1:15" x14ac:dyDescent="0.25">
      <c r="A79" s="4"/>
      <c r="B79" s="4" t="str">
        <f ca="1">IFERROR(_xludf.XLOOKUP(A79,Pracownicy!$A$2:$A$501,Pracownicy!$B$2:$B$501),"")</f>
        <v/>
      </c>
      <c r="C79" s="4"/>
      <c r="D79" s="4" t="str">
        <f ca="1">IFERROR(_xludf.XLOOKUP(C79,Milestones!$A$2:$A$501,Milestones!$B$2:$B$501),"")</f>
        <v/>
      </c>
      <c r="E79" s="4" t="str">
        <f ca="1">IFERROR(_xludf.XLOOKUP(D79,Projekty!$A$2:$A$501,Projekty!$B$2:$B$501),"")</f>
        <v/>
      </c>
      <c r="F79" s="4" t="str">
        <f ca="1">IFERROR(_xludf.XLOOKUP(C79,Milestones!$A$2:$A$501,Milestones!$C$2:$C$501),"")</f>
        <v/>
      </c>
      <c r="G79" s="4" t="str">
        <f ca="1">IFERROR(_xludf.XLOOKUP(C79,Milestones!$A$2:$A$501,Milestones!$F$2:$F$501),"")</f>
        <v/>
      </c>
      <c r="H79" s="4" t="str">
        <f ca="1">IFERROR(_xludf.XLOOKUP(C79,Milestones!$A$2:$A$501,Milestones!$M$2:$M$501),"")</f>
        <v/>
      </c>
      <c r="I79" s="4" t="str">
        <f t="shared" ca="1" si="4"/>
        <v/>
      </c>
      <c r="J79" s="4"/>
      <c r="K79" s="4" t="str">
        <f ca="1">IFERROR(_xludf.XLOOKUP(A79,Pracownicy!$A$2:$A$501,Pracownicy!$F$2:$F$501),"")</f>
        <v/>
      </c>
      <c r="L79" s="4"/>
      <c r="M79" s="4" t="str">
        <f t="shared" ca="1" si="5"/>
        <v/>
      </c>
      <c r="N79" s="4" t="str">
        <f t="shared" si="6"/>
        <v/>
      </c>
      <c r="O79" s="4" t="str">
        <f t="shared" ca="1" si="7"/>
        <v/>
      </c>
    </row>
    <row r="80" spans="1:15" x14ac:dyDescent="0.25">
      <c r="A80" s="4"/>
      <c r="B80" s="4" t="str">
        <f ca="1">IFERROR(_xludf.XLOOKUP(A80,Pracownicy!$A$2:$A$501,Pracownicy!$B$2:$B$501),"")</f>
        <v/>
      </c>
      <c r="C80" s="4"/>
      <c r="D80" s="4" t="str">
        <f ca="1">IFERROR(_xludf.XLOOKUP(C80,Milestones!$A$2:$A$501,Milestones!$B$2:$B$501),"")</f>
        <v/>
      </c>
      <c r="E80" s="4" t="str">
        <f ca="1">IFERROR(_xludf.XLOOKUP(D80,Projekty!$A$2:$A$501,Projekty!$B$2:$B$501),"")</f>
        <v/>
      </c>
      <c r="F80" s="4" t="str">
        <f ca="1">IFERROR(_xludf.XLOOKUP(C80,Milestones!$A$2:$A$501,Milestones!$C$2:$C$501),"")</f>
        <v/>
      </c>
      <c r="G80" s="4" t="str">
        <f ca="1">IFERROR(_xludf.XLOOKUP(C80,Milestones!$A$2:$A$501,Milestones!$F$2:$F$501),"")</f>
        <v/>
      </c>
      <c r="H80" s="4" t="str">
        <f ca="1">IFERROR(_xludf.XLOOKUP(C80,Milestones!$A$2:$A$501,Milestones!$M$2:$M$501),"")</f>
        <v/>
      </c>
      <c r="I80" s="4" t="str">
        <f t="shared" ca="1" si="4"/>
        <v/>
      </c>
      <c r="J80" s="4"/>
      <c r="K80" s="4" t="str">
        <f ca="1">IFERROR(_xludf.XLOOKUP(A80,Pracownicy!$A$2:$A$501,Pracownicy!$F$2:$F$501),"")</f>
        <v/>
      </c>
      <c r="L80" s="4"/>
      <c r="M80" s="4" t="str">
        <f t="shared" ca="1" si="5"/>
        <v/>
      </c>
      <c r="N80" s="4" t="str">
        <f t="shared" si="6"/>
        <v/>
      </c>
      <c r="O80" s="4" t="str">
        <f t="shared" ca="1" si="7"/>
        <v/>
      </c>
    </row>
    <row r="81" spans="1:15" x14ac:dyDescent="0.25">
      <c r="A81" s="4"/>
      <c r="B81" s="4" t="str">
        <f ca="1">IFERROR(_xludf.XLOOKUP(A81,Pracownicy!$A$2:$A$501,Pracownicy!$B$2:$B$501),"")</f>
        <v/>
      </c>
      <c r="C81" s="4"/>
      <c r="D81" s="4" t="str">
        <f ca="1">IFERROR(_xludf.XLOOKUP(C81,Milestones!$A$2:$A$501,Milestones!$B$2:$B$501),"")</f>
        <v/>
      </c>
      <c r="E81" s="4" t="str">
        <f ca="1">IFERROR(_xludf.XLOOKUP(D81,Projekty!$A$2:$A$501,Projekty!$B$2:$B$501),"")</f>
        <v/>
      </c>
      <c r="F81" s="4" t="str">
        <f ca="1">IFERROR(_xludf.XLOOKUP(C81,Milestones!$A$2:$A$501,Milestones!$C$2:$C$501),"")</f>
        <v/>
      </c>
      <c r="G81" s="4" t="str">
        <f ca="1">IFERROR(_xludf.XLOOKUP(C81,Milestones!$A$2:$A$501,Milestones!$F$2:$F$501),"")</f>
        <v/>
      </c>
      <c r="H81" s="4" t="str">
        <f ca="1">IFERROR(_xludf.XLOOKUP(C81,Milestones!$A$2:$A$501,Milestones!$M$2:$M$501),"")</f>
        <v/>
      </c>
      <c r="I81" s="4" t="str">
        <f t="shared" ca="1" si="4"/>
        <v/>
      </c>
      <c r="J81" s="4"/>
      <c r="K81" s="4" t="str">
        <f ca="1">IFERROR(_xludf.XLOOKUP(A81,Pracownicy!$A$2:$A$501,Pracownicy!$F$2:$F$501),"")</f>
        <v/>
      </c>
      <c r="L81" s="4"/>
      <c r="M81" s="4" t="str">
        <f t="shared" ca="1" si="5"/>
        <v/>
      </c>
      <c r="N81" s="4" t="str">
        <f t="shared" si="6"/>
        <v/>
      </c>
      <c r="O81" s="4" t="str">
        <f t="shared" ca="1" si="7"/>
        <v/>
      </c>
    </row>
    <row r="82" spans="1:15" x14ac:dyDescent="0.25">
      <c r="A82" s="4"/>
      <c r="B82" s="4" t="str">
        <f ca="1">IFERROR(_xludf.XLOOKUP(A82,Pracownicy!$A$2:$A$501,Pracownicy!$B$2:$B$501),"")</f>
        <v/>
      </c>
      <c r="C82" s="4"/>
      <c r="D82" s="4" t="str">
        <f ca="1">IFERROR(_xludf.XLOOKUP(C82,Milestones!$A$2:$A$501,Milestones!$B$2:$B$501),"")</f>
        <v/>
      </c>
      <c r="E82" s="4" t="str">
        <f ca="1">IFERROR(_xludf.XLOOKUP(D82,Projekty!$A$2:$A$501,Projekty!$B$2:$B$501),"")</f>
        <v/>
      </c>
      <c r="F82" s="4" t="str">
        <f ca="1">IFERROR(_xludf.XLOOKUP(C82,Milestones!$A$2:$A$501,Milestones!$C$2:$C$501),"")</f>
        <v/>
      </c>
      <c r="G82" s="4" t="str">
        <f ca="1">IFERROR(_xludf.XLOOKUP(C82,Milestones!$A$2:$A$501,Milestones!$F$2:$F$501),"")</f>
        <v/>
      </c>
      <c r="H82" s="4" t="str">
        <f ca="1">IFERROR(_xludf.XLOOKUP(C82,Milestones!$A$2:$A$501,Milestones!$M$2:$M$501),"")</f>
        <v/>
      </c>
      <c r="I82" s="4" t="str">
        <f t="shared" ca="1" si="4"/>
        <v/>
      </c>
      <c r="J82" s="4"/>
      <c r="K82" s="4" t="str">
        <f ca="1">IFERROR(_xludf.XLOOKUP(A82,Pracownicy!$A$2:$A$501,Pracownicy!$F$2:$F$501),"")</f>
        <v/>
      </c>
      <c r="L82" s="4"/>
      <c r="M82" s="4" t="str">
        <f t="shared" ca="1" si="5"/>
        <v/>
      </c>
      <c r="N82" s="4" t="str">
        <f t="shared" si="6"/>
        <v/>
      </c>
      <c r="O82" s="4" t="str">
        <f t="shared" ca="1" si="7"/>
        <v/>
      </c>
    </row>
    <row r="83" spans="1:15" x14ac:dyDescent="0.25">
      <c r="A83" s="4"/>
      <c r="B83" s="4" t="str">
        <f ca="1">IFERROR(_xludf.XLOOKUP(A83,Pracownicy!$A$2:$A$501,Pracownicy!$B$2:$B$501),"")</f>
        <v/>
      </c>
      <c r="C83" s="4"/>
      <c r="D83" s="4" t="str">
        <f ca="1">IFERROR(_xludf.XLOOKUP(C83,Milestones!$A$2:$A$501,Milestones!$B$2:$B$501),"")</f>
        <v/>
      </c>
      <c r="E83" s="4" t="str">
        <f ca="1">IFERROR(_xludf.XLOOKUP(D83,Projekty!$A$2:$A$501,Projekty!$B$2:$B$501),"")</f>
        <v/>
      </c>
      <c r="F83" s="4" t="str">
        <f ca="1">IFERROR(_xludf.XLOOKUP(C83,Milestones!$A$2:$A$501,Milestones!$C$2:$C$501),"")</f>
        <v/>
      </c>
      <c r="G83" s="4" t="str">
        <f ca="1">IFERROR(_xludf.XLOOKUP(C83,Milestones!$A$2:$A$501,Milestones!$F$2:$F$501),"")</f>
        <v/>
      </c>
      <c r="H83" s="4" t="str">
        <f ca="1">IFERROR(_xludf.XLOOKUP(C83,Milestones!$A$2:$A$501,Milestones!$M$2:$M$501),"")</f>
        <v/>
      </c>
      <c r="I83" s="4" t="str">
        <f t="shared" ca="1" si="4"/>
        <v/>
      </c>
      <c r="J83" s="4"/>
      <c r="K83" s="4" t="str">
        <f ca="1">IFERROR(_xludf.XLOOKUP(A83,Pracownicy!$A$2:$A$501,Pracownicy!$F$2:$F$501),"")</f>
        <v/>
      </c>
      <c r="L83" s="4"/>
      <c r="M83" s="4" t="str">
        <f t="shared" ca="1" si="5"/>
        <v/>
      </c>
      <c r="N83" s="4" t="str">
        <f t="shared" si="6"/>
        <v/>
      </c>
      <c r="O83" s="4" t="str">
        <f t="shared" ca="1" si="7"/>
        <v/>
      </c>
    </row>
    <row r="84" spans="1:15" x14ac:dyDescent="0.25">
      <c r="A84" s="4"/>
      <c r="B84" s="4" t="str">
        <f ca="1">IFERROR(_xludf.XLOOKUP(A84,Pracownicy!$A$2:$A$501,Pracownicy!$B$2:$B$501),"")</f>
        <v/>
      </c>
      <c r="C84" s="4"/>
      <c r="D84" s="4" t="str">
        <f ca="1">IFERROR(_xludf.XLOOKUP(C84,Milestones!$A$2:$A$501,Milestones!$B$2:$B$501),"")</f>
        <v/>
      </c>
      <c r="E84" s="4" t="str">
        <f ca="1">IFERROR(_xludf.XLOOKUP(D84,Projekty!$A$2:$A$501,Projekty!$B$2:$B$501),"")</f>
        <v/>
      </c>
      <c r="F84" s="4" t="str">
        <f ca="1">IFERROR(_xludf.XLOOKUP(C84,Milestones!$A$2:$A$501,Milestones!$C$2:$C$501),"")</f>
        <v/>
      </c>
      <c r="G84" s="4" t="str">
        <f ca="1">IFERROR(_xludf.XLOOKUP(C84,Milestones!$A$2:$A$501,Milestones!$F$2:$F$501),"")</f>
        <v/>
      </c>
      <c r="H84" s="4" t="str">
        <f ca="1">IFERROR(_xludf.XLOOKUP(C84,Milestones!$A$2:$A$501,Milestones!$M$2:$M$501),"")</f>
        <v/>
      </c>
      <c r="I84" s="4" t="str">
        <f t="shared" ca="1" si="4"/>
        <v/>
      </c>
      <c r="J84" s="4"/>
      <c r="K84" s="4" t="str">
        <f ca="1">IFERROR(_xludf.XLOOKUP(A84,Pracownicy!$A$2:$A$501,Pracownicy!$F$2:$F$501),"")</f>
        <v/>
      </c>
      <c r="L84" s="4"/>
      <c r="M84" s="4" t="str">
        <f t="shared" ca="1" si="5"/>
        <v/>
      </c>
      <c r="N84" s="4" t="str">
        <f t="shared" si="6"/>
        <v/>
      </c>
      <c r="O84" s="4" t="str">
        <f t="shared" ca="1" si="7"/>
        <v/>
      </c>
    </row>
    <row r="85" spans="1:15" x14ac:dyDescent="0.25">
      <c r="A85" s="4"/>
      <c r="B85" s="4" t="str">
        <f ca="1">IFERROR(_xludf.XLOOKUP(A85,Pracownicy!$A$2:$A$501,Pracownicy!$B$2:$B$501),"")</f>
        <v/>
      </c>
      <c r="C85" s="4"/>
      <c r="D85" s="4" t="str">
        <f ca="1">IFERROR(_xludf.XLOOKUP(C85,Milestones!$A$2:$A$501,Milestones!$B$2:$B$501),"")</f>
        <v/>
      </c>
      <c r="E85" s="4" t="str">
        <f ca="1">IFERROR(_xludf.XLOOKUP(D85,Projekty!$A$2:$A$501,Projekty!$B$2:$B$501),"")</f>
        <v/>
      </c>
      <c r="F85" s="4" t="str">
        <f ca="1">IFERROR(_xludf.XLOOKUP(C85,Milestones!$A$2:$A$501,Milestones!$C$2:$C$501),"")</f>
        <v/>
      </c>
      <c r="G85" s="4" t="str">
        <f ca="1">IFERROR(_xludf.XLOOKUP(C85,Milestones!$A$2:$A$501,Milestones!$F$2:$F$501),"")</f>
        <v/>
      </c>
      <c r="H85" s="4" t="str">
        <f ca="1">IFERROR(_xludf.XLOOKUP(C85,Milestones!$A$2:$A$501,Milestones!$M$2:$M$501),"")</f>
        <v/>
      </c>
      <c r="I85" s="4" t="str">
        <f t="shared" ca="1" si="4"/>
        <v/>
      </c>
      <c r="J85" s="4"/>
      <c r="K85" s="4" t="str">
        <f ca="1">IFERROR(_xludf.XLOOKUP(A85,Pracownicy!$A$2:$A$501,Pracownicy!$F$2:$F$501),"")</f>
        <v/>
      </c>
      <c r="L85" s="4"/>
      <c r="M85" s="4" t="str">
        <f t="shared" ca="1" si="5"/>
        <v/>
      </c>
      <c r="N85" s="4" t="str">
        <f t="shared" si="6"/>
        <v/>
      </c>
      <c r="O85" s="4" t="str">
        <f t="shared" ca="1" si="7"/>
        <v/>
      </c>
    </row>
    <row r="86" spans="1:15" x14ac:dyDescent="0.25">
      <c r="A86" s="4"/>
      <c r="B86" s="4" t="str">
        <f ca="1">IFERROR(_xludf.XLOOKUP(A86,Pracownicy!$A$2:$A$501,Pracownicy!$B$2:$B$501),"")</f>
        <v/>
      </c>
      <c r="C86" s="4"/>
      <c r="D86" s="4" t="str">
        <f ca="1">IFERROR(_xludf.XLOOKUP(C86,Milestones!$A$2:$A$501,Milestones!$B$2:$B$501),"")</f>
        <v/>
      </c>
      <c r="E86" s="4" t="str">
        <f ca="1">IFERROR(_xludf.XLOOKUP(D86,Projekty!$A$2:$A$501,Projekty!$B$2:$B$501),"")</f>
        <v/>
      </c>
      <c r="F86" s="4" t="str">
        <f ca="1">IFERROR(_xludf.XLOOKUP(C86,Milestones!$A$2:$A$501,Milestones!$C$2:$C$501),"")</f>
        <v/>
      </c>
      <c r="G86" s="4" t="str">
        <f ca="1">IFERROR(_xludf.XLOOKUP(C86,Milestones!$A$2:$A$501,Milestones!$F$2:$F$501),"")</f>
        <v/>
      </c>
      <c r="H86" s="4" t="str">
        <f ca="1">IFERROR(_xludf.XLOOKUP(C86,Milestones!$A$2:$A$501,Milestones!$M$2:$M$501),"")</f>
        <v/>
      </c>
      <c r="I86" s="4" t="str">
        <f t="shared" ca="1" si="4"/>
        <v/>
      </c>
      <c r="J86" s="4"/>
      <c r="K86" s="4" t="str">
        <f ca="1">IFERROR(_xludf.XLOOKUP(A86,Pracownicy!$A$2:$A$501,Pracownicy!$F$2:$F$501),"")</f>
        <v/>
      </c>
      <c r="L86" s="4"/>
      <c r="M86" s="4" t="str">
        <f t="shared" ca="1" si="5"/>
        <v/>
      </c>
      <c r="N86" s="4" t="str">
        <f t="shared" si="6"/>
        <v/>
      </c>
      <c r="O86" s="4" t="str">
        <f t="shared" ca="1" si="7"/>
        <v/>
      </c>
    </row>
    <row r="87" spans="1:15" x14ac:dyDescent="0.25">
      <c r="A87" s="4"/>
      <c r="B87" s="4" t="str">
        <f ca="1">IFERROR(_xludf.XLOOKUP(A87,Pracownicy!$A$2:$A$501,Pracownicy!$B$2:$B$501),"")</f>
        <v/>
      </c>
      <c r="C87" s="4"/>
      <c r="D87" s="4" t="str">
        <f ca="1">IFERROR(_xludf.XLOOKUP(C87,Milestones!$A$2:$A$501,Milestones!$B$2:$B$501),"")</f>
        <v/>
      </c>
      <c r="E87" s="4" t="str">
        <f ca="1">IFERROR(_xludf.XLOOKUP(D87,Projekty!$A$2:$A$501,Projekty!$B$2:$B$501),"")</f>
        <v/>
      </c>
      <c r="F87" s="4" t="str">
        <f ca="1">IFERROR(_xludf.XLOOKUP(C87,Milestones!$A$2:$A$501,Milestones!$C$2:$C$501),"")</f>
        <v/>
      </c>
      <c r="G87" s="4" t="str">
        <f ca="1">IFERROR(_xludf.XLOOKUP(C87,Milestones!$A$2:$A$501,Milestones!$F$2:$F$501),"")</f>
        <v/>
      </c>
      <c r="H87" s="4" t="str">
        <f ca="1">IFERROR(_xludf.XLOOKUP(C87,Milestones!$A$2:$A$501,Milestones!$M$2:$M$501),"")</f>
        <v/>
      </c>
      <c r="I87" s="4" t="str">
        <f t="shared" ca="1" si="4"/>
        <v/>
      </c>
      <c r="J87" s="4"/>
      <c r="K87" s="4" t="str">
        <f ca="1">IFERROR(_xludf.XLOOKUP(A87,Pracownicy!$A$2:$A$501,Pracownicy!$F$2:$F$501),"")</f>
        <v/>
      </c>
      <c r="L87" s="4"/>
      <c r="M87" s="4" t="str">
        <f t="shared" ca="1" si="5"/>
        <v/>
      </c>
      <c r="N87" s="4" t="str">
        <f t="shared" si="6"/>
        <v/>
      </c>
      <c r="O87" s="4" t="str">
        <f t="shared" ca="1" si="7"/>
        <v/>
      </c>
    </row>
    <row r="88" spans="1:15" x14ac:dyDescent="0.25">
      <c r="A88" s="4"/>
      <c r="B88" s="4" t="str">
        <f ca="1">IFERROR(_xludf.XLOOKUP(A88,Pracownicy!$A$2:$A$501,Pracownicy!$B$2:$B$501),"")</f>
        <v/>
      </c>
      <c r="C88" s="4"/>
      <c r="D88" s="4" t="str">
        <f ca="1">IFERROR(_xludf.XLOOKUP(C88,Milestones!$A$2:$A$501,Milestones!$B$2:$B$501),"")</f>
        <v/>
      </c>
      <c r="E88" s="4" t="str">
        <f ca="1">IFERROR(_xludf.XLOOKUP(D88,Projekty!$A$2:$A$501,Projekty!$B$2:$B$501),"")</f>
        <v/>
      </c>
      <c r="F88" s="4" t="str">
        <f ca="1">IFERROR(_xludf.XLOOKUP(C88,Milestones!$A$2:$A$501,Milestones!$C$2:$C$501),"")</f>
        <v/>
      </c>
      <c r="G88" s="4" t="str">
        <f ca="1">IFERROR(_xludf.XLOOKUP(C88,Milestones!$A$2:$A$501,Milestones!$F$2:$F$501),"")</f>
        <v/>
      </c>
      <c r="H88" s="4" t="str">
        <f ca="1">IFERROR(_xludf.XLOOKUP(C88,Milestones!$A$2:$A$501,Milestones!$M$2:$M$501),"")</f>
        <v/>
      </c>
      <c r="I88" s="4" t="str">
        <f t="shared" ca="1" si="4"/>
        <v/>
      </c>
      <c r="J88" s="4"/>
      <c r="K88" s="4" t="str">
        <f ca="1">IFERROR(_xludf.XLOOKUP(A88,Pracownicy!$A$2:$A$501,Pracownicy!$F$2:$F$501),"")</f>
        <v/>
      </c>
      <c r="L88" s="4"/>
      <c r="M88" s="4" t="str">
        <f t="shared" ca="1" si="5"/>
        <v/>
      </c>
      <c r="N88" s="4" t="str">
        <f t="shared" si="6"/>
        <v/>
      </c>
      <c r="O88" s="4" t="str">
        <f t="shared" ca="1" si="7"/>
        <v/>
      </c>
    </row>
    <row r="89" spans="1:15" x14ac:dyDescent="0.25">
      <c r="A89" s="4"/>
      <c r="B89" s="4" t="str">
        <f ca="1">IFERROR(_xludf.XLOOKUP(A89,Pracownicy!$A$2:$A$501,Pracownicy!$B$2:$B$501),"")</f>
        <v/>
      </c>
      <c r="C89" s="4"/>
      <c r="D89" s="4" t="str">
        <f ca="1">IFERROR(_xludf.XLOOKUP(C89,Milestones!$A$2:$A$501,Milestones!$B$2:$B$501),"")</f>
        <v/>
      </c>
      <c r="E89" s="4" t="str">
        <f ca="1">IFERROR(_xludf.XLOOKUP(D89,Projekty!$A$2:$A$501,Projekty!$B$2:$B$501),"")</f>
        <v/>
      </c>
      <c r="F89" s="4" t="str">
        <f ca="1">IFERROR(_xludf.XLOOKUP(C89,Milestones!$A$2:$A$501,Milestones!$C$2:$C$501),"")</f>
        <v/>
      </c>
      <c r="G89" s="4" t="str">
        <f ca="1">IFERROR(_xludf.XLOOKUP(C89,Milestones!$A$2:$A$501,Milestones!$F$2:$F$501),"")</f>
        <v/>
      </c>
      <c r="H89" s="4" t="str">
        <f ca="1">IFERROR(_xludf.XLOOKUP(C89,Milestones!$A$2:$A$501,Milestones!$M$2:$M$501),"")</f>
        <v/>
      </c>
      <c r="I89" s="4" t="str">
        <f t="shared" ca="1" si="4"/>
        <v/>
      </c>
      <c r="J89" s="4"/>
      <c r="K89" s="4" t="str">
        <f ca="1">IFERROR(_xludf.XLOOKUP(A89,Pracownicy!$A$2:$A$501,Pracownicy!$F$2:$F$501),"")</f>
        <v/>
      </c>
      <c r="L89" s="4"/>
      <c r="M89" s="4" t="str">
        <f t="shared" ca="1" si="5"/>
        <v/>
      </c>
      <c r="N89" s="4" t="str">
        <f t="shared" si="6"/>
        <v/>
      </c>
      <c r="O89" s="4" t="str">
        <f t="shared" ca="1" si="7"/>
        <v/>
      </c>
    </row>
    <row r="90" spans="1:15" x14ac:dyDescent="0.25">
      <c r="A90" s="4"/>
      <c r="B90" s="4" t="str">
        <f ca="1">IFERROR(_xludf.XLOOKUP(A90,Pracownicy!$A$2:$A$501,Pracownicy!$B$2:$B$501),"")</f>
        <v/>
      </c>
      <c r="C90" s="4"/>
      <c r="D90" s="4" t="str">
        <f ca="1">IFERROR(_xludf.XLOOKUP(C90,Milestones!$A$2:$A$501,Milestones!$B$2:$B$501),"")</f>
        <v/>
      </c>
      <c r="E90" s="4" t="str">
        <f ca="1">IFERROR(_xludf.XLOOKUP(D90,Projekty!$A$2:$A$501,Projekty!$B$2:$B$501),"")</f>
        <v/>
      </c>
      <c r="F90" s="4" t="str">
        <f ca="1">IFERROR(_xludf.XLOOKUP(C90,Milestones!$A$2:$A$501,Milestones!$C$2:$C$501),"")</f>
        <v/>
      </c>
      <c r="G90" s="4" t="str">
        <f ca="1">IFERROR(_xludf.XLOOKUP(C90,Milestones!$A$2:$A$501,Milestones!$F$2:$F$501),"")</f>
        <v/>
      </c>
      <c r="H90" s="4" t="str">
        <f ca="1">IFERROR(_xludf.XLOOKUP(C90,Milestones!$A$2:$A$501,Milestones!$M$2:$M$501),"")</f>
        <v/>
      </c>
      <c r="I90" s="4" t="str">
        <f t="shared" ca="1" si="4"/>
        <v/>
      </c>
      <c r="J90" s="4"/>
      <c r="K90" s="4" t="str">
        <f ca="1">IFERROR(_xludf.XLOOKUP(A90,Pracownicy!$A$2:$A$501,Pracownicy!$F$2:$F$501),"")</f>
        <v/>
      </c>
      <c r="L90" s="4"/>
      <c r="M90" s="4" t="str">
        <f t="shared" ca="1" si="5"/>
        <v/>
      </c>
      <c r="N90" s="4" t="str">
        <f t="shared" si="6"/>
        <v/>
      </c>
      <c r="O90" s="4" t="str">
        <f t="shared" ca="1" si="7"/>
        <v/>
      </c>
    </row>
    <row r="91" spans="1:15" x14ac:dyDescent="0.25">
      <c r="A91" s="4"/>
      <c r="B91" s="4" t="str">
        <f ca="1">IFERROR(_xludf.XLOOKUP(A91,Pracownicy!$A$2:$A$501,Pracownicy!$B$2:$B$501),"")</f>
        <v/>
      </c>
      <c r="C91" s="4"/>
      <c r="D91" s="4" t="str">
        <f ca="1">IFERROR(_xludf.XLOOKUP(C91,Milestones!$A$2:$A$501,Milestones!$B$2:$B$501),"")</f>
        <v/>
      </c>
      <c r="E91" s="4" t="str">
        <f ca="1">IFERROR(_xludf.XLOOKUP(D91,Projekty!$A$2:$A$501,Projekty!$B$2:$B$501),"")</f>
        <v/>
      </c>
      <c r="F91" s="4" t="str">
        <f ca="1">IFERROR(_xludf.XLOOKUP(C91,Milestones!$A$2:$A$501,Milestones!$C$2:$C$501),"")</f>
        <v/>
      </c>
      <c r="G91" s="4" t="str">
        <f ca="1">IFERROR(_xludf.XLOOKUP(C91,Milestones!$A$2:$A$501,Milestones!$F$2:$F$501),"")</f>
        <v/>
      </c>
      <c r="H91" s="4" t="str">
        <f ca="1">IFERROR(_xludf.XLOOKUP(C91,Milestones!$A$2:$A$501,Milestones!$M$2:$M$501),"")</f>
        <v/>
      </c>
      <c r="I91" s="4" t="str">
        <f t="shared" ca="1" si="4"/>
        <v/>
      </c>
      <c r="J91" s="4"/>
      <c r="K91" s="4" t="str">
        <f ca="1">IFERROR(_xludf.XLOOKUP(A91,Pracownicy!$A$2:$A$501,Pracownicy!$F$2:$F$501),"")</f>
        <v/>
      </c>
      <c r="L91" s="4"/>
      <c r="M91" s="4" t="str">
        <f t="shared" ca="1" si="5"/>
        <v/>
      </c>
      <c r="N91" s="4" t="str">
        <f t="shared" si="6"/>
        <v/>
      </c>
      <c r="O91" s="4" t="str">
        <f t="shared" ca="1" si="7"/>
        <v/>
      </c>
    </row>
    <row r="92" spans="1:15" x14ac:dyDescent="0.25">
      <c r="A92" s="4"/>
      <c r="B92" s="4" t="str">
        <f ca="1">IFERROR(_xludf.XLOOKUP(A92,Pracownicy!$A$2:$A$501,Pracownicy!$B$2:$B$501),"")</f>
        <v/>
      </c>
      <c r="C92" s="4"/>
      <c r="D92" s="4" t="str">
        <f ca="1">IFERROR(_xludf.XLOOKUP(C92,Milestones!$A$2:$A$501,Milestones!$B$2:$B$501),"")</f>
        <v/>
      </c>
      <c r="E92" s="4" t="str">
        <f ca="1">IFERROR(_xludf.XLOOKUP(D92,Projekty!$A$2:$A$501,Projekty!$B$2:$B$501),"")</f>
        <v/>
      </c>
      <c r="F92" s="4" t="str">
        <f ca="1">IFERROR(_xludf.XLOOKUP(C92,Milestones!$A$2:$A$501,Milestones!$C$2:$C$501),"")</f>
        <v/>
      </c>
      <c r="G92" s="4" t="str">
        <f ca="1">IFERROR(_xludf.XLOOKUP(C92,Milestones!$A$2:$A$501,Milestones!$F$2:$F$501),"")</f>
        <v/>
      </c>
      <c r="H92" s="4" t="str">
        <f ca="1">IFERROR(_xludf.XLOOKUP(C92,Milestones!$A$2:$A$501,Milestones!$M$2:$M$501),"")</f>
        <v/>
      </c>
      <c r="I92" s="4" t="str">
        <f t="shared" ca="1" si="4"/>
        <v/>
      </c>
      <c r="J92" s="4"/>
      <c r="K92" s="4" t="str">
        <f ca="1">IFERROR(_xludf.XLOOKUP(A92,Pracownicy!$A$2:$A$501,Pracownicy!$F$2:$F$501),"")</f>
        <v/>
      </c>
      <c r="L92" s="4"/>
      <c r="M92" s="4" t="str">
        <f t="shared" ca="1" si="5"/>
        <v/>
      </c>
      <c r="N92" s="4" t="str">
        <f t="shared" si="6"/>
        <v/>
      </c>
      <c r="O92" s="4" t="str">
        <f t="shared" ca="1" si="7"/>
        <v/>
      </c>
    </row>
    <row r="93" spans="1:15" x14ac:dyDescent="0.25">
      <c r="A93" s="4"/>
      <c r="B93" s="4" t="str">
        <f ca="1">IFERROR(_xludf.XLOOKUP(A93,Pracownicy!$A$2:$A$501,Pracownicy!$B$2:$B$501),"")</f>
        <v/>
      </c>
      <c r="C93" s="4"/>
      <c r="D93" s="4" t="str">
        <f ca="1">IFERROR(_xludf.XLOOKUP(C93,Milestones!$A$2:$A$501,Milestones!$B$2:$B$501),"")</f>
        <v/>
      </c>
      <c r="E93" s="4" t="str">
        <f ca="1">IFERROR(_xludf.XLOOKUP(D93,Projekty!$A$2:$A$501,Projekty!$B$2:$B$501),"")</f>
        <v/>
      </c>
      <c r="F93" s="4" t="str">
        <f ca="1">IFERROR(_xludf.XLOOKUP(C93,Milestones!$A$2:$A$501,Milestones!$C$2:$C$501),"")</f>
        <v/>
      </c>
      <c r="G93" s="4" t="str">
        <f ca="1">IFERROR(_xludf.XLOOKUP(C93,Milestones!$A$2:$A$501,Milestones!$F$2:$F$501),"")</f>
        <v/>
      </c>
      <c r="H93" s="4" t="str">
        <f ca="1">IFERROR(_xludf.XLOOKUP(C93,Milestones!$A$2:$A$501,Milestones!$M$2:$M$501),"")</f>
        <v/>
      </c>
      <c r="I93" s="4" t="str">
        <f t="shared" ca="1" si="4"/>
        <v/>
      </c>
      <c r="J93" s="4"/>
      <c r="K93" s="4" t="str">
        <f ca="1">IFERROR(_xludf.XLOOKUP(A93,Pracownicy!$A$2:$A$501,Pracownicy!$F$2:$F$501),"")</f>
        <v/>
      </c>
      <c r="L93" s="4"/>
      <c r="M93" s="4" t="str">
        <f t="shared" ca="1" si="5"/>
        <v/>
      </c>
      <c r="N93" s="4" t="str">
        <f t="shared" si="6"/>
        <v/>
      </c>
      <c r="O93" s="4" t="str">
        <f t="shared" ca="1" si="7"/>
        <v/>
      </c>
    </row>
    <row r="94" spans="1:15" x14ac:dyDescent="0.25">
      <c r="A94" s="4"/>
      <c r="B94" s="4" t="str">
        <f ca="1">IFERROR(_xludf.XLOOKUP(A94,Pracownicy!$A$2:$A$501,Pracownicy!$B$2:$B$501),"")</f>
        <v/>
      </c>
      <c r="C94" s="4"/>
      <c r="D94" s="4" t="str">
        <f ca="1">IFERROR(_xludf.XLOOKUP(C94,Milestones!$A$2:$A$501,Milestones!$B$2:$B$501),"")</f>
        <v/>
      </c>
      <c r="E94" s="4" t="str">
        <f ca="1">IFERROR(_xludf.XLOOKUP(D94,Projekty!$A$2:$A$501,Projekty!$B$2:$B$501),"")</f>
        <v/>
      </c>
      <c r="F94" s="4" t="str">
        <f ca="1">IFERROR(_xludf.XLOOKUP(C94,Milestones!$A$2:$A$501,Milestones!$C$2:$C$501),"")</f>
        <v/>
      </c>
      <c r="G94" s="4" t="str">
        <f ca="1">IFERROR(_xludf.XLOOKUP(C94,Milestones!$A$2:$A$501,Milestones!$F$2:$F$501),"")</f>
        <v/>
      </c>
      <c r="H94" s="4" t="str">
        <f ca="1">IFERROR(_xludf.XLOOKUP(C94,Milestones!$A$2:$A$501,Milestones!$M$2:$M$501),"")</f>
        <v/>
      </c>
      <c r="I94" s="4" t="str">
        <f t="shared" ca="1" si="4"/>
        <v/>
      </c>
      <c r="J94" s="4"/>
      <c r="K94" s="4" t="str">
        <f ca="1">IFERROR(_xludf.XLOOKUP(A94,Pracownicy!$A$2:$A$501,Pracownicy!$F$2:$F$501),"")</f>
        <v/>
      </c>
      <c r="L94" s="4"/>
      <c r="M94" s="4" t="str">
        <f t="shared" ca="1" si="5"/>
        <v/>
      </c>
      <c r="N94" s="4" t="str">
        <f t="shared" si="6"/>
        <v/>
      </c>
      <c r="O94" s="4" t="str">
        <f t="shared" ca="1" si="7"/>
        <v/>
      </c>
    </row>
    <row r="95" spans="1:15" x14ac:dyDescent="0.25">
      <c r="A95" s="4"/>
      <c r="B95" s="4" t="str">
        <f ca="1">IFERROR(_xludf.XLOOKUP(A95,Pracownicy!$A$2:$A$501,Pracownicy!$B$2:$B$501),"")</f>
        <v/>
      </c>
      <c r="C95" s="4"/>
      <c r="D95" s="4" t="str">
        <f ca="1">IFERROR(_xludf.XLOOKUP(C95,Milestones!$A$2:$A$501,Milestones!$B$2:$B$501),"")</f>
        <v/>
      </c>
      <c r="E95" s="4" t="str">
        <f ca="1">IFERROR(_xludf.XLOOKUP(D95,Projekty!$A$2:$A$501,Projekty!$B$2:$B$501),"")</f>
        <v/>
      </c>
      <c r="F95" s="4" t="str">
        <f ca="1">IFERROR(_xludf.XLOOKUP(C95,Milestones!$A$2:$A$501,Milestones!$C$2:$C$501),"")</f>
        <v/>
      </c>
      <c r="G95" s="4" t="str">
        <f ca="1">IFERROR(_xludf.XLOOKUP(C95,Milestones!$A$2:$A$501,Milestones!$F$2:$F$501),"")</f>
        <v/>
      </c>
      <c r="H95" s="4" t="str">
        <f ca="1">IFERROR(_xludf.XLOOKUP(C95,Milestones!$A$2:$A$501,Milestones!$M$2:$M$501),"")</f>
        <v/>
      </c>
      <c r="I95" s="4" t="str">
        <f t="shared" ca="1" si="4"/>
        <v/>
      </c>
      <c r="J95" s="4"/>
      <c r="K95" s="4" t="str">
        <f ca="1">IFERROR(_xludf.XLOOKUP(A95,Pracownicy!$A$2:$A$501,Pracownicy!$F$2:$F$501),"")</f>
        <v/>
      </c>
      <c r="L95" s="4"/>
      <c r="M95" s="4" t="str">
        <f t="shared" ca="1" si="5"/>
        <v/>
      </c>
      <c r="N95" s="4" t="str">
        <f t="shared" si="6"/>
        <v/>
      </c>
      <c r="O95" s="4" t="str">
        <f t="shared" ca="1" si="7"/>
        <v/>
      </c>
    </row>
    <row r="96" spans="1:15" x14ac:dyDescent="0.25">
      <c r="A96" s="4"/>
      <c r="B96" s="4" t="str">
        <f ca="1">IFERROR(_xludf.XLOOKUP(A96,Pracownicy!$A$2:$A$501,Pracownicy!$B$2:$B$501),"")</f>
        <v/>
      </c>
      <c r="C96" s="4"/>
      <c r="D96" s="4" t="str">
        <f ca="1">IFERROR(_xludf.XLOOKUP(C96,Milestones!$A$2:$A$501,Milestones!$B$2:$B$501),"")</f>
        <v/>
      </c>
      <c r="E96" s="4" t="str">
        <f ca="1">IFERROR(_xludf.XLOOKUP(D96,Projekty!$A$2:$A$501,Projekty!$B$2:$B$501),"")</f>
        <v/>
      </c>
      <c r="F96" s="4" t="str">
        <f ca="1">IFERROR(_xludf.XLOOKUP(C96,Milestones!$A$2:$A$501,Milestones!$C$2:$C$501),"")</f>
        <v/>
      </c>
      <c r="G96" s="4" t="str">
        <f ca="1">IFERROR(_xludf.XLOOKUP(C96,Milestones!$A$2:$A$501,Milestones!$F$2:$F$501),"")</f>
        <v/>
      </c>
      <c r="H96" s="4" t="str">
        <f ca="1">IFERROR(_xludf.XLOOKUP(C96,Milestones!$A$2:$A$501,Milestones!$M$2:$M$501),"")</f>
        <v/>
      </c>
      <c r="I96" s="4" t="str">
        <f t="shared" ca="1" si="4"/>
        <v/>
      </c>
      <c r="J96" s="4"/>
      <c r="K96" s="4" t="str">
        <f ca="1">IFERROR(_xludf.XLOOKUP(A96,Pracownicy!$A$2:$A$501,Pracownicy!$F$2:$F$501),"")</f>
        <v/>
      </c>
      <c r="L96" s="4"/>
      <c r="M96" s="4" t="str">
        <f t="shared" ca="1" si="5"/>
        <v/>
      </c>
      <c r="N96" s="4" t="str">
        <f t="shared" si="6"/>
        <v/>
      </c>
      <c r="O96" s="4" t="str">
        <f t="shared" ca="1" si="7"/>
        <v/>
      </c>
    </row>
    <row r="97" spans="1:15" x14ac:dyDescent="0.25">
      <c r="A97" s="4"/>
      <c r="B97" s="4" t="str">
        <f ca="1">IFERROR(_xludf.XLOOKUP(A97,Pracownicy!$A$2:$A$501,Pracownicy!$B$2:$B$501),"")</f>
        <v/>
      </c>
      <c r="C97" s="4"/>
      <c r="D97" s="4" t="str">
        <f ca="1">IFERROR(_xludf.XLOOKUP(C97,Milestones!$A$2:$A$501,Milestones!$B$2:$B$501),"")</f>
        <v/>
      </c>
      <c r="E97" s="4" t="str">
        <f ca="1">IFERROR(_xludf.XLOOKUP(D97,Projekty!$A$2:$A$501,Projekty!$B$2:$B$501),"")</f>
        <v/>
      </c>
      <c r="F97" s="4" t="str">
        <f ca="1">IFERROR(_xludf.XLOOKUP(C97,Milestones!$A$2:$A$501,Milestones!$C$2:$C$501),"")</f>
        <v/>
      </c>
      <c r="G97" s="4" t="str">
        <f ca="1">IFERROR(_xludf.XLOOKUP(C97,Milestones!$A$2:$A$501,Milestones!$F$2:$F$501),"")</f>
        <v/>
      </c>
      <c r="H97" s="4" t="str">
        <f ca="1">IFERROR(_xludf.XLOOKUP(C97,Milestones!$A$2:$A$501,Milestones!$M$2:$M$501),"")</f>
        <v/>
      </c>
      <c r="I97" s="4" t="str">
        <f t="shared" ca="1" si="4"/>
        <v/>
      </c>
      <c r="J97" s="4"/>
      <c r="K97" s="4" t="str">
        <f ca="1">IFERROR(_xludf.XLOOKUP(A97,Pracownicy!$A$2:$A$501,Pracownicy!$F$2:$F$501),"")</f>
        <v/>
      </c>
      <c r="L97" s="4"/>
      <c r="M97" s="4" t="str">
        <f t="shared" ca="1" si="5"/>
        <v/>
      </c>
      <c r="N97" s="4" t="str">
        <f t="shared" si="6"/>
        <v/>
      </c>
      <c r="O97" s="4" t="str">
        <f t="shared" ca="1" si="7"/>
        <v/>
      </c>
    </row>
    <row r="98" spans="1:15" x14ac:dyDescent="0.25">
      <c r="A98" s="4"/>
      <c r="B98" s="4" t="str">
        <f ca="1">IFERROR(_xludf.XLOOKUP(A98,Pracownicy!$A$2:$A$501,Pracownicy!$B$2:$B$501),"")</f>
        <v/>
      </c>
      <c r="C98" s="4"/>
      <c r="D98" s="4" t="str">
        <f ca="1">IFERROR(_xludf.XLOOKUP(C98,Milestones!$A$2:$A$501,Milestones!$B$2:$B$501),"")</f>
        <v/>
      </c>
      <c r="E98" s="4" t="str">
        <f ca="1">IFERROR(_xludf.XLOOKUP(D98,Projekty!$A$2:$A$501,Projekty!$B$2:$B$501),"")</f>
        <v/>
      </c>
      <c r="F98" s="4" t="str">
        <f ca="1">IFERROR(_xludf.XLOOKUP(C98,Milestones!$A$2:$A$501,Milestones!$C$2:$C$501),"")</f>
        <v/>
      </c>
      <c r="G98" s="4" t="str">
        <f ca="1">IFERROR(_xludf.XLOOKUP(C98,Milestones!$A$2:$A$501,Milestones!$F$2:$F$501),"")</f>
        <v/>
      </c>
      <c r="H98" s="4" t="str">
        <f ca="1">IFERROR(_xludf.XLOOKUP(C98,Milestones!$A$2:$A$501,Milestones!$M$2:$M$501),"")</f>
        <v/>
      </c>
      <c r="I98" s="4" t="str">
        <f t="shared" ca="1" si="4"/>
        <v/>
      </c>
      <c r="J98" s="4"/>
      <c r="K98" s="4" t="str">
        <f ca="1">IFERROR(_xludf.XLOOKUP(A98,Pracownicy!$A$2:$A$501,Pracownicy!$F$2:$F$501),"")</f>
        <v/>
      </c>
      <c r="L98" s="4"/>
      <c r="M98" s="4" t="str">
        <f t="shared" ca="1" si="5"/>
        <v/>
      </c>
      <c r="N98" s="4" t="str">
        <f t="shared" si="6"/>
        <v/>
      </c>
      <c r="O98" s="4" t="str">
        <f t="shared" ca="1" si="7"/>
        <v/>
      </c>
    </row>
    <row r="99" spans="1:15" x14ac:dyDescent="0.25">
      <c r="A99" s="4"/>
      <c r="B99" s="4" t="str">
        <f ca="1">IFERROR(_xludf.XLOOKUP(A99,Pracownicy!$A$2:$A$501,Pracownicy!$B$2:$B$501),"")</f>
        <v/>
      </c>
      <c r="C99" s="4"/>
      <c r="D99" s="4" t="str">
        <f ca="1">IFERROR(_xludf.XLOOKUP(C99,Milestones!$A$2:$A$501,Milestones!$B$2:$B$501),"")</f>
        <v/>
      </c>
      <c r="E99" s="4" t="str">
        <f ca="1">IFERROR(_xludf.XLOOKUP(D99,Projekty!$A$2:$A$501,Projekty!$B$2:$B$501),"")</f>
        <v/>
      </c>
      <c r="F99" s="4" t="str">
        <f ca="1">IFERROR(_xludf.XLOOKUP(C99,Milestones!$A$2:$A$501,Milestones!$C$2:$C$501),"")</f>
        <v/>
      </c>
      <c r="G99" s="4" t="str">
        <f ca="1">IFERROR(_xludf.XLOOKUP(C99,Milestones!$A$2:$A$501,Milestones!$F$2:$F$501),"")</f>
        <v/>
      </c>
      <c r="H99" s="4" t="str">
        <f ca="1">IFERROR(_xludf.XLOOKUP(C99,Milestones!$A$2:$A$501,Milestones!$M$2:$M$501),"")</f>
        <v/>
      </c>
      <c r="I99" s="4" t="str">
        <f t="shared" ca="1" si="4"/>
        <v/>
      </c>
      <c r="J99" s="4"/>
      <c r="K99" s="4" t="str">
        <f ca="1">IFERROR(_xludf.XLOOKUP(A99,Pracownicy!$A$2:$A$501,Pracownicy!$F$2:$F$501),"")</f>
        <v/>
      </c>
      <c r="L99" s="4"/>
      <c r="M99" s="4" t="str">
        <f t="shared" ca="1" si="5"/>
        <v/>
      </c>
      <c r="N99" s="4" t="str">
        <f t="shared" si="6"/>
        <v/>
      </c>
      <c r="O99" s="4" t="str">
        <f t="shared" ca="1" si="7"/>
        <v/>
      </c>
    </row>
    <row r="100" spans="1:15" x14ac:dyDescent="0.25">
      <c r="A100" s="4"/>
      <c r="B100" s="4" t="str">
        <f ca="1">IFERROR(_xludf.XLOOKUP(A100,Pracownicy!$A$2:$A$501,Pracownicy!$B$2:$B$501),"")</f>
        <v/>
      </c>
      <c r="C100" s="4"/>
      <c r="D100" s="4" t="str">
        <f ca="1">IFERROR(_xludf.XLOOKUP(C100,Milestones!$A$2:$A$501,Milestones!$B$2:$B$501),"")</f>
        <v/>
      </c>
      <c r="E100" s="4" t="str">
        <f ca="1">IFERROR(_xludf.XLOOKUP(D100,Projekty!$A$2:$A$501,Projekty!$B$2:$B$501),"")</f>
        <v/>
      </c>
      <c r="F100" s="4" t="str">
        <f ca="1">IFERROR(_xludf.XLOOKUP(C100,Milestones!$A$2:$A$501,Milestones!$C$2:$C$501),"")</f>
        <v/>
      </c>
      <c r="G100" s="4" t="str">
        <f ca="1">IFERROR(_xludf.XLOOKUP(C100,Milestones!$A$2:$A$501,Milestones!$F$2:$F$501),"")</f>
        <v/>
      </c>
      <c r="H100" s="4" t="str">
        <f ca="1">IFERROR(_xludf.XLOOKUP(C100,Milestones!$A$2:$A$501,Milestones!$M$2:$M$501),"")</f>
        <v/>
      </c>
      <c r="I100" s="4" t="str">
        <f t="shared" ca="1" si="4"/>
        <v/>
      </c>
      <c r="J100" s="4"/>
      <c r="K100" s="4" t="str">
        <f ca="1">IFERROR(_xludf.XLOOKUP(A100,Pracownicy!$A$2:$A$501,Pracownicy!$F$2:$F$501),"")</f>
        <v/>
      </c>
      <c r="L100" s="4"/>
      <c r="M100" s="4" t="str">
        <f t="shared" ca="1" si="5"/>
        <v/>
      </c>
      <c r="N100" s="4" t="str">
        <f t="shared" si="6"/>
        <v/>
      </c>
      <c r="O100" s="4" t="str">
        <f t="shared" ca="1" si="7"/>
        <v/>
      </c>
    </row>
    <row r="101" spans="1:15" x14ac:dyDescent="0.25">
      <c r="A101" s="4"/>
      <c r="B101" s="4" t="str">
        <f ca="1">IFERROR(_xludf.XLOOKUP(A101,Pracownicy!$A$2:$A$501,Pracownicy!$B$2:$B$501),"")</f>
        <v/>
      </c>
      <c r="C101" s="4"/>
      <c r="D101" s="4" t="str">
        <f ca="1">IFERROR(_xludf.XLOOKUP(C101,Milestones!$A$2:$A$501,Milestones!$B$2:$B$501),"")</f>
        <v/>
      </c>
      <c r="E101" s="4" t="str">
        <f ca="1">IFERROR(_xludf.XLOOKUP(D101,Projekty!$A$2:$A$501,Projekty!$B$2:$B$501),"")</f>
        <v/>
      </c>
      <c r="F101" s="4" t="str">
        <f ca="1">IFERROR(_xludf.XLOOKUP(C101,Milestones!$A$2:$A$501,Milestones!$C$2:$C$501),"")</f>
        <v/>
      </c>
      <c r="G101" s="4" t="str">
        <f ca="1">IFERROR(_xludf.XLOOKUP(C101,Milestones!$A$2:$A$501,Milestones!$F$2:$F$501),"")</f>
        <v/>
      </c>
      <c r="H101" s="4" t="str">
        <f ca="1">IFERROR(_xludf.XLOOKUP(C101,Milestones!$A$2:$A$501,Milestones!$M$2:$M$501),"")</f>
        <v/>
      </c>
      <c r="I101" s="4" t="str">
        <f t="shared" ca="1" si="4"/>
        <v/>
      </c>
      <c r="J101" s="4"/>
      <c r="K101" s="4" t="str">
        <f ca="1">IFERROR(_xludf.XLOOKUP(A101,Pracownicy!$A$2:$A$501,Pracownicy!$F$2:$F$501),"")</f>
        <v/>
      </c>
      <c r="L101" s="4"/>
      <c r="M101" s="4" t="str">
        <f t="shared" ca="1" si="5"/>
        <v/>
      </c>
      <c r="N101" s="4" t="str">
        <f t="shared" si="6"/>
        <v/>
      </c>
      <c r="O101" s="4" t="str">
        <f t="shared" ca="1" si="7"/>
        <v/>
      </c>
    </row>
    <row r="102" spans="1:15" x14ac:dyDescent="0.25">
      <c r="A102" s="4"/>
      <c r="B102" s="4" t="str">
        <f ca="1">IFERROR(_xludf.XLOOKUP(A102,Pracownicy!$A$2:$A$501,Pracownicy!$B$2:$B$501),"")</f>
        <v/>
      </c>
      <c r="C102" s="4"/>
      <c r="D102" s="4" t="str">
        <f ca="1">IFERROR(_xludf.XLOOKUP(C102,Milestones!$A$2:$A$501,Milestones!$B$2:$B$501),"")</f>
        <v/>
      </c>
      <c r="E102" s="4" t="str">
        <f ca="1">IFERROR(_xludf.XLOOKUP(D102,Projekty!$A$2:$A$501,Projekty!$B$2:$B$501),"")</f>
        <v/>
      </c>
      <c r="F102" s="4" t="str">
        <f ca="1">IFERROR(_xludf.XLOOKUP(C102,Milestones!$A$2:$A$501,Milestones!$C$2:$C$501),"")</f>
        <v/>
      </c>
      <c r="G102" s="4" t="str">
        <f ca="1">IFERROR(_xludf.XLOOKUP(C102,Milestones!$A$2:$A$501,Milestones!$F$2:$F$501),"")</f>
        <v/>
      </c>
      <c r="H102" s="4" t="str">
        <f ca="1">IFERROR(_xludf.XLOOKUP(C102,Milestones!$A$2:$A$501,Milestones!$M$2:$M$501),"")</f>
        <v/>
      </c>
      <c r="I102" s="4" t="str">
        <f t="shared" ca="1" si="4"/>
        <v/>
      </c>
      <c r="J102" s="4"/>
      <c r="K102" s="4" t="str">
        <f ca="1">IFERROR(_xludf.XLOOKUP(A102,Pracownicy!$A$2:$A$501,Pracownicy!$F$2:$F$501),"")</f>
        <v/>
      </c>
      <c r="L102" s="4"/>
      <c r="M102" s="4" t="str">
        <f t="shared" ca="1" si="5"/>
        <v/>
      </c>
      <c r="N102" s="4" t="str">
        <f t="shared" si="6"/>
        <v/>
      </c>
      <c r="O102" s="4" t="str">
        <f t="shared" ca="1" si="7"/>
        <v/>
      </c>
    </row>
    <row r="103" spans="1:15" x14ac:dyDescent="0.25">
      <c r="A103" s="4"/>
      <c r="B103" s="4" t="str">
        <f ca="1">IFERROR(_xludf.XLOOKUP(A103,Pracownicy!$A$2:$A$501,Pracownicy!$B$2:$B$501),"")</f>
        <v/>
      </c>
      <c r="C103" s="4"/>
      <c r="D103" s="4" t="str">
        <f ca="1">IFERROR(_xludf.XLOOKUP(C103,Milestones!$A$2:$A$501,Milestones!$B$2:$B$501),"")</f>
        <v/>
      </c>
      <c r="E103" s="4" t="str">
        <f ca="1">IFERROR(_xludf.XLOOKUP(D103,Projekty!$A$2:$A$501,Projekty!$B$2:$B$501),"")</f>
        <v/>
      </c>
      <c r="F103" s="4" t="str">
        <f ca="1">IFERROR(_xludf.XLOOKUP(C103,Milestones!$A$2:$A$501,Milestones!$C$2:$C$501),"")</f>
        <v/>
      </c>
      <c r="G103" s="4" t="str">
        <f ca="1">IFERROR(_xludf.XLOOKUP(C103,Milestones!$A$2:$A$501,Milestones!$F$2:$F$501),"")</f>
        <v/>
      </c>
      <c r="H103" s="4" t="str">
        <f ca="1">IFERROR(_xludf.XLOOKUP(C103,Milestones!$A$2:$A$501,Milestones!$M$2:$M$501),"")</f>
        <v/>
      </c>
      <c r="I103" s="4" t="str">
        <f t="shared" ca="1" si="4"/>
        <v/>
      </c>
      <c r="J103" s="4"/>
      <c r="K103" s="4" t="str">
        <f ca="1">IFERROR(_xludf.XLOOKUP(A103,Pracownicy!$A$2:$A$501,Pracownicy!$F$2:$F$501),"")</f>
        <v/>
      </c>
      <c r="L103" s="4"/>
      <c r="M103" s="4" t="str">
        <f t="shared" ca="1" si="5"/>
        <v/>
      </c>
      <c r="N103" s="4" t="str">
        <f t="shared" si="6"/>
        <v/>
      </c>
      <c r="O103" s="4" t="str">
        <f t="shared" ca="1" si="7"/>
        <v/>
      </c>
    </row>
    <row r="104" spans="1:15" x14ac:dyDescent="0.25">
      <c r="A104" s="4"/>
      <c r="B104" s="4" t="str">
        <f ca="1">IFERROR(_xludf.XLOOKUP(A104,Pracownicy!$A$2:$A$501,Pracownicy!$B$2:$B$501),"")</f>
        <v/>
      </c>
      <c r="C104" s="4"/>
      <c r="D104" s="4" t="str">
        <f ca="1">IFERROR(_xludf.XLOOKUP(C104,Milestones!$A$2:$A$501,Milestones!$B$2:$B$501),"")</f>
        <v/>
      </c>
      <c r="E104" s="4" t="str">
        <f ca="1">IFERROR(_xludf.XLOOKUP(D104,Projekty!$A$2:$A$501,Projekty!$B$2:$B$501),"")</f>
        <v/>
      </c>
      <c r="F104" s="4" t="str">
        <f ca="1">IFERROR(_xludf.XLOOKUP(C104,Milestones!$A$2:$A$501,Milestones!$C$2:$C$501),"")</f>
        <v/>
      </c>
      <c r="G104" s="4" t="str">
        <f ca="1">IFERROR(_xludf.XLOOKUP(C104,Milestones!$A$2:$A$501,Milestones!$F$2:$F$501),"")</f>
        <v/>
      </c>
      <c r="H104" s="4" t="str">
        <f ca="1">IFERROR(_xludf.XLOOKUP(C104,Milestones!$A$2:$A$501,Milestones!$M$2:$M$501),"")</f>
        <v/>
      </c>
      <c r="I104" s="4" t="str">
        <f t="shared" ca="1" si="4"/>
        <v/>
      </c>
      <c r="J104" s="4"/>
      <c r="K104" s="4" t="str">
        <f ca="1">IFERROR(_xludf.XLOOKUP(A104,Pracownicy!$A$2:$A$501,Pracownicy!$F$2:$F$501),"")</f>
        <v/>
      </c>
      <c r="L104" s="4"/>
      <c r="M104" s="4" t="str">
        <f t="shared" ca="1" si="5"/>
        <v/>
      </c>
      <c r="N104" s="4" t="str">
        <f t="shared" si="6"/>
        <v/>
      </c>
      <c r="O104" s="4" t="str">
        <f t="shared" ca="1" si="7"/>
        <v/>
      </c>
    </row>
    <row r="105" spans="1:15" x14ac:dyDescent="0.25">
      <c r="A105" s="4"/>
      <c r="B105" s="4" t="str">
        <f ca="1">IFERROR(_xludf.XLOOKUP(A105,Pracownicy!$A$2:$A$501,Pracownicy!$B$2:$B$501),"")</f>
        <v/>
      </c>
      <c r="C105" s="4"/>
      <c r="D105" s="4" t="str">
        <f ca="1">IFERROR(_xludf.XLOOKUP(C105,Milestones!$A$2:$A$501,Milestones!$B$2:$B$501),"")</f>
        <v/>
      </c>
      <c r="E105" s="4" t="str">
        <f ca="1">IFERROR(_xludf.XLOOKUP(D105,Projekty!$A$2:$A$501,Projekty!$B$2:$B$501),"")</f>
        <v/>
      </c>
      <c r="F105" s="4" t="str">
        <f ca="1">IFERROR(_xludf.XLOOKUP(C105,Milestones!$A$2:$A$501,Milestones!$C$2:$C$501),"")</f>
        <v/>
      </c>
      <c r="G105" s="4" t="str">
        <f ca="1">IFERROR(_xludf.XLOOKUP(C105,Milestones!$A$2:$A$501,Milestones!$F$2:$F$501),"")</f>
        <v/>
      </c>
      <c r="H105" s="4" t="str">
        <f ca="1">IFERROR(_xludf.XLOOKUP(C105,Milestones!$A$2:$A$501,Milestones!$M$2:$M$501),"")</f>
        <v/>
      </c>
      <c r="I105" s="4" t="str">
        <f t="shared" ca="1" si="4"/>
        <v/>
      </c>
      <c r="J105" s="4"/>
      <c r="K105" s="4" t="str">
        <f ca="1">IFERROR(_xludf.XLOOKUP(A105,Pracownicy!$A$2:$A$501,Pracownicy!$F$2:$F$501),"")</f>
        <v/>
      </c>
      <c r="L105" s="4"/>
      <c r="M105" s="4" t="str">
        <f t="shared" ca="1" si="5"/>
        <v/>
      </c>
      <c r="N105" s="4" t="str">
        <f t="shared" si="6"/>
        <v/>
      </c>
      <c r="O105" s="4" t="str">
        <f t="shared" ca="1" si="7"/>
        <v/>
      </c>
    </row>
    <row r="106" spans="1:15" x14ac:dyDescent="0.25">
      <c r="A106" s="4"/>
      <c r="B106" s="4" t="str">
        <f ca="1">IFERROR(_xludf.XLOOKUP(A106,Pracownicy!$A$2:$A$501,Pracownicy!$B$2:$B$501),"")</f>
        <v/>
      </c>
      <c r="C106" s="4"/>
      <c r="D106" s="4" t="str">
        <f ca="1">IFERROR(_xludf.XLOOKUP(C106,Milestones!$A$2:$A$501,Milestones!$B$2:$B$501),"")</f>
        <v/>
      </c>
      <c r="E106" s="4" t="str">
        <f ca="1">IFERROR(_xludf.XLOOKUP(D106,Projekty!$A$2:$A$501,Projekty!$B$2:$B$501),"")</f>
        <v/>
      </c>
      <c r="F106" s="4" t="str">
        <f ca="1">IFERROR(_xludf.XLOOKUP(C106,Milestones!$A$2:$A$501,Milestones!$C$2:$C$501),"")</f>
        <v/>
      </c>
      <c r="G106" s="4" t="str">
        <f ca="1">IFERROR(_xludf.XLOOKUP(C106,Milestones!$A$2:$A$501,Milestones!$F$2:$F$501),"")</f>
        <v/>
      </c>
      <c r="H106" s="4" t="str">
        <f ca="1">IFERROR(_xludf.XLOOKUP(C106,Milestones!$A$2:$A$501,Milestones!$M$2:$M$501),"")</f>
        <v/>
      </c>
      <c r="I106" s="4" t="str">
        <f t="shared" ca="1" si="4"/>
        <v/>
      </c>
      <c r="J106" s="4"/>
      <c r="K106" s="4" t="str">
        <f ca="1">IFERROR(_xludf.XLOOKUP(A106,Pracownicy!$A$2:$A$501,Pracownicy!$F$2:$F$501),"")</f>
        <v/>
      </c>
      <c r="L106" s="4"/>
      <c r="M106" s="4" t="str">
        <f t="shared" ca="1" si="5"/>
        <v/>
      </c>
      <c r="N106" s="4" t="str">
        <f t="shared" si="6"/>
        <v/>
      </c>
      <c r="O106" s="4" t="str">
        <f t="shared" ca="1" si="7"/>
        <v/>
      </c>
    </row>
    <row r="107" spans="1:15" x14ac:dyDescent="0.25">
      <c r="A107" s="4"/>
      <c r="B107" s="4" t="str">
        <f ca="1">IFERROR(_xludf.XLOOKUP(A107,Pracownicy!$A$2:$A$501,Pracownicy!$B$2:$B$501),"")</f>
        <v/>
      </c>
      <c r="C107" s="4"/>
      <c r="D107" s="4" t="str">
        <f ca="1">IFERROR(_xludf.XLOOKUP(C107,Milestones!$A$2:$A$501,Milestones!$B$2:$B$501),"")</f>
        <v/>
      </c>
      <c r="E107" s="4" t="str">
        <f ca="1">IFERROR(_xludf.XLOOKUP(D107,Projekty!$A$2:$A$501,Projekty!$B$2:$B$501),"")</f>
        <v/>
      </c>
      <c r="F107" s="4" t="str">
        <f ca="1">IFERROR(_xludf.XLOOKUP(C107,Milestones!$A$2:$A$501,Milestones!$C$2:$C$501),"")</f>
        <v/>
      </c>
      <c r="G107" s="4" t="str">
        <f ca="1">IFERROR(_xludf.XLOOKUP(C107,Milestones!$A$2:$A$501,Milestones!$F$2:$F$501),"")</f>
        <v/>
      </c>
      <c r="H107" s="4" t="str">
        <f ca="1">IFERROR(_xludf.XLOOKUP(C107,Milestones!$A$2:$A$501,Milestones!$M$2:$M$501),"")</f>
        <v/>
      </c>
      <c r="I107" s="4" t="str">
        <f t="shared" ca="1" si="4"/>
        <v/>
      </c>
      <c r="J107" s="4"/>
      <c r="K107" s="4" t="str">
        <f ca="1">IFERROR(_xludf.XLOOKUP(A107,Pracownicy!$A$2:$A$501,Pracownicy!$F$2:$F$501),"")</f>
        <v/>
      </c>
      <c r="L107" s="4"/>
      <c r="M107" s="4" t="str">
        <f t="shared" ca="1" si="5"/>
        <v/>
      </c>
      <c r="N107" s="4" t="str">
        <f t="shared" si="6"/>
        <v/>
      </c>
      <c r="O107" s="4" t="str">
        <f t="shared" ca="1" si="7"/>
        <v/>
      </c>
    </row>
    <row r="108" spans="1:15" x14ac:dyDescent="0.25">
      <c r="A108" s="4"/>
      <c r="B108" s="4" t="str">
        <f ca="1">IFERROR(_xludf.XLOOKUP(A108,Pracownicy!$A$2:$A$501,Pracownicy!$B$2:$B$501),"")</f>
        <v/>
      </c>
      <c r="C108" s="4"/>
      <c r="D108" s="4" t="str">
        <f ca="1">IFERROR(_xludf.XLOOKUP(C108,Milestones!$A$2:$A$501,Milestones!$B$2:$B$501),"")</f>
        <v/>
      </c>
      <c r="E108" s="4" t="str">
        <f ca="1">IFERROR(_xludf.XLOOKUP(D108,Projekty!$A$2:$A$501,Projekty!$B$2:$B$501),"")</f>
        <v/>
      </c>
      <c r="F108" s="4" t="str">
        <f ca="1">IFERROR(_xludf.XLOOKUP(C108,Milestones!$A$2:$A$501,Milestones!$C$2:$C$501),"")</f>
        <v/>
      </c>
      <c r="G108" s="4" t="str">
        <f ca="1">IFERROR(_xludf.XLOOKUP(C108,Milestones!$A$2:$A$501,Milestones!$F$2:$F$501),"")</f>
        <v/>
      </c>
      <c r="H108" s="4" t="str">
        <f ca="1">IFERROR(_xludf.XLOOKUP(C108,Milestones!$A$2:$A$501,Milestones!$M$2:$M$501),"")</f>
        <v/>
      </c>
      <c r="I108" s="4" t="str">
        <f t="shared" ca="1" si="4"/>
        <v/>
      </c>
      <c r="J108" s="4"/>
      <c r="K108" s="4" t="str">
        <f ca="1">IFERROR(_xludf.XLOOKUP(A108,Pracownicy!$A$2:$A$501,Pracownicy!$F$2:$F$501),"")</f>
        <v/>
      </c>
      <c r="L108" s="4"/>
      <c r="M108" s="4" t="str">
        <f t="shared" ca="1" si="5"/>
        <v/>
      </c>
      <c r="N108" s="4" t="str">
        <f t="shared" si="6"/>
        <v/>
      </c>
      <c r="O108" s="4" t="str">
        <f t="shared" ca="1" si="7"/>
        <v/>
      </c>
    </row>
    <row r="109" spans="1:15" x14ac:dyDescent="0.25">
      <c r="A109" s="4"/>
      <c r="B109" s="4" t="str">
        <f ca="1">IFERROR(_xludf.XLOOKUP(A109,Pracownicy!$A$2:$A$501,Pracownicy!$B$2:$B$501),"")</f>
        <v/>
      </c>
      <c r="C109" s="4"/>
      <c r="D109" s="4" t="str">
        <f ca="1">IFERROR(_xludf.XLOOKUP(C109,Milestones!$A$2:$A$501,Milestones!$B$2:$B$501),"")</f>
        <v/>
      </c>
      <c r="E109" s="4" t="str">
        <f ca="1">IFERROR(_xludf.XLOOKUP(D109,Projekty!$A$2:$A$501,Projekty!$B$2:$B$501),"")</f>
        <v/>
      </c>
      <c r="F109" s="4" t="str">
        <f ca="1">IFERROR(_xludf.XLOOKUP(C109,Milestones!$A$2:$A$501,Milestones!$C$2:$C$501),"")</f>
        <v/>
      </c>
      <c r="G109" s="4" t="str">
        <f ca="1">IFERROR(_xludf.XLOOKUP(C109,Milestones!$A$2:$A$501,Milestones!$F$2:$F$501),"")</f>
        <v/>
      </c>
      <c r="H109" s="4" t="str">
        <f ca="1">IFERROR(_xludf.XLOOKUP(C109,Milestones!$A$2:$A$501,Milestones!$M$2:$M$501),"")</f>
        <v/>
      </c>
      <c r="I109" s="4" t="str">
        <f t="shared" ca="1" si="4"/>
        <v/>
      </c>
      <c r="J109" s="4"/>
      <c r="K109" s="4" t="str">
        <f ca="1">IFERROR(_xludf.XLOOKUP(A109,Pracownicy!$A$2:$A$501,Pracownicy!$F$2:$F$501),"")</f>
        <v/>
      </c>
      <c r="L109" s="4"/>
      <c r="M109" s="4" t="str">
        <f t="shared" ca="1" si="5"/>
        <v/>
      </c>
      <c r="N109" s="4" t="str">
        <f t="shared" si="6"/>
        <v/>
      </c>
      <c r="O109" s="4" t="str">
        <f t="shared" ca="1" si="7"/>
        <v/>
      </c>
    </row>
    <row r="110" spans="1:15" x14ac:dyDescent="0.25">
      <c r="A110" s="4"/>
      <c r="B110" s="4" t="str">
        <f ca="1">IFERROR(_xludf.XLOOKUP(A110,Pracownicy!$A$2:$A$501,Pracownicy!$B$2:$B$501),"")</f>
        <v/>
      </c>
      <c r="C110" s="4"/>
      <c r="D110" s="4" t="str">
        <f ca="1">IFERROR(_xludf.XLOOKUP(C110,Milestones!$A$2:$A$501,Milestones!$B$2:$B$501),"")</f>
        <v/>
      </c>
      <c r="E110" s="4" t="str">
        <f ca="1">IFERROR(_xludf.XLOOKUP(D110,Projekty!$A$2:$A$501,Projekty!$B$2:$B$501),"")</f>
        <v/>
      </c>
      <c r="F110" s="4" t="str">
        <f ca="1">IFERROR(_xludf.XLOOKUP(C110,Milestones!$A$2:$A$501,Milestones!$C$2:$C$501),"")</f>
        <v/>
      </c>
      <c r="G110" s="4" t="str">
        <f ca="1">IFERROR(_xludf.XLOOKUP(C110,Milestones!$A$2:$A$501,Milestones!$F$2:$F$501),"")</f>
        <v/>
      </c>
      <c r="H110" s="4" t="str">
        <f ca="1">IFERROR(_xludf.XLOOKUP(C110,Milestones!$A$2:$A$501,Milestones!$M$2:$M$501),"")</f>
        <v/>
      </c>
      <c r="I110" s="4" t="str">
        <f t="shared" ca="1" si="4"/>
        <v/>
      </c>
      <c r="J110" s="4"/>
      <c r="K110" s="4" t="str">
        <f ca="1">IFERROR(_xludf.XLOOKUP(A110,Pracownicy!$A$2:$A$501,Pracownicy!$F$2:$F$501),"")</f>
        <v/>
      </c>
      <c r="L110" s="4"/>
      <c r="M110" s="4" t="str">
        <f t="shared" ca="1" si="5"/>
        <v/>
      </c>
      <c r="N110" s="4" t="str">
        <f t="shared" si="6"/>
        <v/>
      </c>
      <c r="O110" s="4" t="str">
        <f t="shared" ca="1" si="7"/>
        <v/>
      </c>
    </row>
    <row r="111" spans="1:15" x14ac:dyDescent="0.25">
      <c r="A111" s="4"/>
      <c r="B111" s="4" t="str">
        <f ca="1">IFERROR(_xludf.XLOOKUP(A111,Pracownicy!$A$2:$A$501,Pracownicy!$B$2:$B$501),"")</f>
        <v/>
      </c>
      <c r="C111" s="4"/>
      <c r="D111" s="4" t="str">
        <f ca="1">IFERROR(_xludf.XLOOKUP(C111,Milestones!$A$2:$A$501,Milestones!$B$2:$B$501),"")</f>
        <v/>
      </c>
      <c r="E111" s="4" t="str">
        <f ca="1">IFERROR(_xludf.XLOOKUP(D111,Projekty!$A$2:$A$501,Projekty!$B$2:$B$501),"")</f>
        <v/>
      </c>
      <c r="F111" s="4" t="str">
        <f ca="1">IFERROR(_xludf.XLOOKUP(C111,Milestones!$A$2:$A$501,Milestones!$C$2:$C$501),"")</f>
        <v/>
      </c>
      <c r="G111" s="4" t="str">
        <f ca="1">IFERROR(_xludf.XLOOKUP(C111,Milestones!$A$2:$A$501,Milestones!$F$2:$F$501),"")</f>
        <v/>
      </c>
      <c r="H111" s="4" t="str">
        <f ca="1">IFERROR(_xludf.XLOOKUP(C111,Milestones!$A$2:$A$501,Milestones!$M$2:$M$501),"")</f>
        <v/>
      </c>
      <c r="I111" s="4" t="str">
        <f t="shared" ca="1" si="4"/>
        <v/>
      </c>
      <c r="J111" s="4"/>
      <c r="K111" s="4" t="str">
        <f ca="1">IFERROR(_xludf.XLOOKUP(A111,Pracownicy!$A$2:$A$501,Pracownicy!$F$2:$F$501),"")</f>
        <v/>
      </c>
      <c r="L111" s="4"/>
      <c r="M111" s="4" t="str">
        <f t="shared" ca="1" si="5"/>
        <v/>
      </c>
      <c r="N111" s="4" t="str">
        <f t="shared" si="6"/>
        <v/>
      </c>
      <c r="O111" s="4" t="str">
        <f t="shared" ca="1" si="7"/>
        <v/>
      </c>
    </row>
    <row r="112" spans="1:15" x14ac:dyDescent="0.25">
      <c r="A112" s="4"/>
      <c r="B112" s="4" t="str">
        <f ca="1">IFERROR(_xludf.XLOOKUP(A112,Pracownicy!$A$2:$A$501,Pracownicy!$B$2:$B$501),"")</f>
        <v/>
      </c>
      <c r="C112" s="4"/>
      <c r="D112" s="4" t="str">
        <f ca="1">IFERROR(_xludf.XLOOKUP(C112,Milestones!$A$2:$A$501,Milestones!$B$2:$B$501),"")</f>
        <v/>
      </c>
      <c r="E112" s="4" t="str">
        <f ca="1">IFERROR(_xludf.XLOOKUP(D112,Projekty!$A$2:$A$501,Projekty!$B$2:$B$501),"")</f>
        <v/>
      </c>
      <c r="F112" s="4" t="str">
        <f ca="1">IFERROR(_xludf.XLOOKUP(C112,Milestones!$A$2:$A$501,Milestones!$C$2:$C$501),"")</f>
        <v/>
      </c>
      <c r="G112" s="4" t="str">
        <f ca="1">IFERROR(_xludf.XLOOKUP(C112,Milestones!$A$2:$A$501,Milestones!$F$2:$F$501),"")</f>
        <v/>
      </c>
      <c r="H112" s="4" t="str">
        <f ca="1">IFERROR(_xludf.XLOOKUP(C112,Milestones!$A$2:$A$501,Milestones!$M$2:$M$501),"")</f>
        <v/>
      </c>
      <c r="I112" s="4" t="str">
        <f t="shared" ca="1" si="4"/>
        <v/>
      </c>
      <c r="J112" s="4"/>
      <c r="K112" s="4" t="str">
        <f ca="1">IFERROR(_xludf.XLOOKUP(A112,Pracownicy!$A$2:$A$501,Pracownicy!$F$2:$F$501),"")</f>
        <v/>
      </c>
      <c r="L112" s="4"/>
      <c r="M112" s="4" t="str">
        <f t="shared" ca="1" si="5"/>
        <v/>
      </c>
      <c r="N112" s="4" t="str">
        <f t="shared" si="6"/>
        <v/>
      </c>
      <c r="O112" s="4" t="str">
        <f t="shared" ca="1" si="7"/>
        <v/>
      </c>
    </row>
    <row r="113" spans="1:15" x14ac:dyDescent="0.25">
      <c r="A113" s="4"/>
      <c r="B113" s="4" t="str">
        <f ca="1">IFERROR(_xludf.XLOOKUP(A113,Pracownicy!$A$2:$A$501,Pracownicy!$B$2:$B$501),"")</f>
        <v/>
      </c>
      <c r="C113" s="4"/>
      <c r="D113" s="4" t="str">
        <f ca="1">IFERROR(_xludf.XLOOKUP(C113,Milestones!$A$2:$A$501,Milestones!$B$2:$B$501),"")</f>
        <v/>
      </c>
      <c r="E113" s="4" t="str">
        <f ca="1">IFERROR(_xludf.XLOOKUP(D113,Projekty!$A$2:$A$501,Projekty!$B$2:$B$501),"")</f>
        <v/>
      </c>
      <c r="F113" s="4" t="str">
        <f ca="1">IFERROR(_xludf.XLOOKUP(C113,Milestones!$A$2:$A$501,Milestones!$C$2:$C$501),"")</f>
        <v/>
      </c>
      <c r="G113" s="4" t="str">
        <f ca="1">IFERROR(_xludf.XLOOKUP(C113,Milestones!$A$2:$A$501,Milestones!$F$2:$F$501),"")</f>
        <v/>
      </c>
      <c r="H113" s="4" t="str">
        <f ca="1">IFERROR(_xludf.XLOOKUP(C113,Milestones!$A$2:$A$501,Milestones!$M$2:$M$501),"")</f>
        <v/>
      </c>
      <c r="I113" s="4" t="str">
        <f t="shared" ca="1" si="4"/>
        <v/>
      </c>
      <c r="J113" s="4"/>
      <c r="K113" s="4" t="str">
        <f ca="1">IFERROR(_xludf.XLOOKUP(A113,Pracownicy!$A$2:$A$501,Pracownicy!$F$2:$F$501),"")</f>
        <v/>
      </c>
      <c r="L113" s="4"/>
      <c r="M113" s="4" t="str">
        <f t="shared" ca="1" si="5"/>
        <v/>
      </c>
      <c r="N113" s="4" t="str">
        <f t="shared" si="6"/>
        <v/>
      </c>
      <c r="O113" s="4" t="str">
        <f t="shared" ca="1" si="7"/>
        <v/>
      </c>
    </row>
    <row r="114" spans="1:15" x14ac:dyDescent="0.25">
      <c r="A114" s="4"/>
      <c r="B114" s="4" t="str">
        <f ca="1">IFERROR(_xludf.XLOOKUP(A114,Pracownicy!$A$2:$A$501,Pracownicy!$B$2:$B$501),"")</f>
        <v/>
      </c>
      <c r="C114" s="4"/>
      <c r="D114" s="4" t="str">
        <f ca="1">IFERROR(_xludf.XLOOKUP(C114,Milestones!$A$2:$A$501,Milestones!$B$2:$B$501),"")</f>
        <v/>
      </c>
      <c r="E114" s="4" t="str">
        <f ca="1">IFERROR(_xludf.XLOOKUP(D114,Projekty!$A$2:$A$501,Projekty!$B$2:$B$501),"")</f>
        <v/>
      </c>
      <c r="F114" s="4" t="str">
        <f ca="1">IFERROR(_xludf.XLOOKUP(C114,Milestones!$A$2:$A$501,Milestones!$C$2:$C$501),"")</f>
        <v/>
      </c>
      <c r="G114" s="4" t="str">
        <f ca="1">IFERROR(_xludf.XLOOKUP(C114,Milestones!$A$2:$A$501,Milestones!$F$2:$F$501),"")</f>
        <v/>
      </c>
      <c r="H114" s="4" t="str">
        <f ca="1">IFERROR(_xludf.XLOOKUP(C114,Milestones!$A$2:$A$501,Milestones!$M$2:$M$501),"")</f>
        <v/>
      </c>
      <c r="I114" s="4" t="str">
        <f t="shared" ca="1" si="4"/>
        <v/>
      </c>
      <c r="J114" s="4"/>
      <c r="K114" s="4" t="str">
        <f ca="1">IFERROR(_xludf.XLOOKUP(A114,Pracownicy!$A$2:$A$501,Pracownicy!$F$2:$F$501),"")</f>
        <v/>
      </c>
      <c r="L114" s="4"/>
      <c r="M114" s="4" t="str">
        <f t="shared" ca="1" si="5"/>
        <v/>
      </c>
      <c r="N114" s="4" t="str">
        <f t="shared" si="6"/>
        <v/>
      </c>
      <c r="O114" s="4" t="str">
        <f t="shared" ca="1" si="7"/>
        <v/>
      </c>
    </row>
    <row r="115" spans="1:15" x14ac:dyDescent="0.25">
      <c r="A115" s="4"/>
      <c r="B115" s="4" t="str">
        <f ca="1">IFERROR(_xludf.XLOOKUP(A115,Pracownicy!$A$2:$A$501,Pracownicy!$B$2:$B$501),"")</f>
        <v/>
      </c>
      <c r="C115" s="4"/>
      <c r="D115" s="4" t="str">
        <f ca="1">IFERROR(_xludf.XLOOKUP(C115,Milestones!$A$2:$A$501,Milestones!$B$2:$B$501),"")</f>
        <v/>
      </c>
      <c r="E115" s="4" t="str">
        <f ca="1">IFERROR(_xludf.XLOOKUP(D115,Projekty!$A$2:$A$501,Projekty!$B$2:$B$501),"")</f>
        <v/>
      </c>
      <c r="F115" s="4" t="str">
        <f ca="1">IFERROR(_xludf.XLOOKUP(C115,Milestones!$A$2:$A$501,Milestones!$C$2:$C$501),"")</f>
        <v/>
      </c>
      <c r="G115" s="4" t="str">
        <f ca="1">IFERROR(_xludf.XLOOKUP(C115,Milestones!$A$2:$A$501,Milestones!$F$2:$F$501),"")</f>
        <v/>
      </c>
      <c r="H115" s="4" t="str">
        <f ca="1">IFERROR(_xludf.XLOOKUP(C115,Milestones!$A$2:$A$501,Milestones!$M$2:$M$501),"")</f>
        <v/>
      </c>
      <c r="I115" s="4" t="str">
        <f t="shared" ca="1" si="4"/>
        <v/>
      </c>
      <c r="J115" s="4"/>
      <c r="K115" s="4" t="str">
        <f ca="1">IFERROR(_xludf.XLOOKUP(A115,Pracownicy!$A$2:$A$501,Pracownicy!$F$2:$F$501),"")</f>
        <v/>
      </c>
      <c r="L115" s="4"/>
      <c r="M115" s="4" t="str">
        <f t="shared" ca="1" si="5"/>
        <v/>
      </c>
      <c r="N115" s="4" t="str">
        <f t="shared" si="6"/>
        <v/>
      </c>
      <c r="O115" s="4" t="str">
        <f t="shared" ca="1" si="7"/>
        <v/>
      </c>
    </row>
    <row r="116" spans="1:15" x14ac:dyDescent="0.25">
      <c r="A116" s="4"/>
      <c r="B116" s="4" t="str">
        <f ca="1">IFERROR(_xludf.XLOOKUP(A116,Pracownicy!$A$2:$A$501,Pracownicy!$B$2:$B$501),"")</f>
        <v/>
      </c>
      <c r="C116" s="4"/>
      <c r="D116" s="4" t="str">
        <f ca="1">IFERROR(_xludf.XLOOKUP(C116,Milestones!$A$2:$A$501,Milestones!$B$2:$B$501),"")</f>
        <v/>
      </c>
      <c r="E116" s="4" t="str">
        <f ca="1">IFERROR(_xludf.XLOOKUP(D116,Projekty!$A$2:$A$501,Projekty!$B$2:$B$501),"")</f>
        <v/>
      </c>
      <c r="F116" s="4" t="str">
        <f ca="1">IFERROR(_xludf.XLOOKUP(C116,Milestones!$A$2:$A$501,Milestones!$C$2:$C$501),"")</f>
        <v/>
      </c>
      <c r="G116" s="4" t="str">
        <f ca="1">IFERROR(_xludf.XLOOKUP(C116,Milestones!$A$2:$A$501,Milestones!$F$2:$F$501),"")</f>
        <v/>
      </c>
      <c r="H116" s="4" t="str">
        <f ca="1">IFERROR(_xludf.XLOOKUP(C116,Milestones!$A$2:$A$501,Milestones!$M$2:$M$501),"")</f>
        <v/>
      </c>
      <c r="I116" s="4" t="str">
        <f t="shared" ca="1" si="4"/>
        <v/>
      </c>
      <c r="J116" s="4"/>
      <c r="K116" s="4" t="str">
        <f ca="1">IFERROR(_xludf.XLOOKUP(A116,Pracownicy!$A$2:$A$501,Pracownicy!$F$2:$F$501),"")</f>
        <v/>
      </c>
      <c r="L116" s="4"/>
      <c r="M116" s="4" t="str">
        <f t="shared" ca="1" si="5"/>
        <v/>
      </c>
      <c r="N116" s="4" t="str">
        <f t="shared" si="6"/>
        <v/>
      </c>
      <c r="O116" s="4" t="str">
        <f t="shared" ca="1" si="7"/>
        <v/>
      </c>
    </row>
    <row r="117" spans="1:15" x14ac:dyDescent="0.25">
      <c r="A117" s="4"/>
      <c r="B117" s="4" t="str">
        <f ca="1">IFERROR(_xludf.XLOOKUP(A117,Pracownicy!$A$2:$A$501,Pracownicy!$B$2:$B$501),"")</f>
        <v/>
      </c>
      <c r="C117" s="4"/>
      <c r="D117" s="4" t="str">
        <f ca="1">IFERROR(_xludf.XLOOKUP(C117,Milestones!$A$2:$A$501,Milestones!$B$2:$B$501),"")</f>
        <v/>
      </c>
      <c r="E117" s="4" t="str">
        <f ca="1">IFERROR(_xludf.XLOOKUP(D117,Projekty!$A$2:$A$501,Projekty!$B$2:$B$501),"")</f>
        <v/>
      </c>
      <c r="F117" s="4" t="str">
        <f ca="1">IFERROR(_xludf.XLOOKUP(C117,Milestones!$A$2:$A$501,Milestones!$C$2:$C$501),"")</f>
        <v/>
      </c>
      <c r="G117" s="4" t="str">
        <f ca="1">IFERROR(_xludf.XLOOKUP(C117,Milestones!$A$2:$A$501,Milestones!$F$2:$F$501),"")</f>
        <v/>
      </c>
      <c r="H117" s="4" t="str">
        <f ca="1">IFERROR(_xludf.XLOOKUP(C117,Milestones!$A$2:$A$501,Milestones!$M$2:$M$501),"")</f>
        <v/>
      </c>
      <c r="I117" s="4" t="str">
        <f t="shared" ca="1" si="4"/>
        <v/>
      </c>
      <c r="J117" s="4"/>
      <c r="K117" s="4" t="str">
        <f ca="1">IFERROR(_xludf.XLOOKUP(A117,Pracownicy!$A$2:$A$501,Pracownicy!$F$2:$F$501),"")</f>
        <v/>
      </c>
      <c r="L117" s="4"/>
      <c r="M117" s="4" t="str">
        <f t="shared" ca="1" si="5"/>
        <v/>
      </c>
      <c r="N117" s="4" t="str">
        <f t="shared" si="6"/>
        <v/>
      </c>
      <c r="O117" s="4" t="str">
        <f t="shared" ca="1" si="7"/>
        <v/>
      </c>
    </row>
    <row r="118" spans="1:15" x14ac:dyDescent="0.25">
      <c r="A118" s="4"/>
      <c r="B118" s="4" t="str">
        <f ca="1">IFERROR(_xludf.XLOOKUP(A118,Pracownicy!$A$2:$A$501,Pracownicy!$B$2:$B$501),"")</f>
        <v/>
      </c>
      <c r="C118" s="4"/>
      <c r="D118" s="4" t="str">
        <f ca="1">IFERROR(_xludf.XLOOKUP(C118,Milestones!$A$2:$A$501,Milestones!$B$2:$B$501),"")</f>
        <v/>
      </c>
      <c r="E118" s="4" t="str">
        <f ca="1">IFERROR(_xludf.XLOOKUP(D118,Projekty!$A$2:$A$501,Projekty!$B$2:$B$501),"")</f>
        <v/>
      </c>
      <c r="F118" s="4" t="str">
        <f ca="1">IFERROR(_xludf.XLOOKUP(C118,Milestones!$A$2:$A$501,Milestones!$C$2:$C$501),"")</f>
        <v/>
      </c>
      <c r="G118" s="4" t="str">
        <f ca="1">IFERROR(_xludf.XLOOKUP(C118,Milestones!$A$2:$A$501,Milestones!$F$2:$F$501),"")</f>
        <v/>
      </c>
      <c r="H118" s="4" t="str">
        <f ca="1">IFERROR(_xludf.XLOOKUP(C118,Milestones!$A$2:$A$501,Milestones!$M$2:$M$501),"")</f>
        <v/>
      </c>
      <c r="I118" s="4" t="str">
        <f t="shared" ca="1" si="4"/>
        <v/>
      </c>
      <c r="J118" s="4"/>
      <c r="K118" s="4" t="str">
        <f ca="1">IFERROR(_xludf.XLOOKUP(A118,Pracownicy!$A$2:$A$501,Pracownicy!$F$2:$F$501),"")</f>
        <v/>
      </c>
      <c r="L118" s="4"/>
      <c r="M118" s="4" t="str">
        <f t="shared" ca="1" si="5"/>
        <v/>
      </c>
      <c r="N118" s="4" t="str">
        <f t="shared" si="6"/>
        <v/>
      </c>
      <c r="O118" s="4" t="str">
        <f t="shared" ca="1" si="7"/>
        <v/>
      </c>
    </row>
    <row r="119" spans="1:15" x14ac:dyDescent="0.25">
      <c r="A119" s="4"/>
      <c r="B119" s="4" t="str">
        <f ca="1">IFERROR(_xludf.XLOOKUP(A119,Pracownicy!$A$2:$A$501,Pracownicy!$B$2:$B$501),"")</f>
        <v/>
      </c>
      <c r="C119" s="4"/>
      <c r="D119" s="4" t="str">
        <f ca="1">IFERROR(_xludf.XLOOKUP(C119,Milestones!$A$2:$A$501,Milestones!$B$2:$B$501),"")</f>
        <v/>
      </c>
      <c r="E119" s="4" t="str">
        <f ca="1">IFERROR(_xludf.XLOOKUP(D119,Projekty!$A$2:$A$501,Projekty!$B$2:$B$501),"")</f>
        <v/>
      </c>
      <c r="F119" s="4" t="str">
        <f ca="1">IFERROR(_xludf.XLOOKUP(C119,Milestones!$A$2:$A$501,Milestones!$C$2:$C$501),"")</f>
        <v/>
      </c>
      <c r="G119" s="4" t="str">
        <f ca="1">IFERROR(_xludf.XLOOKUP(C119,Milestones!$A$2:$A$501,Milestones!$F$2:$F$501),"")</f>
        <v/>
      </c>
      <c r="H119" s="4" t="str">
        <f ca="1">IFERROR(_xludf.XLOOKUP(C119,Milestones!$A$2:$A$501,Milestones!$M$2:$M$501),"")</f>
        <v/>
      </c>
      <c r="I119" s="4" t="str">
        <f t="shared" ca="1" si="4"/>
        <v/>
      </c>
      <c r="J119" s="4"/>
      <c r="K119" s="4" t="str">
        <f ca="1">IFERROR(_xludf.XLOOKUP(A119,Pracownicy!$A$2:$A$501,Pracownicy!$F$2:$F$501),"")</f>
        <v/>
      </c>
      <c r="L119" s="4"/>
      <c r="M119" s="4" t="str">
        <f t="shared" ca="1" si="5"/>
        <v/>
      </c>
      <c r="N119" s="4" t="str">
        <f t="shared" si="6"/>
        <v/>
      </c>
      <c r="O119" s="4" t="str">
        <f t="shared" ca="1" si="7"/>
        <v/>
      </c>
    </row>
    <row r="120" spans="1:15" x14ac:dyDescent="0.25">
      <c r="A120" s="4"/>
      <c r="B120" s="4" t="str">
        <f ca="1">IFERROR(_xludf.XLOOKUP(A120,Pracownicy!$A$2:$A$501,Pracownicy!$B$2:$B$501),"")</f>
        <v/>
      </c>
      <c r="C120" s="4"/>
      <c r="D120" s="4" t="str">
        <f ca="1">IFERROR(_xludf.XLOOKUP(C120,Milestones!$A$2:$A$501,Milestones!$B$2:$B$501),"")</f>
        <v/>
      </c>
      <c r="E120" s="4" t="str">
        <f ca="1">IFERROR(_xludf.XLOOKUP(D120,Projekty!$A$2:$A$501,Projekty!$B$2:$B$501),"")</f>
        <v/>
      </c>
      <c r="F120" s="4" t="str">
        <f ca="1">IFERROR(_xludf.XLOOKUP(C120,Milestones!$A$2:$A$501,Milestones!$C$2:$C$501),"")</f>
        <v/>
      </c>
      <c r="G120" s="4" t="str">
        <f ca="1">IFERROR(_xludf.XLOOKUP(C120,Milestones!$A$2:$A$501,Milestones!$F$2:$F$501),"")</f>
        <v/>
      </c>
      <c r="H120" s="4" t="str">
        <f ca="1">IFERROR(_xludf.XLOOKUP(C120,Milestones!$A$2:$A$501,Milestones!$M$2:$M$501),"")</f>
        <v/>
      </c>
      <c r="I120" s="4" t="str">
        <f t="shared" ca="1" si="4"/>
        <v/>
      </c>
      <c r="J120" s="4"/>
      <c r="K120" s="4" t="str">
        <f ca="1">IFERROR(_xludf.XLOOKUP(A120,Pracownicy!$A$2:$A$501,Pracownicy!$F$2:$F$501),"")</f>
        <v/>
      </c>
      <c r="L120" s="4"/>
      <c r="M120" s="4" t="str">
        <f t="shared" ca="1" si="5"/>
        <v/>
      </c>
      <c r="N120" s="4" t="str">
        <f t="shared" si="6"/>
        <v/>
      </c>
      <c r="O120" s="4" t="str">
        <f t="shared" ca="1" si="7"/>
        <v/>
      </c>
    </row>
    <row r="121" spans="1:15" x14ac:dyDescent="0.25">
      <c r="A121" s="4"/>
      <c r="B121" s="4" t="str">
        <f ca="1">IFERROR(_xludf.XLOOKUP(A121,Pracownicy!$A$2:$A$501,Pracownicy!$B$2:$B$501),"")</f>
        <v/>
      </c>
      <c r="C121" s="4"/>
      <c r="D121" s="4" t="str">
        <f ca="1">IFERROR(_xludf.XLOOKUP(C121,Milestones!$A$2:$A$501,Milestones!$B$2:$B$501),"")</f>
        <v/>
      </c>
      <c r="E121" s="4" t="str">
        <f ca="1">IFERROR(_xludf.XLOOKUP(D121,Projekty!$A$2:$A$501,Projekty!$B$2:$B$501),"")</f>
        <v/>
      </c>
      <c r="F121" s="4" t="str">
        <f ca="1">IFERROR(_xludf.XLOOKUP(C121,Milestones!$A$2:$A$501,Milestones!$C$2:$C$501),"")</f>
        <v/>
      </c>
      <c r="G121" s="4" t="str">
        <f ca="1">IFERROR(_xludf.XLOOKUP(C121,Milestones!$A$2:$A$501,Milestones!$F$2:$F$501),"")</f>
        <v/>
      </c>
      <c r="H121" s="4" t="str">
        <f ca="1">IFERROR(_xludf.XLOOKUP(C121,Milestones!$A$2:$A$501,Milestones!$M$2:$M$501),"")</f>
        <v/>
      </c>
      <c r="I121" s="4" t="str">
        <f t="shared" ca="1" si="4"/>
        <v/>
      </c>
      <c r="J121" s="4"/>
      <c r="K121" s="4" t="str">
        <f ca="1">IFERROR(_xludf.XLOOKUP(A121,Pracownicy!$A$2:$A$501,Pracownicy!$F$2:$F$501),"")</f>
        <v/>
      </c>
      <c r="L121" s="4"/>
      <c r="M121" s="4" t="str">
        <f t="shared" ca="1" si="5"/>
        <v/>
      </c>
      <c r="N121" s="4" t="str">
        <f t="shared" si="6"/>
        <v/>
      </c>
      <c r="O121" s="4" t="str">
        <f t="shared" ca="1" si="7"/>
        <v/>
      </c>
    </row>
    <row r="122" spans="1:15" x14ac:dyDescent="0.25">
      <c r="A122" s="4"/>
      <c r="B122" s="4" t="str">
        <f ca="1">IFERROR(_xludf.XLOOKUP(A122,Pracownicy!$A$2:$A$501,Pracownicy!$B$2:$B$501),"")</f>
        <v/>
      </c>
      <c r="C122" s="4"/>
      <c r="D122" s="4" t="str">
        <f ca="1">IFERROR(_xludf.XLOOKUP(C122,Milestones!$A$2:$A$501,Milestones!$B$2:$B$501),"")</f>
        <v/>
      </c>
      <c r="E122" s="4" t="str">
        <f ca="1">IFERROR(_xludf.XLOOKUP(D122,Projekty!$A$2:$A$501,Projekty!$B$2:$B$501),"")</f>
        <v/>
      </c>
      <c r="F122" s="4" t="str">
        <f ca="1">IFERROR(_xludf.XLOOKUP(C122,Milestones!$A$2:$A$501,Milestones!$C$2:$C$501),"")</f>
        <v/>
      </c>
      <c r="G122" s="4" t="str">
        <f ca="1">IFERROR(_xludf.XLOOKUP(C122,Milestones!$A$2:$A$501,Milestones!$F$2:$F$501),"")</f>
        <v/>
      </c>
      <c r="H122" s="4" t="str">
        <f ca="1">IFERROR(_xludf.XLOOKUP(C122,Milestones!$A$2:$A$501,Milestones!$M$2:$M$501),"")</f>
        <v/>
      </c>
      <c r="I122" s="4" t="str">
        <f t="shared" ca="1" si="4"/>
        <v/>
      </c>
      <c r="J122" s="4"/>
      <c r="K122" s="4" t="str">
        <f ca="1">IFERROR(_xludf.XLOOKUP(A122,Pracownicy!$A$2:$A$501,Pracownicy!$F$2:$F$501),"")</f>
        <v/>
      </c>
      <c r="L122" s="4"/>
      <c r="M122" s="4" t="str">
        <f t="shared" ca="1" si="5"/>
        <v/>
      </c>
      <c r="N122" s="4" t="str">
        <f t="shared" si="6"/>
        <v/>
      </c>
      <c r="O122" s="4" t="str">
        <f t="shared" ca="1" si="7"/>
        <v/>
      </c>
    </row>
    <row r="123" spans="1:15" x14ac:dyDescent="0.25">
      <c r="A123" s="4"/>
      <c r="B123" s="4" t="str">
        <f ca="1">IFERROR(_xludf.XLOOKUP(A123,Pracownicy!$A$2:$A$501,Pracownicy!$B$2:$B$501),"")</f>
        <v/>
      </c>
      <c r="C123" s="4"/>
      <c r="D123" s="4" t="str">
        <f ca="1">IFERROR(_xludf.XLOOKUP(C123,Milestones!$A$2:$A$501,Milestones!$B$2:$B$501),"")</f>
        <v/>
      </c>
      <c r="E123" s="4" t="str">
        <f ca="1">IFERROR(_xludf.XLOOKUP(D123,Projekty!$A$2:$A$501,Projekty!$B$2:$B$501),"")</f>
        <v/>
      </c>
      <c r="F123" s="4" t="str">
        <f ca="1">IFERROR(_xludf.XLOOKUP(C123,Milestones!$A$2:$A$501,Milestones!$C$2:$C$501),"")</f>
        <v/>
      </c>
      <c r="G123" s="4" t="str">
        <f ca="1">IFERROR(_xludf.XLOOKUP(C123,Milestones!$A$2:$A$501,Milestones!$F$2:$F$501),"")</f>
        <v/>
      </c>
      <c r="H123" s="4" t="str">
        <f ca="1">IFERROR(_xludf.XLOOKUP(C123,Milestones!$A$2:$A$501,Milestones!$M$2:$M$501),"")</f>
        <v/>
      </c>
      <c r="I123" s="4" t="str">
        <f t="shared" ca="1" si="4"/>
        <v/>
      </c>
      <c r="J123" s="4"/>
      <c r="K123" s="4" t="str">
        <f ca="1">IFERROR(_xludf.XLOOKUP(A123,Pracownicy!$A$2:$A$501,Pracownicy!$F$2:$F$501),"")</f>
        <v/>
      </c>
      <c r="L123" s="4"/>
      <c r="M123" s="4" t="str">
        <f t="shared" ca="1" si="5"/>
        <v/>
      </c>
      <c r="N123" s="4" t="str">
        <f t="shared" si="6"/>
        <v/>
      </c>
      <c r="O123" s="4" t="str">
        <f t="shared" ca="1" si="7"/>
        <v/>
      </c>
    </row>
    <row r="124" spans="1:15" x14ac:dyDescent="0.25">
      <c r="A124" s="4"/>
      <c r="B124" s="4" t="str">
        <f ca="1">IFERROR(_xludf.XLOOKUP(A124,Pracownicy!$A$2:$A$501,Pracownicy!$B$2:$B$501),"")</f>
        <v/>
      </c>
      <c r="C124" s="4"/>
      <c r="D124" s="4" t="str">
        <f ca="1">IFERROR(_xludf.XLOOKUP(C124,Milestones!$A$2:$A$501,Milestones!$B$2:$B$501),"")</f>
        <v/>
      </c>
      <c r="E124" s="4" t="str">
        <f ca="1">IFERROR(_xludf.XLOOKUP(D124,Projekty!$A$2:$A$501,Projekty!$B$2:$B$501),"")</f>
        <v/>
      </c>
      <c r="F124" s="4" t="str">
        <f ca="1">IFERROR(_xludf.XLOOKUP(C124,Milestones!$A$2:$A$501,Milestones!$C$2:$C$501),"")</f>
        <v/>
      </c>
      <c r="G124" s="4" t="str">
        <f ca="1">IFERROR(_xludf.XLOOKUP(C124,Milestones!$A$2:$A$501,Milestones!$F$2:$F$501),"")</f>
        <v/>
      </c>
      <c r="H124" s="4" t="str">
        <f ca="1">IFERROR(_xludf.XLOOKUP(C124,Milestones!$A$2:$A$501,Milestones!$M$2:$M$501),"")</f>
        <v/>
      </c>
      <c r="I124" s="4" t="str">
        <f t="shared" ca="1" si="4"/>
        <v/>
      </c>
      <c r="J124" s="4"/>
      <c r="K124" s="4" t="str">
        <f ca="1">IFERROR(_xludf.XLOOKUP(A124,Pracownicy!$A$2:$A$501,Pracownicy!$F$2:$F$501),"")</f>
        <v/>
      </c>
      <c r="L124" s="4"/>
      <c r="M124" s="4" t="str">
        <f t="shared" ca="1" si="5"/>
        <v/>
      </c>
      <c r="N124" s="4" t="str">
        <f t="shared" si="6"/>
        <v/>
      </c>
      <c r="O124" s="4" t="str">
        <f t="shared" ca="1" si="7"/>
        <v/>
      </c>
    </row>
    <row r="125" spans="1:15" x14ac:dyDescent="0.25">
      <c r="A125" s="4"/>
      <c r="B125" s="4" t="str">
        <f ca="1">IFERROR(_xludf.XLOOKUP(A125,Pracownicy!$A$2:$A$501,Pracownicy!$B$2:$B$501),"")</f>
        <v/>
      </c>
      <c r="C125" s="4"/>
      <c r="D125" s="4" t="str">
        <f ca="1">IFERROR(_xludf.XLOOKUP(C125,Milestones!$A$2:$A$501,Milestones!$B$2:$B$501),"")</f>
        <v/>
      </c>
      <c r="E125" s="4" t="str">
        <f ca="1">IFERROR(_xludf.XLOOKUP(D125,Projekty!$A$2:$A$501,Projekty!$B$2:$B$501),"")</f>
        <v/>
      </c>
      <c r="F125" s="4" t="str">
        <f ca="1">IFERROR(_xludf.XLOOKUP(C125,Milestones!$A$2:$A$501,Milestones!$C$2:$C$501),"")</f>
        <v/>
      </c>
      <c r="G125" s="4" t="str">
        <f ca="1">IFERROR(_xludf.XLOOKUP(C125,Milestones!$A$2:$A$501,Milestones!$F$2:$F$501),"")</f>
        <v/>
      </c>
      <c r="H125" s="4" t="str">
        <f ca="1">IFERROR(_xludf.XLOOKUP(C125,Milestones!$A$2:$A$501,Milestones!$M$2:$M$501),"")</f>
        <v/>
      </c>
      <c r="I125" s="4" t="str">
        <f t="shared" ca="1" si="4"/>
        <v/>
      </c>
      <c r="J125" s="4"/>
      <c r="K125" s="4" t="str">
        <f ca="1">IFERROR(_xludf.XLOOKUP(A125,Pracownicy!$A$2:$A$501,Pracownicy!$F$2:$F$501),"")</f>
        <v/>
      </c>
      <c r="L125" s="4"/>
      <c r="M125" s="4" t="str">
        <f t="shared" ca="1" si="5"/>
        <v/>
      </c>
      <c r="N125" s="4" t="str">
        <f t="shared" si="6"/>
        <v/>
      </c>
      <c r="O125" s="4" t="str">
        <f t="shared" ca="1" si="7"/>
        <v/>
      </c>
    </row>
    <row r="126" spans="1:15" x14ac:dyDescent="0.25">
      <c r="A126" s="4"/>
      <c r="B126" s="4" t="str">
        <f ca="1">IFERROR(_xludf.XLOOKUP(A126,Pracownicy!$A$2:$A$501,Pracownicy!$B$2:$B$501),"")</f>
        <v/>
      </c>
      <c r="C126" s="4"/>
      <c r="D126" s="4" t="str">
        <f ca="1">IFERROR(_xludf.XLOOKUP(C126,Milestones!$A$2:$A$501,Milestones!$B$2:$B$501),"")</f>
        <v/>
      </c>
      <c r="E126" s="4" t="str">
        <f ca="1">IFERROR(_xludf.XLOOKUP(D126,Projekty!$A$2:$A$501,Projekty!$B$2:$B$501),"")</f>
        <v/>
      </c>
      <c r="F126" s="4" t="str">
        <f ca="1">IFERROR(_xludf.XLOOKUP(C126,Milestones!$A$2:$A$501,Milestones!$C$2:$C$501),"")</f>
        <v/>
      </c>
      <c r="G126" s="4" t="str">
        <f ca="1">IFERROR(_xludf.XLOOKUP(C126,Milestones!$A$2:$A$501,Milestones!$F$2:$F$501),"")</f>
        <v/>
      </c>
      <c r="H126" s="4" t="str">
        <f ca="1">IFERROR(_xludf.XLOOKUP(C126,Milestones!$A$2:$A$501,Milestones!$M$2:$M$501),"")</f>
        <v/>
      </c>
      <c r="I126" s="4" t="str">
        <f t="shared" ca="1" si="4"/>
        <v/>
      </c>
      <c r="J126" s="4"/>
      <c r="K126" s="4" t="str">
        <f ca="1">IFERROR(_xludf.XLOOKUP(A126,Pracownicy!$A$2:$A$501,Pracownicy!$F$2:$F$501),"")</f>
        <v/>
      </c>
      <c r="L126" s="4"/>
      <c r="M126" s="4" t="str">
        <f t="shared" ca="1" si="5"/>
        <v/>
      </c>
      <c r="N126" s="4" t="str">
        <f t="shared" si="6"/>
        <v/>
      </c>
      <c r="O126" s="4" t="str">
        <f t="shared" ca="1" si="7"/>
        <v/>
      </c>
    </row>
    <row r="127" spans="1:15" x14ac:dyDescent="0.25">
      <c r="A127" s="4"/>
      <c r="B127" s="4" t="str">
        <f ca="1">IFERROR(_xludf.XLOOKUP(A127,Pracownicy!$A$2:$A$501,Pracownicy!$B$2:$B$501),"")</f>
        <v/>
      </c>
      <c r="C127" s="4"/>
      <c r="D127" s="4" t="str">
        <f ca="1">IFERROR(_xludf.XLOOKUP(C127,Milestones!$A$2:$A$501,Milestones!$B$2:$B$501),"")</f>
        <v/>
      </c>
      <c r="E127" s="4" t="str">
        <f ca="1">IFERROR(_xludf.XLOOKUP(D127,Projekty!$A$2:$A$501,Projekty!$B$2:$B$501),"")</f>
        <v/>
      </c>
      <c r="F127" s="4" t="str">
        <f ca="1">IFERROR(_xludf.XLOOKUP(C127,Milestones!$A$2:$A$501,Milestones!$C$2:$C$501),"")</f>
        <v/>
      </c>
      <c r="G127" s="4" t="str">
        <f ca="1">IFERROR(_xludf.XLOOKUP(C127,Milestones!$A$2:$A$501,Milestones!$F$2:$F$501),"")</f>
        <v/>
      </c>
      <c r="H127" s="4" t="str">
        <f ca="1">IFERROR(_xludf.XLOOKUP(C127,Milestones!$A$2:$A$501,Milestones!$M$2:$M$501),"")</f>
        <v/>
      </c>
      <c r="I127" s="4" t="str">
        <f t="shared" ca="1" si="4"/>
        <v/>
      </c>
      <c r="J127" s="4"/>
      <c r="K127" s="4" t="str">
        <f ca="1">IFERROR(_xludf.XLOOKUP(A127,Pracownicy!$A$2:$A$501,Pracownicy!$F$2:$F$501),"")</f>
        <v/>
      </c>
      <c r="L127" s="4"/>
      <c r="M127" s="4" t="str">
        <f t="shared" ca="1" si="5"/>
        <v/>
      </c>
      <c r="N127" s="4" t="str">
        <f t="shared" si="6"/>
        <v/>
      </c>
      <c r="O127" s="4" t="str">
        <f t="shared" ca="1" si="7"/>
        <v/>
      </c>
    </row>
    <row r="128" spans="1:15" x14ac:dyDescent="0.25">
      <c r="A128" s="4"/>
      <c r="B128" s="4" t="str">
        <f ca="1">IFERROR(_xludf.XLOOKUP(A128,Pracownicy!$A$2:$A$501,Pracownicy!$B$2:$B$501),"")</f>
        <v/>
      </c>
      <c r="C128" s="4"/>
      <c r="D128" s="4" t="str">
        <f ca="1">IFERROR(_xludf.XLOOKUP(C128,Milestones!$A$2:$A$501,Milestones!$B$2:$B$501),"")</f>
        <v/>
      </c>
      <c r="E128" s="4" t="str">
        <f ca="1">IFERROR(_xludf.XLOOKUP(D128,Projekty!$A$2:$A$501,Projekty!$B$2:$B$501),"")</f>
        <v/>
      </c>
      <c r="F128" s="4" t="str">
        <f ca="1">IFERROR(_xludf.XLOOKUP(C128,Milestones!$A$2:$A$501,Milestones!$C$2:$C$501),"")</f>
        <v/>
      </c>
      <c r="G128" s="4" t="str">
        <f ca="1">IFERROR(_xludf.XLOOKUP(C128,Milestones!$A$2:$A$501,Milestones!$F$2:$F$501),"")</f>
        <v/>
      </c>
      <c r="H128" s="4" t="str">
        <f ca="1">IFERROR(_xludf.XLOOKUP(C128,Milestones!$A$2:$A$501,Milestones!$M$2:$M$501),"")</f>
        <v/>
      </c>
      <c r="I128" s="4" t="str">
        <f t="shared" ca="1" si="4"/>
        <v/>
      </c>
      <c r="J128" s="4"/>
      <c r="K128" s="4" t="str">
        <f ca="1">IFERROR(_xludf.XLOOKUP(A128,Pracownicy!$A$2:$A$501,Pracownicy!$F$2:$F$501),"")</f>
        <v/>
      </c>
      <c r="L128" s="4"/>
      <c r="M128" s="4" t="str">
        <f t="shared" ca="1" si="5"/>
        <v/>
      </c>
      <c r="N128" s="4" t="str">
        <f t="shared" si="6"/>
        <v/>
      </c>
      <c r="O128" s="4" t="str">
        <f t="shared" ca="1" si="7"/>
        <v/>
      </c>
    </row>
    <row r="129" spans="1:15" x14ac:dyDescent="0.25">
      <c r="A129" s="4"/>
      <c r="B129" s="4" t="str">
        <f ca="1">IFERROR(_xludf.XLOOKUP(A129,Pracownicy!$A$2:$A$501,Pracownicy!$B$2:$B$501),"")</f>
        <v/>
      </c>
      <c r="C129" s="4"/>
      <c r="D129" s="4" t="str">
        <f ca="1">IFERROR(_xludf.XLOOKUP(C129,Milestones!$A$2:$A$501,Milestones!$B$2:$B$501),"")</f>
        <v/>
      </c>
      <c r="E129" s="4" t="str">
        <f ca="1">IFERROR(_xludf.XLOOKUP(D129,Projekty!$A$2:$A$501,Projekty!$B$2:$B$501),"")</f>
        <v/>
      </c>
      <c r="F129" s="4" t="str">
        <f ca="1">IFERROR(_xludf.XLOOKUP(C129,Milestones!$A$2:$A$501,Milestones!$C$2:$C$501),"")</f>
        <v/>
      </c>
      <c r="G129" s="4" t="str">
        <f ca="1">IFERROR(_xludf.XLOOKUP(C129,Milestones!$A$2:$A$501,Milestones!$F$2:$F$501),"")</f>
        <v/>
      </c>
      <c r="H129" s="4" t="str">
        <f ca="1">IFERROR(_xludf.XLOOKUP(C129,Milestones!$A$2:$A$501,Milestones!$M$2:$M$501),"")</f>
        <v/>
      </c>
      <c r="I129" s="4" t="str">
        <f t="shared" ca="1" si="4"/>
        <v/>
      </c>
      <c r="J129" s="4"/>
      <c r="K129" s="4" t="str">
        <f ca="1">IFERROR(_xludf.XLOOKUP(A129,Pracownicy!$A$2:$A$501,Pracownicy!$F$2:$F$501),"")</f>
        <v/>
      </c>
      <c r="L129" s="4"/>
      <c r="M129" s="4" t="str">
        <f t="shared" ca="1" si="5"/>
        <v/>
      </c>
      <c r="N129" s="4" t="str">
        <f t="shared" si="6"/>
        <v/>
      </c>
      <c r="O129" s="4" t="str">
        <f t="shared" ca="1" si="7"/>
        <v/>
      </c>
    </row>
    <row r="130" spans="1:15" x14ac:dyDescent="0.25">
      <c r="A130" s="4"/>
      <c r="B130" s="4" t="str">
        <f ca="1">IFERROR(_xludf.XLOOKUP(A130,Pracownicy!$A$2:$A$501,Pracownicy!$B$2:$B$501),"")</f>
        <v/>
      </c>
      <c r="C130" s="4"/>
      <c r="D130" s="4" t="str">
        <f ca="1">IFERROR(_xludf.XLOOKUP(C130,Milestones!$A$2:$A$501,Milestones!$B$2:$B$501),"")</f>
        <v/>
      </c>
      <c r="E130" s="4" t="str">
        <f ca="1">IFERROR(_xludf.XLOOKUP(D130,Projekty!$A$2:$A$501,Projekty!$B$2:$B$501),"")</f>
        <v/>
      </c>
      <c r="F130" s="4" t="str">
        <f ca="1">IFERROR(_xludf.XLOOKUP(C130,Milestones!$A$2:$A$501,Milestones!$C$2:$C$501),"")</f>
        <v/>
      </c>
      <c r="G130" s="4" t="str">
        <f ca="1">IFERROR(_xludf.XLOOKUP(C130,Milestones!$A$2:$A$501,Milestones!$F$2:$F$501),"")</f>
        <v/>
      </c>
      <c r="H130" s="4" t="str">
        <f ca="1">IFERROR(_xludf.XLOOKUP(C130,Milestones!$A$2:$A$501,Milestones!$M$2:$M$501),"")</f>
        <v/>
      </c>
      <c r="I130" s="4" t="str">
        <f t="shared" ref="I130:I193" ca="1" si="8">IF(H130="","",MIN(H130,1))</f>
        <v/>
      </c>
      <c r="J130" s="4"/>
      <c r="K130" s="4" t="str">
        <f ca="1">IFERROR(_xludf.XLOOKUP(A130,Pracownicy!$A$2:$A$501,Pracownicy!$F$2:$F$501),"")</f>
        <v/>
      </c>
      <c r="L130" s="4"/>
      <c r="M130" s="4" t="str">
        <f t="shared" ref="M130:M193" ca="1" si="9">IF(OR(J130="",K130="",L130=""),"",J130*K130*L130)</f>
        <v/>
      </c>
      <c r="N130" s="4" t="str">
        <f t="shared" ref="N130:N193" si="10">IF(C130="","",SUMIF($C$2:$C$501,C130,$M$2:$M$501))</f>
        <v/>
      </c>
      <c r="O130" s="4" t="str">
        <f t="shared" ref="O130:O193" ca="1" si="11">IF(OR(G130="",I130="",M130="",N130="",N130=0),"",ROUNDDOWN(G130*I130*(M130/N130),2))</f>
        <v/>
      </c>
    </row>
    <row r="131" spans="1:15" x14ac:dyDescent="0.25">
      <c r="A131" s="4"/>
      <c r="B131" s="4" t="str">
        <f ca="1">IFERROR(_xludf.XLOOKUP(A131,Pracownicy!$A$2:$A$501,Pracownicy!$B$2:$B$501),"")</f>
        <v/>
      </c>
      <c r="C131" s="4"/>
      <c r="D131" s="4" t="str">
        <f ca="1">IFERROR(_xludf.XLOOKUP(C131,Milestones!$A$2:$A$501,Milestones!$B$2:$B$501),"")</f>
        <v/>
      </c>
      <c r="E131" s="4" t="str">
        <f ca="1">IFERROR(_xludf.XLOOKUP(D131,Projekty!$A$2:$A$501,Projekty!$B$2:$B$501),"")</f>
        <v/>
      </c>
      <c r="F131" s="4" t="str">
        <f ca="1">IFERROR(_xludf.XLOOKUP(C131,Milestones!$A$2:$A$501,Milestones!$C$2:$C$501),"")</f>
        <v/>
      </c>
      <c r="G131" s="4" t="str">
        <f ca="1">IFERROR(_xludf.XLOOKUP(C131,Milestones!$A$2:$A$501,Milestones!$F$2:$F$501),"")</f>
        <v/>
      </c>
      <c r="H131" s="4" t="str">
        <f ca="1">IFERROR(_xludf.XLOOKUP(C131,Milestones!$A$2:$A$501,Milestones!$M$2:$M$501),"")</f>
        <v/>
      </c>
      <c r="I131" s="4" t="str">
        <f t="shared" ca="1" si="8"/>
        <v/>
      </c>
      <c r="J131" s="4"/>
      <c r="K131" s="4" t="str">
        <f ca="1">IFERROR(_xludf.XLOOKUP(A131,Pracownicy!$A$2:$A$501,Pracownicy!$F$2:$F$501),"")</f>
        <v/>
      </c>
      <c r="L131" s="4"/>
      <c r="M131" s="4" t="str">
        <f t="shared" ca="1" si="9"/>
        <v/>
      </c>
      <c r="N131" s="4" t="str">
        <f t="shared" si="10"/>
        <v/>
      </c>
      <c r="O131" s="4" t="str">
        <f t="shared" ca="1" si="11"/>
        <v/>
      </c>
    </row>
    <row r="132" spans="1:15" x14ac:dyDescent="0.25">
      <c r="A132" s="4"/>
      <c r="B132" s="4" t="str">
        <f ca="1">IFERROR(_xludf.XLOOKUP(A132,Pracownicy!$A$2:$A$501,Pracownicy!$B$2:$B$501),"")</f>
        <v/>
      </c>
      <c r="C132" s="4"/>
      <c r="D132" s="4" t="str">
        <f ca="1">IFERROR(_xludf.XLOOKUP(C132,Milestones!$A$2:$A$501,Milestones!$B$2:$B$501),"")</f>
        <v/>
      </c>
      <c r="E132" s="4" t="str">
        <f ca="1">IFERROR(_xludf.XLOOKUP(D132,Projekty!$A$2:$A$501,Projekty!$B$2:$B$501),"")</f>
        <v/>
      </c>
      <c r="F132" s="4" t="str">
        <f ca="1">IFERROR(_xludf.XLOOKUP(C132,Milestones!$A$2:$A$501,Milestones!$C$2:$C$501),"")</f>
        <v/>
      </c>
      <c r="G132" s="4" t="str">
        <f ca="1">IFERROR(_xludf.XLOOKUP(C132,Milestones!$A$2:$A$501,Milestones!$F$2:$F$501),"")</f>
        <v/>
      </c>
      <c r="H132" s="4" t="str">
        <f ca="1">IFERROR(_xludf.XLOOKUP(C132,Milestones!$A$2:$A$501,Milestones!$M$2:$M$501),"")</f>
        <v/>
      </c>
      <c r="I132" s="4" t="str">
        <f t="shared" ca="1" si="8"/>
        <v/>
      </c>
      <c r="J132" s="4"/>
      <c r="K132" s="4" t="str">
        <f ca="1">IFERROR(_xludf.XLOOKUP(A132,Pracownicy!$A$2:$A$501,Pracownicy!$F$2:$F$501),"")</f>
        <v/>
      </c>
      <c r="L132" s="4"/>
      <c r="M132" s="4" t="str">
        <f t="shared" ca="1" si="9"/>
        <v/>
      </c>
      <c r="N132" s="4" t="str">
        <f t="shared" si="10"/>
        <v/>
      </c>
      <c r="O132" s="4" t="str">
        <f t="shared" ca="1" si="11"/>
        <v/>
      </c>
    </row>
    <row r="133" spans="1:15" x14ac:dyDescent="0.25">
      <c r="A133" s="4"/>
      <c r="B133" s="4" t="str">
        <f ca="1">IFERROR(_xludf.XLOOKUP(A133,Pracownicy!$A$2:$A$501,Pracownicy!$B$2:$B$501),"")</f>
        <v/>
      </c>
      <c r="C133" s="4"/>
      <c r="D133" s="4" t="str">
        <f ca="1">IFERROR(_xludf.XLOOKUP(C133,Milestones!$A$2:$A$501,Milestones!$B$2:$B$501),"")</f>
        <v/>
      </c>
      <c r="E133" s="4" t="str">
        <f ca="1">IFERROR(_xludf.XLOOKUP(D133,Projekty!$A$2:$A$501,Projekty!$B$2:$B$501),"")</f>
        <v/>
      </c>
      <c r="F133" s="4" t="str">
        <f ca="1">IFERROR(_xludf.XLOOKUP(C133,Milestones!$A$2:$A$501,Milestones!$C$2:$C$501),"")</f>
        <v/>
      </c>
      <c r="G133" s="4" t="str">
        <f ca="1">IFERROR(_xludf.XLOOKUP(C133,Milestones!$A$2:$A$501,Milestones!$F$2:$F$501),"")</f>
        <v/>
      </c>
      <c r="H133" s="4" t="str">
        <f ca="1">IFERROR(_xludf.XLOOKUP(C133,Milestones!$A$2:$A$501,Milestones!$M$2:$M$501),"")</f>
        <v/>
      </c>
      <c r="I133" s="4" t="str">
        <f t="shared" ca="1" si="8"/>
        <v/>
      </c>
      <c r="J133" s="4"/>
      <c r="K133" s="4" t="str">
        <f ca="1">IFERROR(_xludf.XLOOKUP(A133,Pracownicy!$A$2:$A$501,Pracownicy!$F$2:$F$501),"")</f>
        <v/>
      </c>
      <c r="L133" s="4"/>
      <c r="M133" s="4" t="str">
        <f t="shared" ca="1" si="9"/>
        <v/>
      </c>
      <c r="N133" s="4" t="str">
        <f t="shared" si="10"/>
        <v/>
      </c>
      <c r="O133" s="4" t="str">
        <f t="shared" ca="1" si="11"/>
        <v/>
      </c>
    </row>
    <row r="134" spans="1:15" x14ac:dyDescent="0.25">
      <c r="A134" s="4"/>
      <c r="B134" s="4" t="str">
        <f ca="1">IFERROR(_xludf.XLOOKUP(A134,Pracownicy!$A$2:$A$501,Pracownicy!$B$2:$B$501),"")</f>
        <v/>
      </c>
      <c r="C134" s="4"/>
      <c r="D134" s="4" t="str">
        <f ca="1">IFERROR(_xludf.XLOOKUP(C134,Milestones!$A$2:$A$501,Milestones!$B$2:$B$501),"")</f>
        <v/>
      </c>
      <c r="E134" s="4" t="str">
        <f ca="1">IFERROR(_xludf.XLOOKUP(D134,Projekty!$A$2:$A$501,Projekty!$B$2:$B$501),"")</f>
        <v/>
      </c>
      <c r="F134" s="4" t="str">
        <f ca="1">IFERROR(_xludf.XLOOKUP(C134,Milestones!$A$2:$A$501,Milestones!$C$2:$C$501),"")</f>
        <v/>
      </c>
      <c r="G134" s="4" t="str">
        <f ca="1">IFERROR(_xludf.XLOOKUP(C134,Milestones!$A$2:$A$501,Milestones!$F$2:$F$501),"")</f>
        <v/>
      </c>
      <c r="H134" s="4" t="str">
        <f ca="1">IFERROR(_xludf.XLOOKUP(C134,Milestones!$A$2:$A$501,Milestones!$M$2:$M$501),"")</f>
        <v/>
      </c>
      <c r="I134" s="4" t="str">
        <f t="shared" ca="1" si="8"/>
        <v/>
      </c>
      <c r="J134" s="4"/>
      <c r="K134" s="4" t="str">
        <f ca="1">IFERROR(_xludf.XLOOKUP(A134,Pracownicy!$A$2:$A$501,Pracownicy!$F$2:$F$501),"")</f>
        <v/>
      </c>
      <c r="L134" s="4"/>
      <c r="M134" s="4" t="str">
        <f t="shared" ca="1" si="9"/>
        <v/>
      </c>
      <c r="N134" s="4" t="str">
        <f t="shared" si="10"/>
        <v/>
      </c>
      <c r="O134" s="4" t="str">
        <f t="shared" ca="1" si="11"/>
        <v/>
      </c>
    </row>
    <row r="135" spans="1:15" x14ac:dyDescent="0.25">
      <c r="A135" s="4"/>
      <c r="B135" s="4" t="str">
        <f ca="1">IFERROR(_xludf.XLOOKUP(A135,Pracownicy!$A$2:$A$501,Pracownicy!$B$2:$B$501),"")</f>
        <v/>
      </c>
      <c r="C135" s="4"/>
      <c r="D135" s="4" t="str">
        <f ca="1">IFERROR(_xludf.XLOOKUP(C135,Milestones!$A$2:$A$501,Milestones!$B$2:$B$501),"")</f>
        <v/>
      </c>
      <c r="E135" s="4" t="str">
        <f ca="1">IFERROR(_xludf.XLOOKUP(D135,Projekty!$A$2:$A$501,Projekty!$B$2:$B$501),"")</f>
        <v/>
      </c>
      <c r="F135" s="4" t="str">
        <f ca="1">IFERROR(_xludf.XLOOKUP(C135,Milestones!$A$2:$A$501,Milestones!$C$2:$C$501),"")</f>
        <v/>
      </c>
      <c r="G135" s="4" t="str">
        <f ca="1">IFERROR(_xludf.XLOOKUP(C135,Milestones!$A$2:$A$501,Milestones!$F$2:$F$501),"")</f>
        <v/>
      </c>
      <c r="H135" s="4" t="str">
        <f ca="1">IFERROR(_xludf.XLOOKUP(C135,Milestones!$A$2:$A$501,Milestones!$M$2:$M$501),"")</f>
        <v/>
      </c>
      <c r="I135" s="4" t="str">
        <f t="shared" ca="1" si="8"/>
        <v/>
      </c>
      <c r="J135" s="4"/>
      <c r="K135" s="4" t="str">
        <f ca="1">IFERROR(_xludf.XLOOKUP(A135,Pracownicy!$A$2:$A$501,Pracownicy!$F$2:$F$501),"")</f>
        <v/>
      </c>
      <c r="L135" s="4"/>
      <c r="M135" s="4" t="str">
        <f t="shared" ca="1" si="9"/>
        <v/>
      </c>
      <c r="N135" s="4" t="str">
        <f t="shared" si="10"/>
        <v/>
      </c>
      <c r="O135" s="4" t="str">
        <f t="shared" ca="1" si="11"/>
        <v/>
      </c>
    </row>
    <row r="136" spans="1:15" x14ac:dyDescent="0.25">
      <c r="A136" s="4"/>
      <c r="B136" s="4" t="str">
        <f ca="1">IFERROR(_xludf.XLOOKUP(A136,Pracownicy!$A$2:$A$501,Pracownicy!$B$2:$B$501),"")</f>
        <v/>
      </c>
      <c r="C136" s="4"/>
      <c r="D136" s="4" t="str">
        <f ca="1">IFERROR(_xludf.XLOOKUP(C136,Milestones!$A$2:$A$501,Milestones!$B$2:$B$501),"")</f>
        <v/>
      </c>
      <c r="E136" s="4" t="str">
        <f ca="1">IFERROR(_xludf.XLOOKUP(D136,Projekty!$A$2:$A$501,Projekty!$B$2:$B$501),"")</f>
        <v/>
      </c>
      <c r="F136" s="4" t="str">
        <f ca="1">IFERROR(_xludf.XLOOKUP(C136,Milestones!$A$2:$A$501,Milestones!$C$2:$C$501),"")</f>
        <v/>
      </c>
      <c r="G136" s="4" t="str">
        <f ca="1">IFERROR(_xludf.XLOOKUP(C136,Milestones!$A$2:$A$501,Milestones!$F$2:$F$501),"")</f>
        <v/>
      </c>
      <c r="H136" s="4" t="str">
        <f ca="1">IFERROR(_xludf.XLOOKUP(C136,Milestones!$A$2:$A$501,Milestones!$M$2:$M$501),"")</f>
        <v/>
      </c>
      <c r="I136" s="4" t="str">
        <f t="shared" ca="1" si="8"/>
        <v/>
      </c>
      <c r="J136" s="4"/>
      <c r="K136" s="4" t="str">
        <f ca="1">IFERROR(_xludf.XLOOKUP(A136,Pracownicy!$A$2:$A$501,Pracownicy!$F$2:$F$501),"")</f>
        <v/>
      </c>
      <c r="L136" s="4"/>
      <c r="M136" s="4" t="str">
        <f t="shared" ca="1" si="9"/>
        <v/>
      </c>
      <c r="N136" s="4" t="str">
        <f t="shared" si="10"/>
        <v/>
      </c>
      <c r="O136" s="4" t="str">
        <f t="shared" ca="1" si="11"/>
        <v/>
      </c>
    </row>
    <row r="137" spans="1:15" x14ac:dyDescent="0.25">
      <c r="A137" s="4"/>
      <c r="B137" s="4" t="str">
        <f ca="1">IFERROR(_xludf.XLOOKUP(A137,Pracownicy!$A$2:$A$501,Pracownicy!$B$2:$B$501),"")</f>
        <v/>
      </c>
      <c r="C137" s="4"/>
      <c r="D137" s="4" t="str">
        <f ca="1">IFERROR(_xludf.XLOOKUP(C137,Milestones!$A$2:$A$501,Milestones!$B$2:$B$501),"")</f>
        <v/>
      </c>
      <c r="E137" s="4" t="str">
        <f ca="1">IFERROR(_xludf.XLOOKUP(D137,Projekty!$A$2:$A$501,Projekty!$B$2:$B$501),"")</f>
        <v/>
      </c>
      <c r="F137" s="4" t="str">
        <f ca="1">IFERROR(_xludf.XLOOKUP(C137,Milestones!$A$2:$A$501,Milestones!$C$2:$C$501),"")</f>
        <v/>
      </c>
      <c r="G137" s="4" t="str">
        <f ca="1">IFERROR(_xludf.XLOOKUP(C137,Milestones!$A$2:$A$501,Milestones!$F$2:$F$501),"")</f>
        <v/>
      </c>
      <c r="H137" s="4" t="str">
        <f ca="1">IFERROR(_xludf.XLOOKUP(C137,Milestones!$A$2:$A$501,Milestones!$M$2:$M$501),"")</f>
        <v/>
      </c>
      <c r="I137" s="4" t="str">
        <f t="shared" ca="1" si="8"/>
        <v/>
      </c>
      <c r="J137" s="4"/>
      <c r="K137" s="4" t="str">
        <f ca="1">IFERROR(_xludf.XLOOKUP(A137,Pracownicy!$A$2:$A$501,Pracownicy!$F$2:$F$501),"")</f>
        <v/>
      </c>
      <c r="L137" s="4"/>
      <c r="M137" s="4" t="str">
        <f t="shared" ca="1" si="9"/>
        <v/>
      </c>
      <c r="N137" s="4" t="str">
        <f t="shared" si="10"/>
        <v/>
      </c>
      <c r="O137" s="4" t="str">
        <f t="shared" ca="1" si="11"/>
        <v/>
      </c>
    </row>
    <row r="138" spans="1:15" x14ac:dyDescent="0.25">
      <c r="A138" s="4"/>
      <c r="B138" s="4" t="str">
        <f ca="1">IFERROR(_xludf.XLOOKUP(A138,Pracownicy!$A$2:$A$501,Pracownicy!$B$2:$B$501),"")</f>
        <v/>
      </c>
      <c r="C138" s="4"/>
      <c r="D138" s="4" t="str">
        <f ca="1">IFERROR(_xludf.XLOOKUP(C138,Milestones!$A$2:$A$501,Milestones!$B$2:$B$501),"")</f>
        <v/>
      </c>
      <c r="E138" s="4" t="str">
        <f ca="1">IFERROR(_xludf.XLOOKUP(D138,Projekty!$A$2:$A$501,Projekty!$B$2:$B$501),"")</f>
        <v/>
      </c>
      <c r="F138" s="4" t="str">
        <f ca="1">IFERROR(_xludf.XLOOKUP(C138,Milestones!$A$2:$A$501,Milestones!$C$2:$C$501),"")</f>
        <v/>
      </c>
      <c r="G138" s="4" t="str">
        <f ca="1">IFERROR(_xludf.XLOOKUP(C138,Milestones!$A$2:$A$501,Milestones!$F$2:$F$501),"")</f>
        <v/>
      </c>
      <c r="H138" s="4" t="str">
        <f ca="1">IFERROR(_xludf.XLOOKUP(C138,Milestones!$A$2:$A$501,Milestones!$M$2:$M$501),"")</f>
        <v/>
      </c>
      <c r="I138" s="4" t="str">
        <f t="shared" ca="1" si="8"/>
        <v/>
      </c>
      <c r="J138" s="4"/>
      <c r="K138" s="4" t="str">
        <f ca="1">IFERROR(_xludf.XLOOKUP(A138,Pracownicy!$A$2:$A$501,Pracownicy!$F$2:$F$501),"")</f>
        <v/>
      </c>
      <c r="L138" s="4"/>
      <c r="M138" s="4" t="str">
        <f t="shared" ca="1" si="9"/>
        <v/>
      </c>
      <c r="N138" s="4" t="str">
        <f t="shared" si="10"/>
        <v/>
      </c>
      <c r="O138" s="4" t="str">
        <f t="shared" ca="1" si="11"/>
        <v/>
      </c>
    </row>
    <row r="139" spans="1:15" x14ac:dyDescent="0.25">
      <c r="A139" s="4"/>
      <c r="B139" s="4" t="str">
        <f ca="1">IFERROR(_xludf.XLOOKUP(A139,Pracownicy!$A$2:$A$501,Pracownicy!$B$2:$B$501),"")</f>
        <v/>
      </c>
      <c r="C139" s="4"/>
      <c r="D139" s="4" t="str">
        <f ca="1">IFERROR(_xludf.XLOOKUP(C139,Milestones!$A$2:$A$501,Milestones!$B$2:$B$501),"")</f>
        <v/>
      </c>
      <c r="E139" s="4" t="str">
        <f ca="1">IFERROR(_xludf.XLOOKUP(D139,Projekty!$A$2:$A$501,Projekty!$B$2:$B$501),"")</f>
        <v/>
      </c>
      <c r="F139" s="4" t="str">
        <f ca="1">IFERROR(_xludf.XLOOKUP(C139,Milestones!$A$2:$A$501,Milestones!$C$2:$C$501),"")</f>
        <v/>
      </c>
      <c r="G139" s="4" t="str">
        <f ca="1">IFERROR(_xludf.XLOOKUP(C139,Milestones!$A$2:$A$501,Milestones!$F$2:$F$501),"")</f>
        <v/>
      </c>
      <c r="H139" s="4" t="str">
        <f ca="1">IFERROR(_xludf.XLOOKUP(C139,Milestones!$A$2:$A$501,Milestones!$M$2:$M$501),"")</f>
        <v/>
      </c>
      <c r="I139" s="4" t="str">
        <f t="shared" ca="1" si="8"/>
        <v/>
      </c>
      <c r="J139" s="4"/>
      <c r="K139" s="4" t="str">
        <f ca="1">IFERROR(_xludf.XLOOKUP(A139,Pracownicy!$A$2:$A$501,Pracownicy!$F$2:$F$501),"")</f>
        <v/>
      </c>
      <c r="L139" s="4"/>
      <c r="M139" s="4" t="str">
        <f t="shared" ca="1" si="9"/>
        <v/>
      </c>
      <c r="N139" s="4" t="str">
        <f t="shared" si="10"/>
        <v/>
      </c>
      <c r="O139" s="4" t="str">
        <f t="shared" ca="1" si="11"/>
        <v/>
      </c>
    </row>
    <row r="140" spans="1:15" x14ac:dyDescent="0.25">
      <c r="A140" s="4"/>
      <c r="B140" s="4" t="str">
        <f ca="1">IFERROR(_xludf.XLOOKUP(A140,Pracownicy!$A$2:$A$501,Pracownicy!$B$2:$B$501),"")</f>
        <v/>
      </c>
      <c r="C140" s="4"/>
      <c r="D140" s="4" t="str">
        <f ca="1">IFERROR(_xludf.XLOOKUP(C140,Milestones!$A$2:$A$501,Milestones!$B$2:$B$501),"")</f>
        <v/>
      </c>
      <c r="E140" s="4" t="str">
        <f ca="1">IFERROR(_xludf.XLOOKUP(D140,Projekty!$A$2:$A$501,Projekty!$B$2:$B$501),"")</f>
        <v/>
      </c>
      <c r="F140" s="4" t="str">
        <f ca="1">IFERROR(_xludf.XLOOKUP(C140,Milestones!$A$2:$A$501,Milestones!$C$2:$C$501),"")</f>
        <v/>
      </c>
      <c r="G140" s="4" t="str">
        <f ca="1">IFERROR(_xludf.XLOOKUP(C140,Milestones!$A$2:$A$501,Milestones!$F$2:$F$501),"")</f>
        <v/>
      </c>
      <c r="H140" s="4" t="str">
        <f ca="1">IFERROR(_xludf.XLOOKUP(C140,Milestones!$A$2:$A$501,Milestones!$M$2:$M$501),"")</f>
        <v/>
      </c>
      <c r="I140" s="4" t="str">
        <f t="shared" ca="1" si="8"/>
        <v/>
      </c>
      <c r="J140" s="4"/>
      <c r="K140" s="4" t="str">
        <f ca="1">IFERROR(_xludf.XLOOKUP(A140,Pracownicy!$A$2:$A$501,Pracownicy!$F$2:$F$501),"")</f>
        <v/>
      </c>
      <c r="L140" s="4"/>
      <c r="M140" s="4" t="str">
        <f t="shared" ca="1" si="9"/>
        <v/>
      </c>
      <c r="N140" s="4" t="str">
        <f t="shared" si="10"/>
        <v/>
      </c>
      <c r="O140" s="4" t="str">
        <f t="shared" ca="1" si="11"/>
        <v/>
      </c>
    </row>
    <row r="141" spans="1:15" x14ac:dyDescent="0.25">
      <c r="A141" s="4"/>
      <c r="B141" s="4" t="str">
        <f ca="1">IFERROR(_xludf.XLOOKUP(A141,Pracownicy!$A$2:$A$501,Pracownicy!$B$2:$B$501),"")</f>
        <v/>
      </c>
      <c r="C141" s="4"/>
      <c r="D141" s="4" t="str">
        <f ca="1">IFERROR(_xludf.XLOOKUP(C141,Milestones!$A$2:$A$501,Milestones!$B$2:$B$501),"")</f>
        <v/>
      </c>
      <c r="E141" s="4" t="str">
        <f ca="1">IFERROR(_xludf.XLOOKUP(D141,Projekty!$A$2:$A$501,Projekty!$B$2:$B$501),"")</f>
        <v/>
      </c>
      <c r="F141" s="4" t="str">
        <f ca="1">IFERROR(_xludf.XLOOKUP(C141,Milestones!$A$2:$A$501,Milestones!$C$2:$C$501),"")</f>
        <v/>
      </c>
      <c r="G141" s="4" t="str">
        <f ca="1">IFERROR(_xludf.XLOOKUP(C141,Milestones!$A$2:$A$501,Milestones!$F$2:$F$501),"")</f>
        <v/>
      </c>
      <c r="H141" s="4" t="str">
        <f ca="1">IFERROR(_xludf.XLOOKUP(C141,Milestones!$A$2:$A$501,Milestones!$M$2:$M$501),"")</f>
        <v/>
      </c>
      <c r="I141" s="4" t="str">
        <f t="shared" ca="1" si="8"/>
        <v/>
      </c>
      <c r="J141" s="4"/>
      <c r="K141" s="4" t="str">
        <f ca="1">IFERROR(_xludf.XLOOKUP(A141,Pracownicy!$A$2:$A$501,Pracownicy!$F$2:$F$501),"")</f>
        <v/>
      </c>
      <c r="L141" s="4"/>
      <c r="M141" s="4" t="str">
        <f t="shared" ca="1" si="9"/>
        <v/>
      </c>
      <c r="N141" s="4" t="str">
        <f t="shared" si="10"/>
        <v/>
      </c>
      <c r="O141" s="4" t="str">
        <f t="shared" ca="1" si="11"/>
        <v/>
      </c>
    </row>
    <row r="142" spans="1:15" x14ac:dyDescent="0.25">
      <c r="A142" s="4"/>
      <c r="B142" s="4" t="str">
        <f ca="1">IFERROR(_xludf.XLOOKUP(A142,Pracownicy!$A$2:$A$501,Pracownicy!$B$2:$B$501),"")</f>
        <v/>
      </c>
      <c r="C142" s="4"/>
      <c r="D142" s="4" t="str">
        <f ca="1">IFERROR(_xludf.XLOOKUP(C142,Milestones!$A$2:$A$501,Milestones!$B$2:$B$501),"")</f>
        <v/>
      </c>
      <c r="E142" s="4" t="str">
        <f ca="1">IFERROR(_xludf.XLOOKUP(D142,Projekty!$A$2:$A$501,Projekty!$B$2:$B$501),"")</f>
        <v/>
      </c>
      <c r="F142" s="4" t="str">
        <f ca="1">IFERROR(_xludf.XLOOKUP(C142,Milestones!$A$2:$A$501,Milestones!$C$2:$C$501),"")</f>
        <v/>
      </c>
      <c r="G142" s="4" t="str">
        <f ca="1">IFERROR(_xludf.XLOOKUP(C142,Milestones!$A$2:$A$501,Milestones!$F$2:$F$501),"")</f>
        <v/>
      </c>
      <c r="H142" s="4" t="str">
        <f ca="1">IFERROR(_xludf.XLOOKUP(C142,Milestones!$A$2:$A$501,Milestones!$M$2:$M$501),"")</f>
        <v/>
      </c>
      <c r="I142" s="4" t="str">
        <f t="shared" ca="1" si="8"/>
        <v/>
      </c>
      <c r="J142" s="4"/>
      <c r="K142" s="4" t="str">
        <f ca="1">IFERROR(_xludf.XLOOKUP(A142,Pracownicy!$A$2:$A$501,Pracownicy!$F$2:$F$501),"")</f>
        <v/>
      </c>
      <c r="L142" s="4"/>
      <c r="M142" s="4" t="str">
        <f t="shared" ca="1" si="9"/>
        <v/>
      </c>
      <c r="N142" s="4" t="str">
        <f t="shared" si="10"/>
        <v/>
      </c>
      <c r="O142" s="4" t="str">
        <f t="shared" ca="1" si="11"/>
        <v/>
      </c>
    </row>
    <row r="143" spans="1:15" x14ac:dyDescent="0.25">
      <c r="A143" s="4"/>
      <c r="B143" s="4" t="str">
        <f ca="1">IFERROR(_xludf.XLOOKUP(A143,Pracownicy!$A$2:$A$501,Pracownicy!$B$2:$B$501),"")</f>
        <v/>
      </c>
      <c r="C143" s="4"/>
      <c r="D143" s="4" t="str">
        <f ca="1">IFERROR(_xludf.XLOOKUP(C143,Milestones!$A$2:$A$501,Milestones!$B$2:$B$501),"")</f>
        <v/>
      </c>
      <c r="E143" s="4" t="str">
        <f ca="1">IFERROR(_xludf.XLOOKUP(D143,Projekty!$A$2:$A$501,Projekty!$B$2:$B$501),"")</f>
        <v/>
      </c>
      <c r="F143" s="4" t="str">
        <f ca="1">IFERROR(_xludf.XLOOKUP(C143,Milestones!$A$2:$A$501,Milestones!$C$2:$C$501),"")</f>
        <v/>
      </c>
      <c r="G143" s="4" t="str">
        <f ca="1">IFERROR(_xludf.XLOOKUP(C143,Milestones!$A$2:$A$501,Milestones!$F$2:$F$501),"")</f>
        <v/>
      </c>
      <c r="H143" s="4" t="str">
        <f ca="1">IFERROR(_xludf.XLOOKUP(C143,Milestones!$A$2:$A$501,Milestones!$M$2:$M$501),"")</f>
        <v/>
      </c>
      <c r="I143" s="4" t="str">
        <f t="shared" ca="1" si="8"/>
        <v/>
      </c>
      <c r="J143" s="4"/>
      <c r="K143" s="4" t="str">
        <f ca="1">IFERROR(_xludf.XLOOKUP(A143,Pracownicy!$A$2:$A$501,Pracownicy!$F$2:$F$501),"")</f>
        <v/>
      </c>
      <c r="L143" s="4"/>
      <c r="M143" s="4" t="str">
        <f t="shared" ca="1" si="9"/>
        <v/>
      </c>
      <c r="N143" s="4" t="str">
        <f t="shared" si="10"/>
        <v/>
      </c>
      <c r="O143" s="4" t="str">
        <f t="shared" ca="1" si="11"/>
        <v/>
      </c>
    </row>
    <row r="144" spans="1:15" x14ac:dyDescent="0.25">
      <c r="A144" s="4"/>
      <c r="B144" s="4" t="str">
        <f ca="1">IFERROR(_xludf.XLOOKUP(A144,Pracownicy!$A$2:$A$501,Pracownicy!$B$2:$B$501),"")</f>
        <v/>
      </c>
      <c r="C144" s="4"/>
      <c r="D144" s="4" t="str">
        <f ca="1">IFERROR(_xludf.XLOOKUP(C144,Milestones!$A$2:$A$501,Milestones!$B$2:$B$501),"")</f>
        <v/>
      </c>
      <c r="E144" s="4" t="str">
        <f ca="1">IFERROR(_xludf.XLOOKUP(D144,Projekty!$A$2:$A$501,Projekty!$B$2:$B$501),"")</f>
        <v/>
      </c>
      <c r="F144" s="4" t="str">
        <f ca="1">IFERROR(_xludf.XLOOKUP(C144,Milestones!$A$2:$A$501,Milestones!$C$2:$C$501),"")</f>
        <v/>
      </c>
      <c r="G144" s="4" t="str">
        <f ca="1">IFERROR(_xludf.XLOOKUP(C144,Milestones!$A$2:$A$501,Milestones!$F$2:$F$501),"")</f>
        <v/>
      </c>
      <c r="H144" s="4" t="str">
        <f ca="1">IFERROR(_xludf.XLOOKUP(C144,Milestones!$A$2:$A$501,Milestones!$M$2:$M$501),"")</f>
        <v/>
      </c>
      <c r="I144" s="4" t="str">
        <f t="shared" ca="1" si="8"/>
        <v/>
      </c>
      <c r="J144" s="4"/>
      <c r="K144" s="4" t="str">
        <f ca="1">IFERROR(_xludf.XLOOKUP(A144,Pracownicy!$A$2:$A$501,Pracownicy!$F$2:$F$501),"")</f>
        <v/>
      </c>
      <c r="L144" s="4"/>
      <c r="M144" s="4" t="str">
        <f t="shared" ca="1" si="9"/>
        <v/>
      </c>
      <c r="N144" s="4" t="str">
        <f t="shared" si="10"/>
        <v/>
      </c>
      <c r="O144" s="4" t="str">
        <f t="shared" ca="1" si="11"/>
        <v/>
      </c>
    </row>
    <row r="145" spans="1:15" x14ac:dyDescent="0.25">
      <c r="A145" s="4"/>
      <c r="B145" s="4" t="str">
        <f ca="1">IFERROR(_xludf.XLOOKUP(A145,Pracownicy!$A$2:$A$501,Pracownicy!$B$2:$B$501),"")</f>
        <v/>
      </c>
      <c r="C145" s="4"/>
      <c r="D145" s="4" t="str">
        <f ca="1">IFERROR(_xludf.XLOOKUP(C145,Milestones!$A$2:$A$501,Milestones!$B$2:$B$501),"")</f>
        <v/>
      </c>
      <c r="E145" s="4" t="str">
        <f ca="1">IFERROR(_xludf.XLOOKUP(D145,Projekty!$A$2:$A$501,Projekty!$B$2:$B$501),"")</f>
        <v/>
      </c>
      <c r="F145" s="4" t="str">
        <f ca="1">IFERROR(_xludf.XLOOKUP(C145,Milestones!$A$2:$A$501,Milestones!$C$2:$C$501),"")</f>
        <v/>
      </c>
      <c r="G145" s="4" t="str">
        <f ca="1">IFERROR(_xludf.XLOOKUP(C145,Milestones!$A$2:$A$501,Milestones!$F$2:$F$501),"")</f>
        <v/>
      </c>
      <c r="H145" s="4" t="str">
        <f ca="1">IFERROR(_xludf.XLOOKUP(C145,Milestones!$A$2:$A$501,Milestones!$M$2:$M$501),"")</f>
        <v/>
      </c>
      <c r="I145" s="4" t="str">
        <f t="shared" ca="1" si="8"/>
        <v/>
      </c>
      <c r="J145" s="4"/>
      <c r="K145" s="4" t="str">
        <f ca="1">IFERROR(_xludf.XLOOKUP(A145,Pracownicy!$A$2:$A$501,Pracownicy!$F$2:$F$501),"")</f>
        <v/>
      </c>
      <c r="L145" s="4"/>
      <c r="M145" s="4" t="str">
        <f t="shared" ca="1" si="9"/>
        <v/>
      </c>
      <c r="N145" s="4" t="str">
        <f t="shared" si="10"/>
        <v/>
      </c>
      <c r="O145" s="4" t="str">
        <f t="shared" ca="1" si="11"/>
        <v/>
      </c>
    </row>
    <row r="146" spans="1:15" x14ac:dyDescent="0.25">
      <c r="A146" s="4"/>
      <c r="B146" s="4" t="str">
        <f ca="1">IFERROR(_xludf.XLOOKUP(A146,Pracownicy!$A$2:$A$501,Pracownicy!$B$2:$B$501),"")</f>
        <v/>
      </c>
      <c r="C146" s="4"/>
      <c r="D146" s="4" t="str">
        <f ca="1">IFERROR(_xludf.XLOOKUP(C146,Milestones!$A$2:$A$501,Milestones!$B$2:$B$501),"")</f>
        <v/>
      </c>
      <c r="E146" s="4" t="str">
        <f ca="1">IFERROR(_xludf.XLOOKUP(D146,Projekty!$A$2:$A$501,Projekty!$B$2:$B$501),"")</f>
        <v/>
      </c>
      <c r="F146" s="4" t="str">
        <f ca="1">IFERROR(_xludf.XLOOKUP(C146,Milestones!$A$2:$A$501,Milestones!$C$2:$C$501),"")</f>
        <v/>
      </c>
      <c r="G146" s="4" t="str">
        <f ca="1">IFERROR(_xludf.XLOOKUP(C146,Milestones!$A$2:$A$501,Milestones!$F$2:$F$501),"")</f>
        <v/>
      </c>
      <c r="H146" s="4" t="str">
        <f ca="1">IFERROR(_xludf.XLOOKUP(C146,Milestones!$A$2:$A$501,Milestones!$M$2:$M$501),"")</f>
        <v/>
      </c>
      <c r="I146" s="4" t="str">
        <f t="shared" ca="1" si="8"/>
        <v/>
      </c>
      <c r="J146" s="4"/>
      <c r="K146" s="4" t="str">
        <f ca="1">IFERROR(_xludf.XLOOKUP(A146,Pracownicy!$A$2:$A$501,Pracownicy!$F$2:$F$501),"")</f>
        <v/>
      </c>
      <c r="L146" s="4"/>
      <c r="M146" s="4" t="str">
        <f t="shared" ca="1" si="9"/>
        <v/>
      </c>
      <c r="N146" s="4" t="str">
        <f t="shared" si="10"/>
        <v/>
      </c>
      <c r="O146" s="4" t="str">
        <f t="shared" ca="1" si="11"/>
        <v/>
      </c>
    </row>
    <row r="147" spans="1:15" x14ac:dyDescent="0.25">
      <c r="A147" s="4"/>
      <c r="B147" s="4" t="str">
        <f ca="1">IFERROR(_xludf.XLOOKUP(A147,Pracownicy!$A$2:$A$501,Pracownicy!$B$2:$B$501),"")</f>
        <v/>
      </c>
      <c r="C147" s="4"/>
      <c r="D147" s="4" t="str">
        <f ca="1">IFERROR(_xludf.XLOOKUP(C147,Milestones!$A$2:$A$501,Milestones!$B$2:$B$501),"")</f>
        <v/>
      </c>
      <c r="E147" s="4" t="str">
        <f ca="1">IFERROR(_xludf.XLOOKUP(D147,Projekty!$A$2:$A$501,Projekty!$B$2:$B$501),"")</f>
        <v/>
      </c>
      <c r="F147" s="4" t="str">
        <f ca="1">IFERROR(_xludf.XLOOKUP(C147,Milestones!$A$2:$A$501,Milestones!$C$2:$C$501),"")</f>
        <v/>
      </c>
      <c r="G147" s="4" t="str">
        <f ca="1">IFERROR(_xludf.XLOOKUP(C147,Milestones!$A$2:$A$501,Milestones!$F$2:$F$501),"")</f>
        <v/>
      </c>
      <c r="H147" s="4" t="str">
        <f ca="1">IFERROR(_xludf.XLOOKUP(C147,Milestones!$A$2:$A$501,Milestones!$M$2:$M$501),"")</f>
        <v/>
      </c>
      <c r="I147" s="4" t="str">
        <f t="shared" ca="1" si="8"/>
        <v/>
      </c>
      <c r="J147" s="4"/>
      <c r="K147" s="4" t="str">
        <f ca="1">IFERROR(_xludf.XLOOKUP(A147,Pracownicy!$A$2:$A$501,Pracownicy!$F$2:$F$501),"")</f>
        <v/>
      </c>
      <c r="L147" s="4"/>
      <c r="M147" s="4" t="str">
        <f t="shared" ca="1" si="9"/>
        <v/>
      </c>
      <c r="N147" s="4" t="str">
        <f t="shared" si="10"/>
        <v/>
      </c>
      <c r="O147" s="4" t="str">
        <f t="shared" ca="1" si="11"/>
        <v/>
      </c>
    </row>
    <row r="148" spans="1:15" x14ac:dyDescent="0.25">
      <c r="A148" s="4"/>
      <c r="B148" s="4" t="str">
        <f ca="1">IFERROR(_xludf.XLOOKUP(A148,Pracownicy!$A$2:$A$501,Pracownicy!$B$2:$B$501),"")</f>
        <v/>
      </c>
      <c r="C148" s="4"/>
      <c r="D148" s="4" t="str">
        <f ca="1">IFERROR(_xludf.XLOOKUP(C148,Milestones!$A$2:$A$501,Milestones!$B$2:$B$501),"")</f>
        <v/>
      </c>
      <c r="E148" s="4" t="str">
        <f ca="1">IFERROR(_xludf.XLOOKUP(D148,Projekty!$A$2:$A$501,Projekty!$B$2:$B$501),"")</f>
        <v/>
      </c>
      <c r="F148" s="4" t="str">
        <f ca="1">IFERROR(_xludf.XLOOKUP(C148,Milestones!$A$2:$A$501,Milestones!$C$2:$C$501),"")</f>
        <v/>
      </c>
      <c r="G148" s="4" t="str">
        <f ca="1">IFERROR(_xludf.XLOOKUP(C148,Milestones!$A$2:$A$501,Milestones!$F$2:$F$501),"")</f>
        <v/>
      </c>
      <c r="H148" s="4" t="str">
        <f ca="1">IFERROR(_xludf.XLOOKUP(C148,Milestones!$A$2:$A$501,Milestones!$M$2:$M$501),"")</f>
        <v/>
      </c>
      <c r="I148" s="4" t="str">
        <f t="shared" ca="1" si="8"/>
        <v/>
      </c>
      <c r="J148" s="4"/>
      <c r="K148" s="4" t="str">
        <f ca="1">IFERROR(_xludf.XLOOKUP(A148,Pracownicy!$A$2:$A$501,Pracownicy!$F$2:$F$501),"")</f>
        <v/>
      </c>
      <c r="L148" s="4"/>
      <c r="M148" s="4" t="str">
        <f t="shared" ca="1" si="9"/>
        <v/>
      </c>
      <c r="N148" s="4" t="str">
        <f t="shared" si="10"/>
        <v/>
      </c>
      <c r="O148" s="4" t="str">
        <f t="shared" ca="1" si="11"/>
        <v/>
      </c>
    </row>
    <row r="149" spans="1:15" x14ac:dyDescent="0.25">
      <c r="A149" s="4"/>
      <c r="B149" s="4" t="str">
        <f ca="1">IFERROR(_xludf.XLOOKUP(A149,Pracownicy!$A$2:$A$501,Pracownicy!$B$2:$B$501),"")</f>
        <v/>
      </c>
      <c r="C149" s="4"/>
      <c r="D149" s="4" t="str">
        <f ca="1">IFERROR(_xludf.XLOOKUP(C149,Milestones!$A$2:$A$501,Milestones!$B$2:$B$501),"")</f>
        <v/>
      </c>
      <c r="E149" s="4" t="str">
        <f ca="1">IFERROR(_xludf.XLOOKUP(D149,Projekty!$A$2:$A$501,Projekty!$B$2:$B$501),"")</f>
        <v/>
      </c>
      <c r="F149" s="4" t="str">
        <f ca="1">IFERROR(_xludf.XLOOKUP(C149,Milestones!$A$2:$A$501,Milestones!$C$2:$C$501),"")</f>
        <v/>
      </c>
      <c r="G149" s="4" t="str">
        <f ca="1">IFERROR(_xludf.XLOOKUP(C149,Milestones!$A$2:$A$501,Milestones!$F$2:$F$501),"")</f>
        <v/>
      </c>
      <c r="H149" s="4" t="str">
        <f ca="1">IFERROR(_xludf.XLOOKUP(C149,Milestones!$A$2:$A$501,Milestones!$M$2:$M$501),"")</f>
        <v/>
      </c>
      <c r="I149" s="4" t="str">
        <f t="shared" ca="1" si="8"/>
        <v/>
      </c>
      <c r="J149" s="4"/>
      <c r="K149" s="4" t="str">
        <f ca="1">IFERROR(_xludf.XLOOKUP(A149,Pracownicy!$A$2:$A$501,Pracownicy!$F$2:$F$501),"")</f>
        <v/>
      </c>
      <c r="L149" s="4"/>
      <c r="M149" s="4" t="str">
        <f t="shared" ca="1" si="9"/>
        <v/>
      </c>
      <c r="N149" s="4" t="str">
        <f t="shared" si="10"/>
        <v/>
      </c>
      <c r="O149" s="4" t="str">
        <f t="shared" ca="1" si="11"/>
        <v/>
      </c>
    </row>
    <row r="150" spans="1:15" x14ac:dyDescent="0.25">
      <c r="A150" s="4"/>
      <c r="B150" s="4" t="str">
        <f ca="1">IFERROR(_xludf.XLOOKUP(A150,Pracownicy!$A$2:$A$501,Pracownicy!$B$2:$B$501),"")</f>
        <v/>
      </c>
      <c r="C150" s="4"/>
      <c r="D150" s="4" t="str">
        <f ca="1">IFERROR(_xludf.XLOOKUP(C150,Milestones!$A$2:$A$501,Milestones!$B$2:$B$501),"")</f>
        <v/>
      </c>
      <c r="E150" s="4" t="str">
        <f ca="1">IFERROR(_xludf.XLOOKUP(D150,Projekty!$A$2:$A$501,Projekty!$B$2:$B$501),"")</f>
        <v/>
      </c>
      <c r="F150" s="4" t="str">
        <f ca="1">IFERROR(_xludf.XLOOKUP(C150,Milestones!$A$2:$A$501,Milestones!$C$2:$C$501),"")</f>
        <v/>
      </c>
      <c r="G150" s="4" t="str">
        <f ca="1">IFERROR(_xludf.XLOOKUP(C150,Milestones!$A$2:$A$501,Milestones!$F$2:$F$501),"")</f>
        <v/>
      </c>
      <c r="H150" s="4" t="str">
        <f ca="1">IFERROR(_xludf.XLOOKUP(C150,Milestones!$A$2:$A$501,Milestones!$M$2:$M$501),"")</f>
        <v/>
      </c>
      <c r="I150" s="4" t="str">
        <f t="shared" ca="1" si="8"/>
        <v/>
      </c>
      <c r="J150" s="4"/>
      <c r="K150" s="4" t="str">
        <f ca="1">IFERROR(_xludf.XLOOKUP(A150,Pracownicy!$A$2:$A$501,Pracownicy!$F$2:$F$501),"")</f>
        <v/>
      </c>
      <c r="L150" s="4"/>
      <c r="M150" s="4" t="str">
        <f t="shared" ca="1" si="9"/>
        <v/>
      </c>
      <c r="N150" s="4" t="str">
        <f t="shared" si="10"/>
        <v/>
      </c>
      <c r="O150" s="4" t="str">
        <f t="shared" ca="1" si="11"/>
        <v/>
      </c>
    </row>
    <row r="151" spans="1:15" x14ac:dyDescent="0.25">
      <c r="A151" s="4"/>
      <c r="B151" s="4" t="str">
        <f ca="1">IFERROR(_xludf.XLOOKUP(A151,Pracownicy!$A$2:$A$501,Pracownicy!$B$2:$B$501),"")</f>
        <v/>
      </c>
      <c r="C151" s="4"/>
      <c r="D151" s="4" t="str">
        <f ca="1">IFERROR(_xludf.XLOOKUP(C151,Milestones!$A$2:$A$501,Milestones!$B$2:$B$501),"")</f>
        <v/>
      </c>
      <c r="E151" s="4" t="str">
        <f ca="1">IFERROR(_xludf.XLOOKUP(D151,Projekty!$A$2:$A$501,Projekty!$B$2:$B$501),"")</f>
        <v/>
      </c>
      <c r="F151" s="4" t="str">
        <f ca="1">IFERROR(_xludf.XLOOKUP(C151,Milestones!$A$2:$A$501,Milestones!$C$2:$C$501),"")</f>
        <v/>
      </c>
      <c r="G151" s="4" t="str">
        <f ca="1">IFERROR(_xludf.XLOOKUP(C151,Milestones!$A$2:$A$501,Milestones!$F$2:$F$501),"")</f>
        <v/>
      </c>
      <c r="H151" s="4" t="str">
        <f ca="1">IFERROR(_xludf.XLOOKUP(C151,Milestones!$A$2:$A$501,Milestones!$M$2:$M$501),"")</f>
        <v/>
      </c>
      <c r="I151" s="4" t="str">
        <f t="shared" ca="1" si="8"/>
        <v/>
      </c>
      <c r="J151" s="4"/>
      <c r="K151" s="4" t="str">
        <f ca="1">IFERROR(_xludf.XLOOKUP(A151,Pracownicy!$A$2:$A$501,Pracownicy!$F$2:$F$501),"")</f>
        <v/>
      </c>
      <c r="L151" s="4"/>
      <c r="M151" s="4" t="str">
        <f t="shared" ca="1" si="9"/>
        <v/>
      </c>
      <c r="N151" s="4" t="str">
        <f t="shared" si="10"/>
        <v/>
      </c>
      <c r="O151" s="4" t="str">
        <f t="shared" ca="1" si="11"/>
        <v/>
      </c>
    </row>
    <row r="152" spans="1:15" x14ac:dyDescent="0.25">
      <c r="A152" s="4"/>
      <c r="B152" s="4" t="str">
        <f ca="1">IFERROR(_xludf.XLOOKUP(A152,Pracownicy!$A$2:$A$501,Pracownicy!$B$2:$B$501),"")</f>
        <v/>
      </c>
      <c r="C152" s="4"/>
      <c r="D152" s="4" t="str">
        <f ca="1">IFERROR(_xludf.XLOOKUP(C152,Milestones!$A$2:$A$501,Milestones!$B$2:$B$501),"")</f>
        <v/>
      </c>
      <c r="E152" s="4" t="str">
        <f ca="1">IFERROR(_xludf.XLOOKUP(D152,Projekty!$A$2:$A$501,Projekty!$B$2:$B$501),"")</f>
        <v/>
      </c>
      <c r="F152" s="4" t="str">
        <f ca="1">IFERROR(_xludf.XLOOKUP(C152,Milestones!$A$2:$A$501,Milestones!$C$2:$C$501),"")</f>
        <v/>
      </c>
      <c r="G152" s="4" t="str">
        <f ca="1">IFERROR(_xludf.XLOOKUP(C152,Milestones!$A$2:$A$501,Milestones!$F$2:$F$501),"")</f>
        <v/>
      </c>
      <c r="H152" s="4" t="str">
        <f ca="1">IFERROR(_xludf.XLOOKUP(C152,Milestones!$A$2:$A$501,Milestones!$M$2:$M$501),"")</f>
        <v/>
      </c>
      <c r="I152" s="4" t="str">
        <f t="shared" ca="1" si="8"/>
        <v/>
      </c>
      <c r="J152" s="4"/>
      <c r="K152" s="4" t="str">
        <f ca="1">IFERROR(_xludf.XLOOKUP(A152,Pracownicy!$A$2:$A$501,Pracownicy!$F$2:$F$501),"")</f>
        <v/>
      </c>
      <c r="L152" s="4"/>
      <c r="M152" s="4" t="str">
        <f t="shared" ca="1" si="9"/>
        <v/>
      </c>
      <c r="N152" s="4" t="str">
        <f t="shared" si="10"/>
        <v/>
      </c>
      <c r="O152" s="4" t="str">
        <f t="shared" ca="1" si="11"/>
        <v/>
      </c>
    </row>
    <row r="153" spans="1:15" x14ac:dyDescent="0.25">
      <c r="A153" s="4"/>
      <c r="B153" s="4" t="str">
        <f ca="1">IFERROR(_xludf.XLOOKUP(A153,Pracownicy!$A$2:$A$501,Pracownicy!$B$2:$B$501),"")</f>
        <v/>
      </c>
      <c r="C153" s="4"/>
      <c r="D153" s="4" t="str">
        <f ca="1">IFERROR(_xludf.XLOOKUP(C153,Milestones!$A$2:$A$501,Milestones!$B$2:$B$501),"")</f>
        <v/>
      </c>
      <c r="E153" s="4" t="str">
        <f ca="1">IFERROR(_xludf.XLOOKUP(D153,Projekty!$A$2:$A$501,Projekty!$B$2:$B$501),"")</f>
        <v/>
      </c>
      <c r="F153" s="4" t="str">
        <f ca="1">IFERROR(_xludf.XLOOKUP(C153,Milestones!$A$2:$A$501,Milestones!$C$2:$C$501),"")</f>
        <v/>
      </c>
      <c r="G153" s="4" t="str">
        <f ca="1">IFERROR(_xludf.XLOOKUP(C153,Milestones!$A$2:$A$501,Milestones!$F$2:$F$501),"")</f>
        <v/>
      </c>
      <c r="H153" s="4" t="str">
        <f ca="1">IFERROR(_xludf.XLOOKUP(C153,Milestones!$A$2:$A$501,Milestones!$M$2:$M$501),"")</f>
        <v/>
      </c>
      <c r="I153" s="4" t="str">
        <f t="shared" ca="1" si="8"/>
        <v/>
      </c>
      <c r="J153" s="4"/>
      <c r="K153" s="4" t="str">
        <f ca="1">IFERROR(_xludf.XLOOKUP(A153,Pracownicy!$A$2:$A$501,Pracownicy!$F$2:$F$501),"")</f>
        <v/>
      </c>
      <c r="L153" s="4"/>
      <c r="M153" s="4" t="str">
        <f t="shared" ca="1" si="9"/>
        <v/>
      </c>
      <c r="N153" s="4" t="str">
        <f t="shared" si="10"/>
        <v/>
      </c>
      <c r="O153" s="4" t="str">
        <f t="shared" ca="1" si="11"/>
        <v/>
      </c>
    </row>
    <row r="154" spans="1:15" x14ac:dyDescent="0.25">
      <c r="A154" s="4"/>
      <c r="B154" s="4" t="str">
        <f ca="1">IFERROR(_xludf.XLOOKUP(A154,Pracownicy!$A$2:$A$501,Pracownicy!$B$2:$B$501),"")</f>
        <v/>
      </c>
      <c r="C154" s="4"/>
      <c r="D154" s="4" t="str">
        <f ca="1">IFERROR(_xludf.XLOOKUP(C154,Milestones!$A$2:$A$501,Milestones!$B$2:$B$501),"")</f>
        <v/>
      </c>
      <c r="E154" s="4" t="str">
        <f ca="1">IFERROR(_xludf.XLOOKUP(D154,Projekty!$A$2:$A$501,Projekty!$B$2:$B$501),"")</f>
        <v/>
      </c>
      <c r="F154" s="4" t="str">
        <f ca="1">IFERROR(_xludf.XLOOKUP(C154,Milestones!$A$2:$A$501,Milestones!$C$2:$C$501),"")</f>
        <v/>
      </c>
      <c r="G154" s="4" t="str">
        <f ca="1">IFERROR(_xludf.XLOOKUP(C154,Milestones!$A$2:$A$501,Milestones!$F$2:$F$501),"")</f>
        <v/>
      </c>
      <c r="H154" s="4" t="str">
        <f ca="1">IFERROR(_xludf.XLOOKUP(C154,Milestones!$A$2:$A$501,Milestones!$M$2:$M$501),"")</f>
        <v/>
      </c>
      <c r="I154" s="4" t="str">
        <f t="shared" ca="1" si="8"/>
        <v/>
      </c>
      <c r="J154" s="4"/>
      <c r="K154" s="4" t="str">
        <f ca="1">IFERROR(_xludf.XLOOKUP(A154,Pracownicy!$A$2:$A$501,Pracownicy!$F$2:$F$501),"")</f>
        <v/>
      </c>
      <c r="L154" s="4"/>
      <c r="M154" s="4" t="str">
        <f t="shared" ca="1" si="9"/>
        <v/>
      </c>
      <c r="N154" s="4" t="str">
        <f t="shared" si="10"/>
        <v/>
      </c>
      <c r="O154" s="4" t="str">
        <f t="shared" ca="1" si="11"/>
        <v/>
      </c>
    </row>
    <row r="155" spans="1:15" x14ac:dyDescent="0.25">
      <c r="A155" s="4"/>
      <c r="B155" s="4" t="str">
        <f ca="1">IFERROR(_xludf.XLOOKUP(A155,Pracownicy!$A$2:$A$501,Pracownicy!$B$2:$B$501),"")</f>
        <v/>
      </c>
      <c r="C155" s="4"/>
      <c r="D155" s="4" t="str">
        <f ca="1">IFERROR(_xludf.XLOOKUP(C155,Milestones!$A$2:$A$501,Milestones!$B$2:$B$501),"")</f>
        <v/>
      </c>
      <c r="E155" s="4" t="str">
        <f ca="1">IFERROR(_xludf.XLOOKUP(D155,Projekty!$A$2:$A$501,Projekty!$B$2:$B$501),"")</f>
        <v/>
      </c>
      <c r="F155" s="4" t="str">
        <f ca="1">IFERROR(_xludf.XLOOKUP(C155,Milestones!$A$2:$A$501,Milestones!$C$2:$C$501),"")</f>
        <v/>
      </c>
      <c r="G155" s="4" t="str">
        <f ca="1">IFERROR(_xludf.XLOOKUP(C155,Milestones!$A$2:$A$501,Milestones!$F$2:$F$501),"")</f>
        <v/>
      </c>
      <c r="H155" s="4" t="str">
        <f ca="1">IFERROR(_xludf.XLOOKUP(C155,Milestones!$A$2:$A$501,Milestones!$M$2:$M$501),"")</f>
        <v/>
      </c>
      <c r="I155" s="4" t="str">
        <f t="shared" ca="1" si="8"/>
        <v/>
      </c>
      <c r="J155" s="4"/>
      <c r="K155" s="4" t="str">
        <f ca="1">IFERROR(_xludf.XLOOKUP(A155,Pracownicy!$A$2:$A$501,Pracownicy!$F$2:$F$501),"")</f>
        <v/>
      </c>
      <c r="L155" s="4"/>
      <c r="M155" s="4" t="str">
        <f t="shared" ca="1" si="9"/>
        <v/>
      </c>
      <c r="N155" s="4" t="str">
        <f t="shared" si="10"/>
        <v/>
      </c>
      <c r="O155" s="4" t="str">
        <f t="shared" ca="1" si="11"/>
        <v/>
      </c>
    </row>
    <row r="156" spans="1:15" x14ac:dyDescent="0.25">
      <c r="A156" s="4"/>
      <c r="B156" s="4" t="str">
        <f ca="1">IFERROR(_xludf.XLOOKUP(A156,Pracownicy!$A$2:$A$501,Pracownicy!$B$2:$B$501),"")</f>
        <v/>
      </c>
      <c r="C156" s="4"/>
      <c r="D156" s="4" t="str">
        <f ca="1">IFERROR(_xludf.XLOOKUP(C156,Milestones!$A$2:$A$501,Milestones!$B$2:$B$501),"")</f>
        <v/>
      </c>
      <c r="E156" s="4" t="str">
        <f ca="1">IFERROR(_xludf.XLOOKUP(D156,Projekty!$A$2:$A$501,Projekty!$B$2:$B$501),"")</f>
        <v/>
      </c>
      <c r="F156" s="4" t="str">
        <f ca="1">IFERROR(_xludf.XLOOKUP(C156,Milestones!$A$2:$A$501,Milestones!$C$2:$C$501),"")</f>
        <v/>
      </c>
      <c r="G156" s="4" t="str">
        <f ca="1">IFERROR(_xludf.XLOOKUP(C156,Milestones!$A$2:$A$501,Milestones!$F$2:$F$501),"")</f>
        <v/>
      </c>
      <c r="H156" s="4" t="str">
        <f ca="1">IFERROR(_xludf.XLOOKUP(C156,Milestones!$A$2:$A$501,Milestones!$M$2:$M$501),"")</f>
        <v/>
      </c>
      <c r="I156" s="4" t="str">
        <f t="shared" ca="1" si="8"/>
        <v/>
      </c>
      <c r="J156" s="4"/>
      <c r="K156" s="4" t="str">
        <f ca="1">IFERROR(_xludf.XLOOKUP(A156,Pracownicy!$A$2:$A$501,Pracownicy!$F$2:$F$501),"")</f>
        <v/>
      </c>
      <c r="L156" s="4"/>
      <c r="M156" s="4" t="str">
        <f t="shared" ca="1" si="9"/>
        <v/>
      </c>
      <c r="N156" s="4" t="str">
        <f t="shared" si="10"/>
        <v/>
      </c>
      <c r="O156" s="4" t="str">
        <f t="shared" ca="1" si="11"/>
        <v/>
      </c>
    </row>
    <row r="157" spans="1:15" x14ac:dyDescent="0.25">
      <c r="A157" s="4"/>
      <c r="B157" s="4" t="str">
        <f ca="1">IFERROR(_xludf.XLOOKUP(A157,Pracownicy!$A$2:$A$501,Pracownicy!$B$2:$B$501),"")</f>
        <v/>
      </c>
      <c r="C157" s="4"/>
      <c r="D157" s="4" t="str">
        <f ca="1">IFERROR(_xludf.XLOOKUP(C157,Milestones!$A$2:$A$501,Milestones!$B$2:$B$501),"")</f>
        <v/>
      </c>
      <c r="E157" s="4" t="str">
        <f ca="1">IFERROR(_xludf.XLOOKUP(D157,Projekty!$A$2:$A$501,Projekty!$B$2:$B$501),"")</f>
        <v/>
      </c>
      <c r="F157" s="4" t="str">
        <f ca="1">IFERROR(_xludf.XLOOKUP(C157,Milestones!$A$2:$A$501,Milestones!$C$2:$C$501),"")</f>
        <v/>
      </c>
      <c r="G157" s="4" t="str">
        <f ca="1">IFERROR(_xludf.XLOOKUP(C157,Milestones!$A$2:$A$501,Milestones!$F$2:$F$501),"")</f>
        <v/>
      </c>
      <c r="H157" s="4" t="str">
        <f ca="1">IFERROR(_xludf.XLOOKUP(C157,Milestones!$A$2:$A$501,Milestones!$M$2:$M$501),"")</f>
        <v/>
      </c>
      <c r="I157" s="4" t="str">
        <f t="shared" ca="1" si="8"/>
        <v/>
      </c>
      <c r="J157" s="4"/>
      <c r="K157" s="4" t="str">
        <f ca="1">IFERROR(_xludf.XLOOKUP(A157,Pracownicy!$A$2:$A$501,Pracownicy!$F$2:$F$501),"")</f>
        <v/>
      </c>
      <c r="L157" s="4"/>
      <c r="M157" s="4" t="str">
        <f t="shared" ca="1" si="9"/>
        <v/>
      </c>
      <c r="N157" s="4" t="str">
        <f t="shared" si="10"/>
        <v/>
      </c>
      <c r="O157" s="4" t="str">
        <f t="shared" ca="1" si="11"/>
        <v/>
      </c>
    </row>
    <row r="158" spans="1:15" x14ac:dyDescent="0.25">
      <c r="A158" s="4"/>
      <c r="B158" s="4" t="str">
        <f ca="1">IFERROR(_xludf.XLOOKUP(A158,Pracownicy!$A$2:$A$501,Pracownicy!$B$2:$B$501),"")</f>
        <v/>
      </c>
      <c r="C158" s="4"/>
      <c r="D158" s="4" t="str">
        <f ca="1">IFERROR(_xludf.XLOOKUP(C158,Milestones!$A$2:$A$501,Milestones!$B$2:$B$501),"")</f>
        <v/>
      </c>
      <c r="E158" s="4" t="str">
        <f ca="1">IFERROR(_xludf.XLOOKUP(D158,Projekty!$A$2:$A$501,Projekty!$B$2:$B$501),"")</f>
        <v/>
      </c>
      <c r="F158" s="4" t="str">
        <f ca="1">IFERROR(_xludf.XLOOKUP(C158,Milestones!$A$2:$A$501,Milestones!$C$2:$C$501),"")</f>
        <v/>
      </c>
      <c r="G158" s="4" t="str">
        <f ca="1">IFERROR(_xludf.XLOOKUP(C158,Milestones!$A$2:$A$501,Milestones!$F$2:$F$501),"")</f>
        <v/>
      </c>
      <c r="H158" s="4" t="str">
        <f ca="1">IFERROR(_xludf.XLOOKUP(C158,Milestones!$A$2:$A$501,Milestones!$M$2:$M$501),"")</f>
        <v/>
      </c>
      <c r="I158" s="4" t="str">
        <f t="shared" ca="1" si="8"/>
        <v/>
      </c>
      <c r="J158" s="4"/>
      <c r="K158" s="4" t="str">
        <f ca="1">IFERROR(_xludf.XLOOKUP(A158,Pracownicy!$A$2:$A$501,Pracownicy!$F$2:$F$501),"")</f>
        <v/>
      </c>
      <c r="L158" s="4"/>
      <c r="M158" s="4" t="str">
        <f t="shared" ca="1" si="9"/>
        <v/>
      </c>
      <c r="N158" s="4" t="str">
        <f t="shared" si="10"/>
        <v/>
      </c>
      <c r="O158" s="4" t="str">
        <f t="shared" ca="1" si="11"/>
        <v/>
      </c>
    </row>
    <row r="159" spans="1:15" x14ac:dyDescent="0.25">
      <c r="A159" s="4"/>
      <c r="B159" s="4" t="str">
        <f ca="1">IFERROR(_xludf.XLOOKUP(A159,Pracownicy!$A$2:$A$501,Pracownicy!$B$2:$B$501),"")</f>
        <v/>
      </c>
      <c r="C159" s="4"/>
      <c r="D159" s="4" t="str">
        <f ca="1">IFERROR(_xludf.XLOOKUP(C159,Milestones!$A$2:$A$501,Milestones!$B$2:$B$501),"")</f>
        <v/>
      </c>
      <c r="E159" s="4" t="str">
        <f ca="1">IFERROR(_xludf.XLOOKUP(D159,Projekty!$A$2:$A$501,Projekty!$B$2:$B$501),"")</f>
        <v/>
      </c>
      <c r="F159" s="4" t="str">
        <f ca="1">IFERROR(_xludf.XLOOKUP(C159,Milestones!$A$2:$A$501,Milestones!$C$2:$C$501),"")</f>
        <v/>
      </c>
      <c r="G159" s="4" t="str">
        <f ca="1">IFERROR(_xludf.XLOOKUP(C159,Milestones!$A$2:$A$501,Milestones!$F$2:$F$501),"")</f>
        <v/>
      </c>
      <c r="H159" s="4" t="str">
        <f ca="1">IFERROR(_xludf.XLOOKUP(C159,Milestones!$A$2:$A$501,Milestones!$M$2:$M$501),"")</f>
        <v/>
      </c>
      <c r="I159" s="4" t="str">
        <f t="shared" ca="1" si="8"/>
        <v/>
      </c>
      <c r="J159" s="4"/>
      <c r="K159" s="4" t="str">
        <f ca="1">IFERROR(_xludf.XLOOKUP(A159,Pracownicy!$A$2:$A$501,Pracownicy!$F$2:$F$501),"")</f>
        <v/>
      </c>
      <c r="L159" s="4"/>
      <c r="M159" s="4" t="str">
        <f t="shared" ca="1" si="9"/>
        <v/>
      </c>
      <c r="N159" s="4" t="str">
        <f t="shared" si="10"/>
        <v/>
      </c>
      <c r="O159" s="4" t="str">
        <f t="shared" ca="1" si="11"/>
        <v/>
      </c>
    </row>
    <row r="160" spans="1:15" x14ac:dyDescent="0.25">
      <c r="A160" s="4"/>
      <c r="B160" s="4" t="str">
        <f ca="1">IFERROR(_xludf.XLOOKUP(A160,Pracownicy!$A$2:$A$501,Pracownicy!$B$2:$B$501),"")</f>
        <v/>
      </c>
      <c r="C160" s="4"/>
      <c r="D160" s="4" t="str">
        <f ca="1">IFERROR(_xludf.XLOOKUP(C160,Milestones!$A$2:$A$501,Milestones!$B$2:$B$501),"")</f>
        <v/>
      </c>
      <c r="E160" s="4" t="str">
        <f ca="1">IFERROR(_xludf.XLOOKUP(D160,Projekty!$A$2:$A$501,Projekty!$B$2:$B$501),"")</f>
        <v/>
      </c>
      <c r="F160" s="4" t="str">
        <f ca="1">IFERROR(_xludf.XLOOKUP(C160,Milestones!$A$2:$A$501,Milestones!$C$2:$C$501),"")</f>
        <v/>
      </c>
      <c r="G160" s="4" t="str">
        <f ca="1">IFERROR(_xludf.XLOOKUP(C160,Milestones!$A$2:$A$501,Milestones!$F$2:$F$501),"")</f>
        <v/>
      </c>
      <c r="H160" s="4" t="str">
        <f ca="1">IFERROR(_xludf.XLOOKUP(C160,Milestones!$A$2:$A$501,Milestones!$M$2:$M$501),"")</f>
        <v/>
      </c>
      <c r="I160" s="4" t="str">
        <f t="shared" ca="1" si="8"/>
        <v/>
      </c>
      <c r="J160" s="4"/>
      <c r="K160" s="4" t="str">
        <f ca="1">IFERROR(_xludf.XLOOKUP(A160,Pracownicy!$A$2:$A$501,Pracownicy!$F$2:$F$501),"")</f>
        <v/>
      </c>
      <c r="L160" s="4"/>
      <c r="M160" s="4" t="str">
        <f t="shared" ca="1" si="9"/>
        <v/>
      </c>
      <c r="N160" s="4" t="str">
        <f t="shared" si="10"/>
        <v/>
      </c>
      <c r="O160" s="4" t="str">
        <f t="shared" ca="1" si="11"/>
        <v/>
      </c>
    </row>
    <row r="161" spans="1:15" x14ac:dyDescent="0.25">
      <c r="A161" s="4"/>
      <c r="B161" s="4" t="str">
        <f ca="1">IFERROR(_xludf.XLOOKUP(A161,Pracownicy!$A$2:$A$501,Pracownicy!$B$2:$B$501),"")</f>
        <v/>
      </c>
      <c r="C161" s="4"/>
      <c r="D161" s="4" t="str">
        <f ca="1">IFERROR(_xludf.XLOOKUP(C161,Milestones!$A$2:$A$501,Milestones!$B$2:$B$501),"")</f>
        <v/>
      </c>
      <c r="E161" s="4" t="str">
        <f ca="1">IFERROR(_xludf.XLOOKUP(D161,Projekty!$A$2:$A$501,Projekty!$B$2:$B$501),"")</f>
        <v/>
      </c>
      <c r="F161" s="4" t="str">
        <f ca="1">IFERROR(_xludf.XLOOKUP(C161,Milestones!$A$2:$A$501,Milestones!$C$2:$C$501),"")</f>
        <v/>
      </c>
      <c r="G161" s="4" t="str">
        <f ca="1">IFERROR(_xludf.XLOOKUP(C161,Milestones!$A$2:$A$501,Milestones!$F$2:$F$501),"")</f>
        <v/>
      </c>
      <c r="H161" s="4" t="str">
        <f ca="1">IFERROR(_xludf.XLOOKUP(C161,Milestones!$A$2:$A$501,Milestones!$M$2:$M$501),"")</f>
        <v/>
      </c>
      <c r="I161" s="4" t="str">
        <f t="shared" ca="1" si="8"/>
        <v/>
      </c>
      <c r="J161" s="4"/>
      <c r="K161" s="4" t="str">
        <f ca="1">IFERROR(_xludf.XLOOKUP(A161,Pracownicy!$A$2:$A$501,Pracownicy!$F$2:$F$501),"")</f>
        <v/>
      </c>
      <c r="L161" s="4"/>
      <c r="M161" s="4" t="str">
        <f t="shared" ca="1" si="9"/>
        <v/>
      </c>
      <c r="N161" s="4" t="str">
        <f t="shared" si="10"/>
        <v/>
      </c>
      <c r="O161" s="4" t="str">
        <f t="shared" ca="1" si="11"/>
        <v/>
      </c>
    </row>
    <row r="162" spans="1:15" x14ac:dyDescent="0.25">
      <c r="A162" s="4"/>
      <c r="B162" s="4" t="str">
        <f ca="1">IFERROR(_xludf.XLOOKUP(A162,Pracownicy!$A$2:$A$501,Pracownicy!$B$2:$B$501),"")</f>
        <v/>
      </c>
      <c r="C162" s="4"/>
      <c r="D162" s="4" t="str">
        <f ca="1">IFERROR(_xludf.XLOOKUP(C162,Milestones!$A$2:$A$501,Milestones!$B$2:$B$501),"")</f>
        <v/>
      </c>
      <c r="E162" s="4" t="str">
        <f ca="1">IFERROR(_xludf.XLOOKUP(D162,Projekty!$A$2:$A$501,Projekty!$B$2:$B$501),"")</f>
        <v/>
      </c>
      <c r="F162" s="4" t="str">
        <f ca="1">IFERROR(_xludf.XLOOKUP(C162,Milestones!$A$2:$A$501,Milestones!$C$2:$C$501),"")</f>
        <v/>
      </c>
      <c r="G162" s="4" t="str">
        <f ca="1">IFERROR(_xludf.XLOOKUP(C162,Milestones!$A$2:$A$501,Milestones!$F$2:$F$501),"")</f>
        <v/>
      </c>
      <c r="H162" s="4" t="str">
        <f ca="1">IFERROR(_xludf.XLOOKUP(C162,Milestones!$A$2:$A$501,Milestones!$M$2:$M$501),"")</f>
        <v/>
      </c>
      <c r="I162" s="4" t="str">
        <f t="shared" ca="1" si="8"/>
        <v/>
      </c>
      <c r="J162" s="4"/>
      <c r="K162" s="4" t="str">
        <f ca="1">IFERROR(_xludf.XLOOKUP(A162,Pracownicy!$A$2:$A$501,Pracownicy!$F$2:$F$501),"")</f>
        <v/>
      </c>
      <c r="L162" s="4"/>
      <c r="M162" s="4" t="str">
        <f t="shared" ca="1" si="9"/>
        <v/>
      </c>
      <c r="N162" s="4" t="str">
        <f t="shared" si="10"/>
        <v/>
      </c>
      <c r="O162" s="4" t="str">
        <f t="shared" ca="1" si="11"/>
        <v/>
      </c>
    </row>
    <row r="163" spans="1:15" x14ac:dyDescent="0.25">
      <c r="A163" s="4"/>
      <c r="B163" s="4" t="str">
        <f ca="1">IFERROR(_xludf.XLOOKUP(A163,Pracownicy!$A$2:$A$501,Pracownicy!$B$2:$B$501),"")</f>
        <v/>
      </c>
      <c r="C163" s="4"/>
      <c r="D163" s="4" t="str">
        <f ca="1">IFERROR(_xludf.XLOOKUP(C163,Milestones!$A$2:$A$501,Milestones!$B$2:$B$501),"")</f>
        <v/>
      </c>
      <c r="E163" s="4" t="str">
        <f ca="1">IFERROR(_xludf.XLOOKUP(D163,Projekty!$A$2:$A$501,Projekty!$B$2:$B$501),"")</f>
        <v/>
      </c>
      <c r="F163" s="4" t="str">
        <f ca="1">IFERROR(_xludf.XLOOKUP(C163,Milestones!$A$2:$A$501,Milestones!$C$2:$C$501),"")</f>
        <v/>
      </c>
      <c r="G163" s="4" t="str">
        <f ca="1">IFERROR(_xludf.XLOOKUP(C163,Milestones!$A$2:$A$501,Milestones!$F$2:$F$501),"")</f>
        <v/>
      </c>
      <c r="H163" s="4" t="str">
        <f ca="1">IFERROR(_xludf.XLOOKUP(C163,Milestones!$A$2:$A$501,Milestones!$M$2:$M$501),"")</f>
        <v/>
      </c>
      <c r="I163" s="4" t="str">
        <f t="shared" ca="1" si="8"/>
        <v/>
      </c>
      <c r="J163" s="4"/>
      <c r="K163" s="4" t="str">
        <f ca="1">IFERROR(_xludf.XLOOKUP(A163,Pracownicy!$A$2:$A$501,Pracownicy!$F$2:$F$501),"")</f>
        <v/>
      </c>
      <c r="L163" s="4"/>
      <c r="M163" s="4" t="str">
        <f t="shared" ca="1" si="9"/>
        <v/>
      </c>
      <c r="N163" s="4" t="str">
        <f t="shared" si="10"/>
        <v/>
      </c>
      <c r="O163" s="4" t="str">
        <f t="shared" ca="1" si="11"/>
        <v/>
      </c>
    </row>
    <row r="164" spans="1:15" x14ac:dyDescent="0.25">
      <c r="A164" s="4"/>
      <c r="B164" s="4" t="str">
        <f ca="1">IFERROR(_xludf.XLOOKUP(A164,Pracownicy!$A$2:$A$501,Pracownicy!$B$2:$B$501),"")</f>
        <v/>
      </c>
      <c r="C164" s="4"/>
      <c r="D164" s="4" t="str">
        <f ca="1">IFERROR(_xludf.XLOOKUP(C164,Milestones!$A$2:$A$501,Milestones!$B$2:$B$501),"")</f>
        <v/>
      </c>
      <c r="E164" s="4" t="str">
        <f ca="1">IFERROR(_xludf.XLOOKUP(D164,Projekty!$A$2:$A$501,Projekty!$B$2:$B$501),"")</f>
        <v/>
      </c>
      <c r="F164" s="4" t="str">
        <f ca="1">IFERROR(_xludf.XLOOKUP(C164,Milestones!$A$2:$A$501,Milestones!$C$2:$C$501),"")</f>
        <v/>
      </c>
      <c r="G164" s="4" t="str">
        <f ca="1">IFERROR(_xludf.XLOOKUP(C164,Milestones!$A$2:$A$501,Milestones!$F$2:$F$501),"")</f>
        <v/>
      </c>
      <c r="H164" s="4" t="str">
        <f ca="1">IFERROR(_xludf.XLOOKUP(C164,Milestones!$A$2:$A$501,Milestones!$M$2:$M$501),"")</f>
        <v/>
      </c>
      <c r="I164" s="4" t="str">
        <f t="shared" ca="1" si="8"/>
        <v/>
      </c>
      <c r="J164" s="4"/>
      <c r="K164" s="4" t="str">
        <f ca="1">IFERROR(_xludf.XLOOKUP(A164,Pracownicy!$A$2:$A$501,Pracownicy!$F$2:$F$501),"")</f>
        <v/>
      </c>
      <c r="L164" s="4"/>
      <c r="M164" s="4" t="str">
        <f t="shared" ca="1" si="9"/>
        <v/>
      </c>
      <c r="N164" s="4" t="str">
        <f t="shared" si="10"/>
        <v/>
      </c>
      <c r="O164" s="4" t="str">
        <f t="shared" ca="1" si="11"/>
        <v/>
      </c>
    </row>
    <row r="165" spans="1:15" x14ac:dyDescent="0.25">
      <c r="A165" s="4"/>
      <c r="B165" s="4" t="str">
        <f ca="1">IFERROR(_xludf.XLOOKUP(A165,Pracownicy!$A$2:$A$501,Pracownicy!$B$2:$B$501),"")</f>
        <v/>
      </c>
      <c r="C165" s="4"/>
      <c r="D165" s="4" t="str">
        <f ca="1">IFERROR(_xludf.XLOOKUP(C165,Milestones!$A$2:$A$501,Milestones!$B$2:$B$501),"")</f>
        <v/>
      </c>
      <c r="E165" s="4" t="str">
        <f ca="1">IFERROR(_xludf.XLOOKUP(D165,Projekty!$A$2:$A$501,Projekty!$B$2:$B$501),"")</f>
        <v/>
      </c>
      <c r="F165" s="4" t="str">
        <f ca="1">IFERROR(_xludf.XLOOKUP(C165,Milestones!$A$2:$A$501,Milestones!$C$2:$C$501),"")</f>
        <v/>
      </c>
      <c r="G165" s="4" t="str">
        <f ca="1">IFERROR(_xludf.XLOOKUP(C165,Milestones!$A$2:$A$501,Milestones!$F$2:$F$501),"")</f>
        <v/>
      </c>
      <c r="H165" s="4" t="str">
        <f ca="1">IFERROR(_xludf.XLOOKUP(C165,Milestones!$A$2:$A$501,Milestones!$M$2:$M$501),"")</f>
        <v/>
      </c>
      <c r="I165" s="4" t="str">
        <f t="shared" ca="1" si="8"/>
        <v/>
      </c>
      <c r="J165" s="4"/>
      <c r="K165" s="4" t="str">
        <f ca="1">IFERROR(_xludf.XLOOKUP(A165,Pracownicy!$A$2:$A$501,Pracownicy!$F$2:$F$501),"")</f>
        <v/>
      </c>
      <c r="L165" s="4"/>
      <c r="M165" s="4" t="str">
        <f t="shared" ca="1" si="9"/>
        <v/>
      </c>
      <c r="N165" s="4" t="str">
        <f t="shared" si="10"/>
        <v/>
      </c>
      <c r="O165" s="4" t="str">
        <f t="shared" ca="1" si="11"/>
        <v/>
      </c>
    </row>
    <row r="166" spans="1:15" x14ac:dyDescent="0.25">
      <c r="A166" s="4"/>
      <c r="B166" s="4" t="str">
        <f ca="1">IFERROR(_xludf.XLOOKUP(A166,Pracownicy!$A$2:$A$501,Pracownicy!$B$2:$B$501),"")</f>
        <v/>
      </c>
      <c r="C166" s="4"/>
      <c r="D166" s="4" t="str">
        <f ca="1">IFERROR(_xludf.XLOOKUP(C166,Milestones!$A$2:$A$501,Milestones!$B$2:$B$501),"")</f>
        <v/>
      </c>
      <c r="E166" s="4" t="str">
        <f ca="1">IFERROR(_xludf.XLOOKUP(D166,Projekty!$A$2:$A$501,Projekty!$B$2:$B$501),"")</f>
        <v/>
      </c>
      <c r="F166" s="4" t="str">
        <f ca="1">IFERROR(_xludf.XLOOKUP(C166,Milestones!$A$2:$A$501,Milestones!$C$2:$C$501),"")</f>
        <v/>
      </c>
      <c r="G166" s="4" t="str">
        <f ca="1">IFERROR(_xludf.XLOOKUP(C166,Milestones!$A$2:$A$501,Milestones!$F$2:$F$501),"")</f>
        <v/>
      </c>
      <c r="H166" s="4" t="str">
        <f ca="1">IFERROR(_xludf.XLOOKUP(C166,Milestones!$A$2:$A$501,Milestones!$M$2:$M$501),"")</f>
        <v/>
      </c>
      <c r="I166" s="4" t="str">
        <f t="shared" ca="1" si="8"/>
        <v/>
      </c>
      <c r="J166" s="4"/>
      <c r="K166" s="4" t="str">
        <f ca="1">IFERROR(_xludf.XLOOKUP(A166,Pracownicy!$A$2:$A$501,Pracownicy!$F$2:$F$501),"")</f>
        <v/>
      </c>
      <c r="L166" s="4"/>
      <c r="M166" s="4" t="str">
        <f t="shared" ca="1" si="9"/>
        <v/>
      </c>
      <c r="N166" s="4" t="str">
        <f t="shared" si="10"/>
        <v/>
      </c>
      <c r="O166" s="4" t="str">
        <f t="shared" ca="1" si="11"/>
        <v/>
      </c>
    </row>
    <row r="167" spans="1:15" x14ac:dyDescent="0.25">
      <c r="A167" s="4"/>
      <c r="B167" s="4" t="str">
        <f ca="1">IFERROR(_xludf.XLOOKUP(A167,Pracownicy!$A$2:$A$501,Pracownicy!$B$2:$B$501),"")</f>
        <v/>
      </c>
      <c r="C167" s="4"/>
      <c r="D167" s="4" t="str">
        <f ca="1">IFERROR(_xludf.XLOOKUP(C167,Milestones!$A$2:$A$501,Milestones!$B$2:$B$501),"")</f>
        <v/>
      </c>
      <c r="E167" s="4" t="str">
        <f ca="1">IFERROR(_xludf.XLOOKUP(D167,Projekty!$A$2:$A$501,Projekty!$B$2:$B$501),"")</f>
        <v/>
      </c>
      <c r="F167" s="4" t="str">
        <f ca="1">IFERROR(_xludf.XLOOKUP(C167,Milestones!$A$2:$A$501,Milestones!$C$2:$C$501),"")</f>
        <v/>
      </c>
      <c r="G167" s="4" t="str">
        <f ca="1">IFERROR(_xludf.XLOOKUP(C167,Milestones!$A$2:$A$501,Milestones!$F$2:$F$501),"")</f>
        <v/>
      </c>
      <c r="H167" s="4" t="str">
        <f ca="1">IFERROR(_xludf.XLOOKUP(C167,Milestones!$A$2:$A$501,Milestones!$M$2:$M$501),"")</f>
        <v/>
      </c>
      <c r="I167" s="4" t="str">
        <f t="shared" ca="1" si="8"/>
        <v/>
      </c>
      <c r="J167" s="4"/>
      <c r="K167" s="4" t="str">
        <f ca="1">IFERROR(_xludf.XLOOKUP(A167,Pracownicy!$A$2:$A$501,Pracownicy!$F$2:$F$501),"")</f>
        <v/>
      </c>
      <c r="L167" s="4"/>
      <c r="M167" s="4" t="str">
        <f t="shared" ca="1" si="9"/>
        <v/>
      </c>
      <c r="N167" s="4" t="str">
        <f t="shared" si="10"/>
        <v/>
      </c>
      <c r="O167" s="4" t="str">
        <f t="shared" ca="1" si="11"/>
        <v/>
      </c>
    </row>
    <row r="168" spans="1:15" x14ac:dyDescent="0.25">
      <c r="A168" s="4"/>
      <c r="B168" s="4" t="str">
        <f ca="1">IFERROR(_xludf.XLOOKUP(A168,Pracownicy!$A$2:$A$501,Pracownicy!$B$2:$B$501),"")</f>
        <v/>
      </c>
      <c r="C168" s="4"/>
      <c r="D168" s="4" t="str">
        <f ca="1">IFERROR(_xludf.XLOOKUP(C168,Milestones!$A$2:$A$501,Milestones!$B$2:$B$501),"")</f>
        <v/>
      </c>
      <c r="E168" s="4" t="str">
        <f ca="1">IFERROR(_xludf.XLOOKUP(D168,Projekty!$A$2:$A$501,Projekty!$B$2:$B$501),"")</f>
        <v/>
      </c>
      <c r="F168" s="4" t="str">
        <f ca="1">IFERROR(_xludf.XLOOKUP(C168,Milestones!$A$2:$A$501,Milestones!$C$2:$C$501),"")</f>
        <v/>
      </c>
      <c r="G168" s="4" t="str">
        <f ca="1">IFERROR(_xludf.XLOOKUP(C168,Milestones!$A$2:$A$501,Milestones!$F$2:$F$501),"")</f>
        <v/>
      </c>
      <c r="H168" s="4" t="str">
        <f ca="1">IFERROR(_xludf.XLOOKUP(C168,Milestones!$A$2:$A$501,Milestones!$M$2:$M$501),"")</f>
        <v/>
      </c>
      <c r="I168" s="4" t="str">
        <f t="shared" ca="1" si="8"/>
        <v/>
      </c>
      <c r="J168" s="4"/>
      <c r="K168" s="4" t="str">
        <f ca="1">IFERROR(_xludf.XLOOKUP(A168,Pracownicy!$A$2:$A$501,Pracownicy!$F$2:$F$501),"")</f>
        <v/>
      </c>
      <c r="L168" s="4"/>
      <c r="M168" s="4" t="str">
        <f t="shared" ca="1" si="9"/>
        <v/>
      </c>
      <c r="N168" s="4" t="str">
        <f t="shared" si="10"/>
        <v/>
      </c>
      <c r="O168" s="4" t="str">
        <f t="shared" ca="1" si="11"/>
        <v/>
      </c>
    </row>
    <row r="169" spans="1:15" x14ac:dyDescent="0.25">
      <c r="A169" s="4"/>
      <c r="B169" s="4" t="str">
        <f ca="1">IFERROR(_xludf.XLOOKUP(A169,Pracownicy!$A$2:$A$501,Pracownicy!$B$2:$B$501),"")</f>
        <v/>
      </c>
      <c r="C169" s="4"/>
      <c r="D169" s="4" t="str">
        <f ca="1">IFERROR(_xludf.XLOOKUP(C169,Milestones!$A$2:$A$501,Milestones!$B$2:$B$501),"")</f>
        <v/>
      </c>
      <c r="E169" s="4" t="str">
        <f ca="1">IFERROR(_xludf.XLOOKUP(D169,Projekty!$A$2:$A$501,Projekty!$B$2:$B$501),"")</f>
        <v/>
      </c>
      <c r="F169" s="4" t="str">
        <f ca="1">IFERROR(_xludf.XLOOKUP(C169,Milestones!$A$2:$A$501,Milestones!$C$2:$C$501),"")</f>
        <v/>
      </c>
      <c r="G169" s="4" t="str">
        <f ca="1">IFERROR(_xludf.XLOOKUP(C169,Milestones!$A$2:$A$501,Milestones!$F$2:$F$501),"")</f>
        <v/>
      </c>
      <c r="H169" s="4" t="str">
        <f ca="1">IFERROR(_xludf.XLOOKUP(C169,Milestones!$A$2:$A$501,Milestones!$M$2:$M$501),"")</f>
        <v/>
      </c>
      <c r="I169" s="4" t="str">
        <f t="shared" ca="1" si="8"/>
        <v/>
      </c>
      <c r="J169" s="4"/>
      <c r="K169" s="4" t="str">
        <f ca="1">IFERROR(_xludf.XLOOKUP(A169,Pracownicy!$A$2:$A$501,Pracownicy!$F$2:$F$501),"")</f>
        <v/>
      </c>
      <c r="L169" s="4"/>
      <c r="M169" s="4" t="str">
        <f t="shared" ca="1" si="9"/>
        <v/>
      </c>
      <c r="N169" s="4" t="str">
        <f t="shared" si="10"/>
        <v/>
      </c>
      <c r="O169" s="4" t="str">
        <f t="shared" ca="1" si="11"/>
        <v/>
      </c>
    </row>
    <row r="170" spans="1:15" x14ac:dyDescent="0.25">
      <c r="A170" s="4"/>
      <c r="B170" s="4" t="str">
        <f ca="1">IFERROR(_xludf.XLOOKUP(A170,Pracownicy!$A$2:$A$501,Pracownicy!$B$2:$B$501),"")</f>
        <v/>
      </c>
      <c r="C170" s="4"/>
      <c r="D170" s="4" t="str">
        <f ca="1">IFERROR(_xludf.XLOOKUP(C170,Milestones!$A$2:$A$501,Milestones!$B$2:$B$501),"")</f>
        <v/>
      </c>
      <c r="E170" s="4" t="str">
        <f ca="1">IFERROR(_xludf.XLOOKUP(D170,Projekty!$A$2:$A$501,Projekty!$B$2:$B$501),"")</f>
        <v/>
      </c>
      <c r="F170" s="4" t="str">
        <f ca="1">IFERROR(_xludf.XLOOKUP(C170,Milestones!$A$2:$A$501,Milestones!$C$2:$C$501),"")</f>
        <v/>
      </c>
      <c r="G170" s="4" t="str">
        <f ca="1">IFERROR(_xludf.XLOOKUP(C170,Milestones!$A$2:$A$501,Milestones!$F$2:$F$501),"")</f>
        <v/>
      </c>
      <c r="H170" s="4" t="str">
        <f ca="1">IFERROR(_xludf.XLOOKUP(C170,Milestones!$A$2:$A$501,Milestones!$M$2:$M$501),"")</f>
        <v/>
      </c>
      <c r="I170" s="4" t="str">
        <f t="shared" ca="1" si="8"/>
        <v/>
      </c>
      <c r="J170" s="4"/>
      <c r="K170" s="4" t="str">
        <f ca="1">IFERROR(_xludf.XLOOKUP(A170,Pracownicy!$A$2:$A$501,Pracownicy!$F$2:$F$501),"")</f>
        <v/>
      </c>
      <c r="L170" s="4"/>
      <c r="M170" s="4" t="str">
        <f t="shared" ca="1" si="9"/>
        <v/>
      </c>
      <c r="N170" s="4" t="str">
        <f t="shared" si="10"/>
        <v/>
      </c>
      <c r="O170" s="4" t="str">
        <f t="shared" ca="1" si="11"/>
        <v/>
      </c>
    </row>
    <row r="171" spans="1:15" x14ac:dyDescent="0.25">
      <c r="A171" s="4"/>
      <c r="B171" s="4" t="str">
        <f ca="1">IFERROR(_xludf.XLOOKUP(A171,Pracownicy!$A$2:$A$501,Pracownicy!$B$2:$B$501),"")</f>
        <v/>
      </c>
      <c r="C171" s="4"/>
      <c r="D171" s="4" t="str">
        <f ca="1">IFERROR(_xludf.XLOOKUP(C171,Milestones!$A$2:$A$501,Milestones!$B$2:$B$501),"")</f>
        <v/>
      </c>
      <c r="E171" s="4" t="str">
        <f ca="1">IFERROR(_xludf.XLOOKUP(D171,Projekty!$A$2:$A$501,Projekty!$B$2:$B$501),"")</f>
        <v/>
      </c>
      <c r="F171" s="4" t="str">
        <f ca="1">IFERROR(_xludf.XLOOKUP(C171,Milestones!$A$2:$A$501,Milestones!$C$2:$C$501),"")</f>
        <v/>
      </c>
      <c r="G171" s="4" t="str">
        <f ca="1">IFERROR(_xludf.XLOOKUP(C171,Milestones!$A$2:$A$501,Milestones!$F$2:$F$501),"")</f>
        <v/>
      </c>
      <c r="H171" s="4" t="str">
        <f ca="1">IFERROR(_xludf.XLOOKUP(C171,Milestones!$A$2:$A$501,Milestones!$M$2:$M$501),"")</f>
        <v/>
      </c>
      <c r="I171" s="4" t="str">
        <f t="shared" ca="1" si="8"/>
        <v/>
      </c>
      <c r="J171" s="4"/>
      <c r="K171" s="4" t="str">
        <f ca="1">IFERROR(_xludf.XLOOKUP(A171,Pracownicy!$A$2:$A$501,Pracownicy!$F$2:$F$501),"")</f>
        <v/>
      </c>
      <c r="L171" s="4"/>
      <c r="M171" s="4" t="str">
        <f t="shared" ca="1" si="9"/>
        <v/>
      </c>
      <c r="N171" s="4" t="str">
        <f t="shared" si="10"/>
        <v/>
      </c>
      <c r="O171" s="4" t="str">
        <f t="shared" ca="1" si="11"/>
        <v/>
      </c>
    </row>
    <row r="172" spans="1:15" x14ac:dyDescent="0.25">
      <c r="A172" s="4"/>
      <c r="B172" s="4" t="str">
        <f ca="1">IFERROR(_xludf.XLOOKUP(A172,Pracownicy!$A$2:$A$501,Pracownicy!$B$2:$B$501),"")</f>
        <v/>
      </c>
      <c r="C172" s="4"/>
      <c r="D172" s="4" t="str">
        <f ca="1">IFERROR(_xludf.XLOOKUP(C172,Milestones!$A$2:$A$501,Milestones!$B$2:$B$501),"")</f>
        <v/>
      </c>
      <c r="E172" s="4" t="str">
        <f ca="1">IFERROR(_xludf.XLOOKUP(D172,Projekty!$A$2:$A$501,Projekty!$B$2:$B$501),"")</f>
        <v/>
      </c>
      <c r="F172" s="4" t="str">
        <f ca="1">IFERROR(_xludf.XLOOKUP(C172,Milestones!$A$2:$A$501,Milestones!$C$2:$C$501),"")</f>
        <v/>
      </c>
      <c r="G172" s="4" t="str">
        <f ca="1">IFERROR(_xludf.XLOOKUP(C172,Milestones!$A$2:$A$501,Milestones!$F$2:$F$501),"")</f>
        <v/>
      </c>
      <c r="H172" s="4" t="str">
        <f ca="1">IFERROR(_xludf.XLOOKUP(C172,Milestones!$A$2:$A$501,Milestones!$M$2:$M$501),"")</f>
        <v/>
      </c>
      <c r="I172" s="4" t="str">
        <f t="shared" ca="1" si="8"/>
        <v/>
      </c>
      <c r="J172" s="4"/>
      <c r="K172" s="4" t="str">
        <f ca="1">IFERROR(_xludf.XLOOKUP(A172,Pracownicy!$A$2:$A$501,Pracownicy!$F$2:$F$501),"")</f>
        <v/>
      </c>
      <c r="L172" s="4"/>
      <c r="M172" s="4" t="str">
        <f t="shared" ca="1" si="9"/>
        <v/>
      </c>
      <c r="N172" s="4" t="str">
        <f t="shared" si="10"/>
        <v/>
      </c>
      <c r="O172" s="4" t="str">
        <f t="shared" ca="1" si="11"/>
        <v/>
      </c>
    </row>
    <row r="173" spans="1:15" x14ac:dyDescent="0.25">
      <c r="A173" s="4"/>
      <c r="B173" s="4" t="str">
        <f ca="1">IFERROR(_xludf.XLOOKUP(A173,Pracownicy!$A$2:$A$501,Pracownicy!$B$2:$B$501),"")</f>
        <v/>
      </c>
      <c r="C173" s="4"/>
      <c r="D173" s="4" t="str">
        <f ca="1">IFERROR(_xludf.XLOOKUP(C173,Milestones!$A$2:$A$501,Milestones!$B$2:$B$501),"")</f>
        <v/>
      </c>
      <c r="E173" s="4" t="str">
        <f ca="1">IFERROR(_xludf.XLOOKUP(D173,Projekty!$A$2:$A$501,Projekty!$B$2:$B$501),"")</f>
        <v/>
      </c>
      <c r="F173" s="4" t="str">
        <f ca="1">IFERROR(_xludf.XLOOKUP(C173,Milestones!$A$2:$A$501,Milestones!$C$2:$C$501),"")</f>
        <v/>
      </c>
      <c r="G173" s="4" t="str">
        <f ca="1">IFERROR(_xludf.XLOOKUP(C173,Milestones!$A$2:$A$501,Milestones!$F$2:$F$501),"")</f>
        <v/>
      </c>
      <c r="H173" s="4" t="str">
        <f ca="1">IFERROR(_xludf.XLOOKUP(C173,Milestones!$A$2:$A$501,Milestones!$M$2:$M$501),"")</f>
        <v/>
      </c>
      <c r="I173" s="4" t="str">
        <f t="shared" ca="1" si="8"/>
        <v/>
      </c>
      <c r="J173" s="4"/>
      <c r="K173" s="4" t="str">
        <f ca="1">IFERROR(_xludf.XLOOKUP(A173,Pracownicy!$A$2:$A$501,Pracownicy!$F$2:$F$501),"")</f>
        <v/>
      </c>
      <c r="L173" s="4"/>
      <c r="M173" s="4" t="str">
        <f t="shared" ca="1" si="9"/>
        <v/>
      </c>
      <c r="N173" s="4" t="str">
        <f t="shared" si="10"/>
        <v/>
      </c>
      <c r="O173" s="4" t="str">
        <f t="shared" ca="1" si="11"/>
        <v/>
      </c>
    </row>
    <row r="174" spans="1:15" x14ac:dyDescent="0.25">
      <c r="A174" s="4"/>
      <c r="B174" s="4" t="str">
        <f ca="1">IFERROR(_xludf.XLOOKUP(A174,Pracownicy!$A$2:$A$501,Pracownicy!$B$2:$B$501),"")</f>
        <v/>
      </c>
      <c r="C174" s="4"/>
      <c r="D174" s="4" t="str">
        <f ca="1">IFERROR(_xludf.XLOOKUP(C174,Milestones!$A$2:$A$501,Milestones!$B$2:$B$501),"")</f>
        <v/>
      </c>
      <c r="E174" s="4" t="str">
        <f ca="1">IFERROR(_xludf.XLOOKUP(D174,Projekty!$A$2:$A$501,Projekty!$B$2:$B$501),"")</f>
        <v/>
      </c>
      <c r="F174" s="4" t="str">
        <f ca="1">IFERROR(_xludf.XLOOKUP(C174,Milestones!$A$2:$A$501,Milestones!$C$2:$C$501),"")</f>
        <v/>
      </c>
      <c r="G174" s="4" t="str">
        <f ca="1">IFERROR(_xludf.XLOOKUP(C174,Milestones!$A$2:$A$501,Milestones!$F$2:$F$501),"")</f>
        <v/>
      </c>
      <c r="H174" s="4" t="str">
        <f ca="1">IFERROR(_xludf.XLOOKUP(C174,Milestones!$A$2:$A$501,Milestones!$M$2:$M$501),"")</f>
        <v/>
      </c>
      <c r="I174" s="4" t="str">
        <f t="shared" ca="1" si="8"/>
        <v/>
      </c>
      <c r="J174" s="4"/>
      <c r="K174" s="4" t="str">
        <f ca="1">IFERROR(_xludf.XLOOKUP(A174,Pracownicy!$A$2:$A$501,Pracownicy!$F$2:$F$501),"")</f>
        <v/>
      </c>
      <c r="L174" s="4"/>
      <c r="M174" s="4" t="str">
        <f t="shared" ca="1" si="9"/>
        <v/>
      </c>
      <c r="N174" s="4" t="str">
        <f t="shared" si="10"/>
        <v/>
      </c>
      <c r="O174" s="4" t="str">
        <f t="shared" ca="1" si="11"/>
        <v/>
      </c>
    </row>
    <row r="175" spans="1:15" x14ac:dyDescent="0.25">
      <c r="A175" s="4"/>
      <c r="B175" s="4" t="str">
        <f ca="1">IFERROR(_xludf.XLOOKUP(A175,Pracownicy!$A$2:$A$501,Pracownicy!$B$2:$B$501),"")</f>
        <v/>
      </c>
      <c r="C175" s="4"/>
      <c r="D175" s="4" t="str">
        <f ca="1">IFERROR(_xludf.XLOOKUP(C175,Milestones!$A$2:$A$501,Milestones!$B$2:$B$501),"")</f>
        <v/>
      </c>
      <c r="E175" s="4" t="str">
        <f ca="1">IFERROR(_xludf.XLOOKUP(D175,Projekty!$A$2:$A$501,Projekty!$B$2:$B$501),"")</f>
        <v/>
      </c>
      <c r="F175" s="4" t="str">
        <f ca="1">IFERROR(_xludf.XLOOKUP(C175,Milestones!$A$2:$A$501,Milestones!$C$2:$C$501),"")</f>
        <v/>
      </c>
      <c r="G175" s="4" t="str">
        <f ca="1">IFERROR(_xludf.XLOOKUP(C175,Milestones!$A$2:$A$501,Milestones!$F$2:$F$501),"")</f>
        <v/>
      </c>
      <c r="H175" s="4" t="str">
        <f ca="1">IFERROR(_xludf.XLOOKUP(C175,Milestones!$A$2:$A$501,Milestones!$M$2:$M$501),"")</f>
        <v/>
      </c>
      <c r="I175" s="4" t="str">
        <f t="shared" ca="1" si="8"/>
        <v/>
      </c>
      <c r="J175" s="4"/>
      <c r="K175" s="4" t="str">
        <f ca="1">IFERROR(_xludf.XLOOKUP(A175,Pracownicy!$A$2:$A$501,Pracownicy!$F$2:$F$501),"")</f>
        <v/>
      </c>
      <c r="L175" s="4"/>
      <c r="M175" s="4" t="str">
        <f t="shared" ca="1" si="9"/>
        <v/>
      </c>
      <c r="N175" s="4" t="str">
        <f t="shared" si="10"/>
        <v/>
      </c>
      <c r="O175" s="4" t="str">
        <f t="shared" ca="1" si="11"/>
        <v/>
      </c>
    </row>
    <row r="176" spans="1:15" x14ac:dyDescent="0.25">
      <c r="A176" s="4"/>
      <c r="B176" s="4" t="str">
        <f ca="1">IFERROR(_xludf.XLOOKUP(A176,Pracownicy!$A$2:$A$501,Pracownicy!$B$2:$B$501),"")</f>
        <v/>
      </c>
      <c r="C176" s="4"/>
      <c r="D176" s="4" t="str">
        <f ca="1">IFERROR(_xludf.XLOOKUP(C176,Milestones!$A$2:$A$501,Milestones!$B$2:$B$501),"")</f>
        <v/>
      </c>
      <c r="E176" s="4" t="str">
        <f ca="1">IFERROR(_xludf.XLOOKUP(D176,Projekty!$A$2:$A$501,Projekty!$B$2:$B$501),"")</f>
        <v/>
      </c>
      <c r="F176" s="4" t="str">
        <f ca="1">IFERROR(_xludf.XLOOKUP(C176,Milestones!$A$2:$A$501,Milestones!$C$2:$C$501),"")</f>
        <v/>
      </c>
      <c r="G176" s="4" t="str">
        <f ca="1">IFERROR(_xludf.XLOOKUP(C176,Milestones!$A$2:$A$501,Milestones!$F$2:$F$501),"")</f>
        <v/>
      </c>
      <c r="H176" s="4" t="str">
        <f ca="1">IFERROR(_xludf.XLOOKUP(C176,Milestones!$A$2:$A$501,Milestones!$M$2:$M$501),"")</f>
        <v/>
      </c>
      <c r="I176" s="4" t="str">
        <f t="shared" ca="1" si="8"/>
        <v/>
      </c>
      <c r="J176" s="4"/>
      <c r="K176" s="4" t="str">
        <f ca="1">IFERROR(_xludf.XLOOKUP(A176,Pracownicy!$A$2:$A$501,Pracownicy!$F$2:$F$501),"")</f>
        <v/>
      </c>
      <c r="L176" s="4"/>
      <c r="M176" s="4" t="str">
        <f t="shared" ca="1" si="9"/>
        <v/>
      </c>
      <c r="N176" s="4" t="str">
        <f t="shared" si="10"/>
        <v/>
      </c>
      <c r="O176" s="4" t="str">
        <f t="shared" ca="1" si="11"/>
        <v/>
      </c>
    </row>
    <row r="177" spans="1:15" x14ac:dyDescent="0.25">
      <c r="A177" s="4"/>
      <c r="B177" s="4" t="str">
        <f ca="1">IFERROR(_xludf.XLOOKUP(A177,Pracownicy!$A$2:$A$501,Pracownicy!$B$2:$B$501),"")</f>
        <v/>
      </c>
      <c r="C177" s="4"/>
      <c r="D177" s="4" t="str">
        <f ca="1">IFERROR(_xludf.XLOOKUP(C177,Milestones!$A$2:$A$501,Milestones!$B$2:$B$501),"")</f>
        <v/>
      </c>
      <c r="E177" s="4" t="str">
        <f ca="1">IFERROR(_xludf.XLOOKUP(D177,Projekty!$A$2:$A$501,Projekty!$B$2:$B$501),"")</f>
        <v/>
      </c>
      <c r="F177" s="4" t="str">
        <f ca="1">IFERROR(_xludf.XLOOKUP(C177,Milestones!$A$2:$A$501,Milestones!$C$2:$C$501),"")</f>
        <v/>
      </c>
      <c r="G177" s="4" t="str">
        <f ca="1">IFERROR(_xludf.XLOOKUP(C177,Milestones!$A$2:$A$501,Milestones!$F$2:$F$501),"")</f>
        <v/>
      </c>
      <c r="H177" s="4" t="str">
        <f ca="1">IFERROR(_xludf.XLOOKUP(C177,Milestones!$A$2:$A$501,Milestones!$M$2:$M$501),"")</f>
        <v/>
      </c>
      <c r="I177" s="4" t="str">
        <f t="shared" ca="1" si="8"/>
        <v/>
      </c>
      <c r="J177" s="4"/>
      <c r="K177" s="4" t="str">
        <f ca="1">IFERROR(_xludf.XLOOKUP(A177,Pracownicy!$A$2:$A$501,Pracownicy!$F$2:$F$501),"")</f>
        <v/>
      </c>
      <c r="L177" s="4"/>
      <c r="M177" s="4" t="str">
        <f t="shared" ca="1" si="9"/>
        <v/>
      </c>
      <c r="N177" s="4" t="str">
        <f t="shared" si="10"/>
        <v/>
      </c>
      <c r="O177" s="4" t="str">
        <f t="shared" ca="1" si="11"/>
        <v/>
      </c>
    </row>
    <row r="178" spans="1:15" x14ac:dyDescent="0.25">
      <c r="A178" s="4"/>
      <c r="B178" s="4" t="str">
        <f ca="1">IFERROR(_xludf.XLOOKUP(A178,Pracownicy!$A$2:$A$501,Pracownicy!$B$2:$B$501),"")</f>
        <v/>
      </c>
      <c r="C178" s="4"/>
      <c r="D178" s="4" t="str">
        <f ca="1">IFERROR(_xludf.XLOOKUP(C178,Milestones!$A$2:$A$501,Milestones!$B$2:$B$501),"")</f>
        <v/>
      </c>
      <c r="E178" s="4" t="str">
        <f ca="1">IFERROR(_xludf.XLOOKUP(D178,Projekty!$A$2:$A$501,Projekty!$B$2:$B$501),"")</f>
        <v/>
      </c>
      <c r="F178" s="4" t="str">
        <f ca="1">IFERROR(_xludf.XLOOKUP(C178,Milestones!$A$2:$A$501,Milestones!$C$2:$C$501),"")</f>
        <v/>
      </c>
      <c r="G178" s="4" t="str">
        <f ca="1">IFERROR(_xludf.XLOOKUP(C178,Milestones!$A$2:$A$501,Milestones!$F$2:$F$501),"")</f>
        <v/>
      </c>
      <c r="H178" s="4" t="str">
        <f ca="1">IFERROR(_xludf.XLOOKUP(C178,Milestones!$A$2:$A$501,Milestones!$M$2:$M$501),"")</f>
        <v/>
      </c>
      <c r="I178" s="4" t="str">
        <f t="shared" ca="1" si="8"/>
        <v/>
      </c>
      <c r="J178" s="4"/>
      <c r="K178" s="4" t="str">
        <f ca="1">IFERROR(_xludf.XLOOKUP(A178,Pracownicy!$A$2:$A$501,Pracownicy!$F$2:$F$501),"")</f>
        <v/>
      </c>
      <c r="L178" s="4"/>
      <c r="M178" s="4" t="str">
        <f t="shared" ca="1" si="9"/>
        <v/>
      </c>
      <c r="N178" s="4" t="str">
        <f t="shared" si="10"/>
        <v/>
      </c>
      <c r="O178" s="4" t="str">
        <f t="shared" ca="1" si="11"/>
        <v/>
      </c>
    </row>
    <row r="179" spans="1:15" x14ac:dyDescent="0.25">
      <c r="A179" s="4"/>
      <c r="B179" s="4" t="str">
        <f ca="1">IFERROR(_xludf.XLOOKUP(A179,Pracownicy!$A$2:$A$501,Pracownicy!$B$2:$B$501),"")</f>
        <v/>
      </c>
      <c r="C179" s="4"/>
      <c r="D179" s="4" t="str">
        <f ca="1">IFERROR(_xludf.XLOOKUP(C179,Milestones!$A$2:$A$501,Milestones!$B$2:$B$501),"")</f>
        <v/>
      </c>
      <c r="E179" s="4" t="str">
        <f ca="1">IFERROR(_xludf.XLOOKUP(D179,Projekty!$A$2:$A$501,Projekty!$B$2:$B$501),"")</f>
        <v/>
      </c>
      <c r="F179" s="4" t="str">
        <f ca="1">IFERROR(_xludf.XLOOKUP(C179,Milestones!$A$2:$A$501,Milestones!$C$2:$C$501),"")</f>
        <v/>
      </c>
      <c r="G179" s="4" t="str">
        <f ca="1">IFERROR(_xludf.XLOOKUP(C179,Milestones!$A$2:$A$501,Milestones!$F$2:$F$501),"")</f>
        <v/>
      </c>
      <c r="H179" s="4" t="str">
        <f ca="1">IFERROR(_xludf.XLOOKUP(C179,Milestones!$A$2:$A$501,Milestones!$M$2:$M$501),"")</f>
        <v/>
      </c>
      <c r="I179" s="4" t="str">
        <f t="shared" ca="1" si="8"/>
        <v/>
      </c>
      <c r="J179" s="4"/>
      <c r="K179" s="4" t="str">
        <f ca="1">IFERROR(_xludf.XLOOKUP(A179,Pracownicy!$A$2:$A$501,Pracownicy!$F$2:$F$501),"")</f>
        <v/>
      </c>
      <c r="L179" s="4"/>
      <c r="M179" s="4" t="str">
        <f t="shared" ca="1" si="9"/>
        <v/>
      </c>
      <c r="N179" s="4" t="str">
        <f t="shared" si="10"/>
        <v/>
      </c>
      <c r="O179" s="4" t="str">
        <f t="shared" ca="1" si="11"/>
        <v/>
      </c>
    </row>
    <row r="180" spans="1:15" x14ac:dyDescent="0.25">
      <c r="A180" s="4"/>
      <c r="B180" s="4" t="str">
        <f ca="1">IFERROR(_xludf.XLOOKUP(A180,Pracownicy!$A$2:$A$501,Pracownicy!$B$2:$B$501),"")</f>
        <v/>
      </c>
      <c r="C180" s="4"/>
      <c r="D180" s="4" t="str">
        <f ca="1">IFERROR(_xludf.XLOOKUP(C180,Milestones!$A$2:$A$501,Milestones!$B$2:$B$501),"")</f>
        <v/>
      </c>
      <c r="E180" s="4" t="str">
        <f ca="1">IFERROR(_xludf.XLOOKUP(D180,Projekty!$A$2:$A$501,Projekty!$B$2:$B$501),"")</f>
        <v/>
      </c>
      <c r="F180" s="4" t="str">
        <f ca="1">IFERROR(_xludf.XLOOKUP(C180,Milestones!$A$2:$A$501,Milestones!$C$2:$C$501),"")</f>
        <v/>
      </c>
      <c r="G180" s="4" t="str">
        <f ca="1">IFERROR(_xludf.XLOOKUP(C180,Milestones!$A$2:$A$501,Milestones!$F$2:$F$501),"")</f>
        <v/>
      </c>
      <c r="H180" s="4" t="str">
        <f ca="1">IFERROR(_xludf.XLOOKUP(C180,Milestones!$A$2:$A$501,Milestones!$M$2:$M$501),"")</f>
        <v/>
      </c>
      <c r="I180" s="4" t="str">
        <f t="shared" ca="1" si="8"/>
        <v/>
      </c>
      <c r="J180" s="4"/>
      <c r="K180" s="4" t="str">
        <f ca="1">IFERROR(_xludf.XLOOKUP(A180,Pracownicy!$A$2:$A$501,Pracownicy!$F$2:$F$501),"")</f>
        <v/>
      </c>
      <c r="L180" s="4"/>
      <c r="M180" s="4" t="str">
        <f t="shared" ca="1" si="9"/>
        <v/>
      </c>
      <c r="N180" s="4" t="str">
        <f t="shared" si="10"/>
        <v/>
      </c>
      <c r="O180" s="4" t="str">
        <f t="shared" ca="1" si="11"/>
        <v/>
      </c>
    </row>
    <row r="181" spans="1:15" x14ac:dyDescent="0.25">
      <c r="A181" s="4"/>
      <c r="B181" s="4" t="str">
        <f ca="1">IFERROR(_xludf.XLOOKUP(A181,Pracownicy!$A$2:$A$501,Pracownicy!$B$2:$B$501),"")</f>
        <v/>
      </c>
      <c r="C181" s="4"/>
      <c r="D181" s="4" t="str">
        <f ca="1">IFERROR(_xludf.XLOOKUP(C181,Milestones!$A$2:$A$501,Milestones!$B$2:$B$501),"")</f>
        <v/>
      </c>
      <c r="E181" s="4" t="str">
        <f ca="1">IFERROR(_xludf.XLOOKUP(D181,Projekty!$A$2:$A$501,Projekty!$B$2:$B$501),"")</f>
        <v/>
      </c>
      <c r="F181" s="4" t="str">
        <f ca="1">IFERROR(_xludf.XLOOKUP(C181,Milestones!$A$2:$A$501,Milestones!$C$2:$C$501),"")</f>
        <v/>
      </c>
      <c r="G181" s="4" t="str">
        <f ca="1">IFERROR(_xludf.XLOOKUP(C181,Milestones!$A$2:$A$501,Milestones!$F$2:$F$501),"")</f>
        <v/>
      </c>
      <c r="H181" s="4" t="str">
        <f ca="1">IFERROR(_xludf.XLOOKUP(C181,Milestones!$A$2:$A$501,Milestones!$M$2:$M$501),"")</f>
        <v/>
      </c>
      <c r="I181" s="4" t="str">
        <f t="shared" ca="1" si="8"/>
        <v/>
      </c>
      <c r="J181" s="4"/>
      <c r="K181" s="4" t="str">
        <f ca="1">IFERROR(_xludf.XLOOKUP(A181,Pracownicy!$A$2:$A$501,Pracownicy!$F$2:$F$501),"")</f>
        <v/>
      </c>
      <c r="L181" s="4"/>
      <c r="M181" s="4" t="str">
        <f t="shared" ca="1" si="9"/>
        <v/>
      </c>
      <c r="N181" s="4" t="str">
        <f t="shared" si="10"/>
        <v/>
      </c>
      <c r="O181" s="4" t="str">
        <f t="shared" ca="1" si="11"/>
        <v/>
      </c>
    </row>
    <row r="182" spans="1:15" x14ac:dyDescent="0.25">
      <c r="A182" s="4"/>
      <c r="B182" s="4" t="str">
        <f ca="1">IFERROR(_xludf.XLOOKUP(A182,Pracownicy!$A$2:$A$501,Pracownicy!$B$2:$B$501),"")</f>
        <v/>
      </c>
      <c r="C182" s="4"/>
      <c r="D182" s="4" t="str">
        <f ca="1">IFERROR(_xludf.XLOOKUP(C182,Milestones!$A$2:$A$501,Milestones!$B$2:$B$501),"")</f>
        <v/>
      </c>
      <c r="E182" s="4" t="str">
        <f ca="1">IFERROR(_xludf.XLOOKUP(D182,Projekty!$A$2:$A$501,Projekty!$B$2:$B$501),"")</f>
        <v/>
      </c>
      <c r="F182" s="4" t="str">
        <f ca="1">IFERROR(_xludf.XLOOKUP(C182,Milestones!$A$2:$A$501,Milestones!$C$2:$C$501),"")</f>
        <v/>
      </c>
      <c r="G182" s="4" t="str">
        <f ca="1">IFERROR(_xludf.XLOOKUP(C182,Milestones!$A$2:$A$501,Milestones!$F$2:$F$501),"")</f>
        <v/>
      </c>
      <c r="H182" s="4" t="str">
        <f ca="1">IFERROR(_xludf.XLOOKUP(C182,Milestones!$A$2:$A$501,Milestones!$M$2:$M$501),"")</f>
        <v/>
      </c>
      <c r="I182" s="4" t="str">
        <f t="shared" ca="1" si="8"/>
        <v/>
      </c>
      <c r="J182" s="4"/>
      <c r="K182" s="4" t="str">
        <f ca="1">IFERROR(_xludf.XLOOKUP(A182,Pracownicy!$A$2:$A$501,Pracownicy!$F$2:$F$501),"")</f>
        <v/>
      </c>
      <c r="L182" s="4"/>
      <c r="M182" s="4" t="str">
        <f t="shared" ca="1" si="9"/>
        <v/>
      </c>
      <c r="N182" s="4" t="str">
        <f t="shared" si="10"/>
        <v/>
      </c>
      <c r="O182" s="4" t="str">
        <f t="shared" ca="1" si="11"/>
        <v/>
      </c>
    </row>
    <row r="183" spans="1:15" x14ac:dyDescent="0.25">
      <c r="A183" s="4"/>
      <c r="B183" s="4" t="str">
        <f ca="1">IFERROR(_xludf.XLOOKUP(A183,Pracownicy!$A$2:$A$501,Pracownicy!$B$2:$B$501),"")</f>
        <v/>
      </c>
      <c r="C183" s="4"/>
      <c r="D183" s="4" t="str">
        <f ca="1">IFERROR(_xludf.XLOOKUP(C183,Milestones!$A$2:$A$501,Milestones!$B$2:$B$501),"")</f>
        <v/>
      </c>
      <c r="E183" s="4" t="str">
        <f ca="1">IFERROR(_xludf.XLOOKUP(D183,Projekty!$A$2:$A$501,Projekty!$B$2:$B$501),"")</f>
        <v/>
      </c>
      <c r="F183" s="4" t="str">
        <f ca="1">IFERROR(_xludf.XLOOKUP(C183,Milestones!$A$2:$A$501,Milestones!$C$2:$C$501),"")</f>
        <v/>
      </c>
      <c r="G183" s="4" t="str">
        <f ca="1">IFERROR(_xludf.XLOOKUP(C183,Milestones!$A$2:$A$501,Milestones!$F$2:$F$501),"")</f>
        <v/>
      </c>
      <c r="H183" s="4" t="str">
        <f ca="1">IFERROR(_xludf.XLOOKUP(C183,Milestones!$A$2:$A$501,Milestones!$M$2:$M$501),"")</f>
        <v/>
      </c>
      <c r="I183" s="4" t="str">
        <f t="shared" ca="1" si="8"/>
        <v/>
      </c>
      <c r="J183" s="4"/>
      <c r="K183" s="4" t="str">
        <f ca="1">IFERROR(_xludf.XLOOKUP(A183,Pracownicy!$A$2:$A$501,Pracownicy!$F$2:$F$501),"")</f>
        <v/>
      </c>
      <c r="L183" s="4"/>
      <c r="M183" s="4" t="str">
        <f t="shared" ca="1" si="9"/>
        <v/>
      </c>
      <c r="N183" s="4" t="str">
        <f t="shared" si="10"/>
        <v/>
      </c>
      <c r="O183" s="4" t="str">
        <f t="shared" ca="1" si="11"/>
        <v/>
      </c>
    </row>
    <row r="184" spans="1:15" x14ac:dyDescent="0.25">
      <c r="A184" s="4"/>
      <c r="B184" s="4" t="str">
        <f ca="1">IFERROR(_xludf.XLOOKUP(A184,Pracownicy!$A$2:$A$501,Pracownicy!$B$2:$B$501),"")</f>
        <v/>
      </c>
      <c r="C184" s="4"/>
      <c r="D184" s="4" t="str">
        <f ca="1">IFERROR(_xludf.XLOOKUP(C184,Milestones!$A$2:$A$501,Milestones!$B$2:$B$501),"")</f>
        <v/>
      </c>
      <c r="E184" s="4" t="str">
        <f ca="1">IFERROR(_xludf.XLOOKUP(D184,Projekty!$A$2:$A$501,Projekty!$B$2:$B$501),"")</f>
        <v/>
      </c>
      <c r="F184" s="4" t="str">
        <f ca="1">IFERROR(_xludf.XLOOKUP(C184,Milestones!$A$2:$A$501,Milestones!$C$2:$C$501),"")</f>
        <v/>
      </c>
      <c r="G184" s="4" t="str">
        <f ca="1">IFERROR(_xludf.XLOOKUP(C184,Milestones!$A$2:$A$501,Milestones!$F$2:$F$501),"")</f>
        <v/>
      </c>
      <c r="H184" s="4" t="str">
        <f ca="1">IFERROR(_xludf.XLOOKUP(C184,Milestones!$A$2:$A$501,Milestones!$M$2:$M$501),"")</f>
        <v/>
      </c>
      <c r="I184" s="4" t="str">
        <f t="shared" ca="1" si="8"/>
        <v/>
      </c>
      <c r="J184" s="4"/>
      <c r="K184" s="4" t="str">
        <f ca="1">IFERROR(_xludf.XLOOKUP(A184,Pracownicy!$A$2:$A$501,Pracownicy!$F$2:$F$501),"")</f>
        <v/>
      </c>
      <c r="L184" s="4"/>
      <c r="M184" s="4" t="str">
        <f t="shared" ca="1" si="9"/>
        <v/>
      </c>
      <c r="N184" s="4" t="str">
        <f t="shared" si="10"/>
        <v/>
      </c>
      <c r="O184" s="4" t="str">
        <f t="shared" ca="1" si="11"/>
        <v/>
      </c>
    </row>
    <row r="185" spans="1:15" x14ac:dyDescent="0.25">
      <c r="A185" s="4"/>
      <c r="B185" s="4" t="str">
        <f ca="1">IFERROR(_xludf.XLOOKUP(A185,Pracownicy!$A$2:$A$501,Pracownicy!$B$2:$B$501),"")</f>
        <v/>
      </c>
      <c r="C185" s="4"/>
      <c r="D185" s="4" t="str">
        <f ca="1">IFERROR(_xludf.XLOOKUP(C185,Milestones!$A$2:$A$501,Milestones!$B$2:$B$501),"")</f>
        <v/>
      </c>
      <c r="E185" s="4" t="str">
        <f ca="1">IFERROR(_xludf.XLOOKUP(D185,Projekty!$A$2:$A$501,Projekty!$B$2:$B$501),"")</f>
        <v/>
      </c>
      <c r="F185" s="4" t="str">
        <f ca="1">IFERROR(_xludf.XLOOKUP(C185,Milestones!$A$2:$A$501,Milestones!$C$2:$C$501),"")</f>
        <v/>
      </c>
      <c r="G185" s="4" t="str">
        <f ca="1">IFERROR(_xludf.XLOOKUP(C185,Milestones!$A$2:$A$501,Milestones!$F$2:$F$501),"")</f>
        <v/>
      </c>
      <c r="H185" s="4" t="str">
        <f ca="1">IFERROR(_xludf.XLOOKUP(C185,Milestones!$A$2:$A$501,Milestones!$M$2:$M$501),"")</f>
        <v/>
      </c>
      <c r="I185" s="4" t="str">
        <f t="shared" ca="1" si="8"/>
        <v/>
      </c>
      <c r="J185" s="4"/>
      <c r="K185" s="4" t="str">
        <f ca="1">IFERROR(_xludf.XLOOKUP(A185,Pracownicy!$A$2:$A$501,Pracownicy!$F$2:$F$501),"")</f>
        <v/>
      </c>
      <c r="L185" s="4"/>
      <c r="M185" s="4" t="str">
        <f t="shared" ca="1" si="9"/>
        <v/>
      </c>
      <c r="N185" s="4" t="str">
        <f t="shared" si="10"/>
        <v/>
      </c>
      <c r="O185" s="4" t="str">
        <f t="shared" ca="1" si="11"/>
        <v/>
      </c>
    </row>
    <row r="186" spans="1:15" x14ac:dyDescent="0.25">
      <c r="A186" s="4"/>
      <c r="B186" s="4" t="str">
        <f ca="1">IFERROR(_xludf.XLOOKUP(A186,Pracownicy!$A$2:$A$501,Pracownicy!$B$2:$B$501),"")</f>
        <v/>
      </c>
      <c r="C186" s="4"/>
      <c r="D186" s="4" t="str">
        <f ca="1">IFERROR(_xludf.XLOOKUP(C186,Milestones!$A$2:$A$501,Milestones!$B$2:$B$501),"")</f>
        <v/>
      </c>
      <c r="E186" s="4" t="str">
        <f ca="1">IFERROR(_xludf.XLOOKUP(D186,Projekty!$A$2:$A$501,Projekty!$B$2:$B$501),"")</f>
        <v/>
      </c>
      <c r="F186" s="4" t="str">
        <f ca="1">IFERROR(_xludf.XLOOKUP(C186,Milestones!$A$2:$A$501,Milestones!$C$2:$C$501),"")</f>
        <v/>
      </c>
      <c r="G186" s="4" t="str">
        <f ca="1">IFERROR(_xludf.XLOOKUP(C186,Milestones!$A$2:$A$501,Milestones!$F$2:$F$501),"")</f>
        <v/>
      </c>
      <c r="H186" s="4" t="str">
        <f ca="1">IFERROR(_xludf.XLOOKUP(C186,Milestones!$A$2:$A$501,Milestones!$M$2:$M$501),"")</f>
        <v/>
      </c>
      <c r="I186" s="4" t="str">
        <f t="shared" ca="1" si="8"/>
        <v/>
      </c>
      <c r="J186" s="4"/>
      <c r="K186" s="4" t="str">
        <f ca="1">IFERROR(_xludf.XLOOKUP(A186,Pracownicy!$A$2:$A$501,Pracownicy!$F$2:$F$501),"")</f>
        <v/>
      </c>
      <c r="L186" s="4"/>
      <c r="M186" s="4" t="str">
        <f t="shared" ca="1" si="9"/>
        <v/>
      </c>
      <c r="N186" s="4" t="str">
        <f t="shared" si="10"/>
        <v/>
      </c>
      <c r="O186" s="4" t="str">
        <f t="shared" ca="1" si="11"/>
        <v/>
      </c>
    </row>
    <row r="187" spans="1:15" x14ac:dyDescent="0.25">
      <c r="A187" s="4"/>
      <c r="B187" s="4" t="str">
        <f ca="1">IFERROR(_xludf.XLOOKUP(A187,Pracownicy!$A$2:$A$501,Pracownicy!$B$2:$B$501),"")</f>
        <v/>
      </c>
      <c r="C187" s="4"/>
      <c r="D187" s="4" t="str">
        <f ca="1">IFERROR(_xludf.XLOOKUP(C187,Milestones!$A$2:$A$501,Milestones!$B$2:$B$501),"")</f>
        <v/>
      </c>
      <c r="E187" s="4" t="str">
        <f ca="1">IFERROR(_xludf.XLOOKUP(D187,Projekty!$A$2:$A$501,Projekty!$B$2:$B$501),"")</f>
        <v/>
      </c>
      <c r="F187" s="4" t="str">
        <f ca="1">IFERROR(_xludf.XLOOKUP(C187,Milestones!$A$2:$A$501,Milestones!$C$2:$C$501),"")</f>
        <v/>
      </c>
      <c r="G187" s="4" t="str">
        <f ca="1">IFERROR(_xludf.XLOOKUP(C187,Milestones!$A$2:$A$501,Milestones!$F$2:$F$501),"")</f>
        <v/>
      </c>
      <c r="H187" s="4" t="str">
        <f ca="1">IFERROR(_xludf.XLOOKUP(C187,Milestones!$A$2:$A$501,Milestones!$M$2:$M$501),"")</f>
        <v/>
      </c>
      <c r="I187" s="4" t="str">
        <f t="shared" ca="1" si="8"/>
        <v/>
      </c>
      <c r="J187" s="4"/>
      <c r="K187" s="4" t="str">
        <f ca="1">IFERROR(_xludf.XLOOKUP(A187,Pracownicy!$A$2:$A$501,Pracownicy!$F$2:$F$501),"")</f>
        <v/>
      </c>
      <c r="L187" s="4"/>
      <c r="M187" s="4" t="str">
        <f t="shared" ca="1" si="9"/>
        <v/>
      </c>
      <c r="N187" s="4" t="str">
        <f t="shared" si="10"/>
        <v/>
      </c>
      <c r="O187" s="4" t="str">
        <f t="shared" ca="1" si="11"/>
        <v/>
      </c>
    </row>
    <row r="188" spans="1:15" x14ac:dyDescent="0.25">
      <c r="A188" s="4"/>
      <c r="B188" s="4" t="str">
        <f ca="1">IFERROR(_xludf.XLOOKUP(A188,Pracownicy!$A$2:$A$501,Pracownicy!$B$2:$B$501),"")</f>
        <v/>
      </c>
      <c r="C188" s="4"/>
      <c r="D188" s="4" t="str">
        <f ca="1">IFERROR(_xludf.XLOOKUP(C188,Milestones!$A$2:$A$501,Milestones!$B$2:$B$501),"")</f>
        <v/>
      </c>
      <c r="E188" s="4" t="str">
        <f ca="1">IFERROR(_xludf.XLOOKUP(D188,Projekty!$A$2:$A$501,Projekty!$B$2:$B$501),"")</f>
        <v/>
      </c>
      <c r="F188" s="4" t="str">
        <f ca="1">IFERROR(_xludf.XLOOKUP(C188,Milestones!$A$2:$A$501,Milestones!$C$2:$C$501),"")</f>
        <v/>
      </c>
      <c r="G188" s="4" t="str">
        <f ca="1">IFERROR(_xludf.XLOOKUP(C188,Milestones!$A$2:$A$501,Milestones!$F$2:$F$501),"")</f>
        <v/>
      </c>
      <c r="H188" s="4" t="str">
        <f ca="1">IFERROR(_xludf.XLOOKUP(C188,Milestones!$A$2:$A$501,Milestones!$M$2:$M$501),"")</f>
        <v/>
      </c>
      <c r="I188" s="4" t="str">
        <f t="shared" ca="1" si="8"/>
        <v/>
      </c>
      <c r="J188" s="4"/>
      <c r="K188" s="4" t="str">
        <f ca="1">IFERROR(_xludf.XLOOKUP(A188,Pracownicy!$A$2:$A$501,Pracownicy!$F$2:$F$501),"")</f>
        <v/>
      </c>
      <c r="L188" s="4"/>
      <c r="M188" s="4" t="str">
        <f t="shared" ca="1" si="9"/>
        <v/>
      </c>
      <c r="N188" s="4" t="str">
        <f t="shared" si="10"/>
        <v/>
      </c>
      <c r="O188" s="4" t="str">
        <f t="shared" ca="1" si="11"/>
        <v/>
      </c>
    </row>
    <row r="189" spans="1:15" x14ac:dyDescent="0.25">
      <c r="A189" s="4"/>
      <c r="B189" s="4" t="str">
        <f ca="1">IFERROR(_xludf.XLOOKUP(A189,Pracownicy!$A$2:$A$501,Pracownicy!$B$2:$B$501),"")</f>
        <v/>
      </c>
      <c r="C189" s="4"/>
      <c r="D189" s="4" t="str">
        <f ca="1">IFERROR(_xludf.XLOOKUP(C189,Milestones!$A$2:$A$501,Milestones!$B$2:$B$501),"")</f>
        <v/>
      </c>
      <c r="E189" s="4" t="str">
        <f ca="1">IFERROR(_xludf.XLOOKUP(D189,Projekty!$A$2:$A$501,Projekty!$B$2:$B$501),"")</f>
        <v/>
      </c>
      <c r="F189" s="4" t="str">
        <f ca="1">IFERROR(_xludf.XLOOKUP(C189,Milestones!$A$2:$A$501,Milestones!$C$2:$C$501),"")</f>
        <v/>
      </c>
      <c r="G189" s="4" t="str">
        <f ca="1">IFERROR(_xludf.XLOOKUP(C189,Milestones!$A$2:$A$501,Milestones!$F$2:$F$501),"")</f>
        <v/>
      </c>
      <c r="H189" s="4" t="str">
        <f ca="1">IFERROR(_xludf.XLOOKUP(C189,Milestones!$A$2:$A$501,Milestones!$M$2:$M$501),"")</f>
        <v/>
      </c>
      <c r="I189" s="4" t="str">
        <f t="shared" ca="1" si="8"/>
        <v/>
      </c>
      <c r="J189" s="4"/>
      <c r="K189" s="4" t="str">
        <f ca="1">IFERROR(_xludf.XLOOKUP(A189,Pracownicy!$A$2:$A$501,Pracownicy!$F$2:$F$501),"")</f>
        <v/>
      </c>
      <c r="L189" s="4"/>
      <c r="M189" s="4" t="str">
        <f t="shared" ca="1" si="9"/>
        <v/>
      </c>
      <c r="N189" s="4" t="str">
        <f t="shared" si="10"/>
        <v/>
      </c>
      <c r="O189" s="4" t="str">
        <f t="shared" ca="1" si="11"/>
        <v/>
      </c>
    </row>
    <row r="190" spans="1:15" x14ac:dyDescent="0.25">
      <c r="A190" s="4"/>
      <c r="B190" s="4" t="str">
        <f ca="1">IFERROR(_xludf.XLOOKUP(A190,Pracownicy!$A$2:$A$501,Pracownicy!$B$2:$B$501),"")</f>
        <v/>
      </c>
      <c r="C190" s="4"/>
      <c r="D190" s="4" t="str">
        <f ca="1">IFERROR(_xludf.XLOOKUP(C190,Milestones!$A$2:$A$501,Milestones!$B$2:$B$501),"")</f>
        <v/>
      </c>
      <c r="E190" s="4" t="str">
        <f ca="1">IFERROR(_xludf.XLOOKUP(D190,Projekty!$A$2:$A$501,Projekty!$B$2:$B$501),"")</f>
        <v/>
      </c>
      <c r="F190" s="4" t="str">
        <f ca="1">IFERROR(_xludf.XLOOKUP(C190,Milestones!$A$2:$A$501,Milestones!$C$2:$C$501),"")</f>
        <v/>
      </c>
      <c r="G190" s="4" t="str">
        <f ca="1">IFERROR(_xludf.XLOOKUP(C190,Milestones!$A$2:$A$501,Milestones!$F$2:$F$501),"")</f>
        <v/>
      </c>
      <c r="H190" s="4" t="str">
        <f ca="1">IFERROR(_xludf.XLOOKUP(C190,Milestones!$A$2:$A$501,Milestones!$M$2:$M$501),"")</f>
        <v/>
      </c>
      <c r="I190" s="4" t="str">
        <f t="shared" ca="1" si="8"/>
        <v/>
      </c>
      <c r="J190" s="4"/>
      <c r="K190" s="4" t="str">
        <f ca="1">IFERROR(_xludf.XLOOKUP(A190,Pracownicy!$A$2:$A$501,Pracownicy!$F$2:$F$501),"")</f>
        <v/>
      </c>
      <c r="L190" s="4"/>
      <c r="M190" s="4" t="str">
        <f t="shared" ca="1" si="9"/>
        <v/>
      </c>
      <c r="N190" s="4" t="str">
        <f t="shared" si="10"/>
        <v/>
      </c>
      <c r="O190" s="4" t="str">
        <f t="shared" ca="1" si="11"/>
        <v/>
      </c>
    </row>
    <row r="191" spans="1:15" x14ac:dyDescent="0.25">
      <c r="A191" s="4"/>
      <c r="B191" s="4" t="str">
        <f ca="1">IFERROR(_xludf.XLOOKUP(A191,Pracownicy!$A$2:$A$501,Pracownicy!$B$2:$B$501),"")</f>
        <v/>
      </c>
      <c r="C191" s="4"/>
      <c r="D191" s="4" t="str">
        <f ca="1">IFERROR(_xludf.XLOOKUP(C191,Milestones!$A$2:$A$501,Milestones!$B$2:$B$501),"")</f>
        <v/>
      </c>
      <c r="E191" s="4" t="str">
        <f ca="1">IFERROR(_xludf.XLOOKUP(D191,Projekty!$A$2:$A$501,Projekty!$B$2:$B$501),"")</f>
        <v/>
      </c>
      <c r="F191" s="4" t="str">
        <f ca="1">IFERROR(_xludf.XLOOKUP(C191,Milestones!$A$2:$A$501,Milestones!$C$2:$C$501),"")</f>
        <v/>
      </c>
      <c r="G191" s="4" t="str">
        <f ca="1">IFERROR(_xludf.XLOOKUP(C191,Milestones!$A$2:$A$501,Milestones!$F$2:$F$501),"")</f>
        <v/>
      </c>
      <c r="H191" s="4" t="str">
        <f ca="1">IFERROR(_xludf.XLOOKUP(C191,Milestones!$A$2:$A$501,Milestones!$M$2:$M$501),"")</f>
        <v/>
      </c>
      <c r="I191" s="4" t="str">
        <f t="shared" ca="1" si="8"/>
        <v/>
      </c>
      <c r="J191" s="4"/>
      <c r="K191" s="4" t="str">
        <f ca="1">IFERROR(_xludf.XLOOKUP(A191,Pracownicy!$A$2:$A$501,Pracownicy!$F$2:$F$501),"")</f>
        <v/>
      </c>
      <c r="L191" s="4"/>
      <c r="M191" s="4" t="str">
        <f t="shared" ca="1" si="9"/>
        <v/>
      </c>
      <c r="N191" s="4" t="str">
        <f t="shared" si="10"/>
        <v/>
      </c>
      <c r="O191" s="4" t="str">
        <f t="shared" ca="1" si="11"/>
        <v/>
      </c>
    </row>
    <row r="192" spans="1:15" x14ac:dyDescent="0.25">
      <c r="A192" s="4"/>
      <c r="B192" s="4" t="str">
        <f ca="1">IFERROR(_xludf.XLOOKUP(A192,Pracownicy!$A$2:$A$501,Pracownicy!$B$2:$B$501),"")</f>
        <v/>
      </c>
      <c r="C192" s="4"/>
      <c r="D192" s="4" t="str">
        <f ca="1">IFERROR(_xludf.XLOOKUP(C192,Milestones!$A$2:$A$501,Milestones!$B$2:$B$501),"")</f>
        <v/>
      </c>
      <c r="E192" s="4" t="str">
        <f ca="1">IFERROR(_xludf.XLOOKUP(D192,Projekty!$A$2:$A$501,Projekty!$B$2:$B$501),"")</f>
        <v/>
      </c>
      <c r="F192" s="4" t="str">
        <f ca="1">IFERROR(_xludf.XLOOKUP(C192,Milestones!$A$2:$A$501,Milestones!$C$2:$C$501),"")</f>
        <v/>
      </c>
      <c r="G192" s="4" t="str">
        <f ca="1">IFERROR(_xludf.XLOOKUP(C192,Milestones!$A$2:$A$501,Milestones!$F$2:$F$501),"")</f>
        <v/>
      </c>
      <c r="H192" s="4" t="str">
        <f ca="1">IFERROR(_xludf.XLOOKUP(C192,Milestones!$A$2:$A$501,Milestones!$M$2:$M$501),"")</f>
        <v/>
      </c>
      <c r="I192" s="4" t="str">
        <f t="shared" ca="1" si="8"/>
        <v/>
      </c>
      <c r="J192" s="4"/>
      <c r="K192" s="4" t="str">
        <f ca="1">IFERROR(_xludf.XLOOKUP(A192,Pracownicy!$A$2:$A$501,Pracownicy!$F$2:$F$501),"")</f>
        <v/>
      </c>
      <c r="L192" s="4"/>
      <c r="M192" s="4" t="str">
        <f t="shared" ca="1" si="9"/>
        <v/>
      </c>
      <c r="N192" s="4" t="str">
        <f t="shared" si="10"/>
        <v/>
      </c>
      <c r="O192" s="4" t="str">
        <f t="shared" ca="1" si="11"/>
        <v/>
      </c>
    </row>
    <row r="193" spans="1:15" x14ac:dyDescent="0.25">
      <c r="A193" s="4"/>
      <c r="B193" s="4" t="str">
        <f ca="1">IFERROR(_xludf.XLOOKUP(A193,Pracownicy!$A$2:$A$501,Pracownicy!$B$2:$B$501),"")</f>
        <v/>
      </c>
      <c r="C193" s="4"/>
      <c r="D193" s="4" t="str">
        <f ca="1">IFERROR(_xludf.XLOOKUP(C193,Milestones!$A$2:$A$501,Milestones!$B$2:$B$501),"")</f>
        <v/>
      </c>
      <c r="E193" s="4" t="str">
        <f ca="1">IFERROR(_xludf.XLOOKUP(D193,Projekty!$A$2:$A$501,Projekty!$B$2:$B$501),"")</f>
        <v/>
      </c>
      <c r="F193" s="4" t="str">
        <f ca="1">IFERROR(_xludf.XLOOKUP(C193,Milestones!$A$2:$A$501,Milestones!$C$2:$C$501),"")</f>
        <v/>
      </c>
      <c r="G193" s="4" t="str">
        <f ca="1">IFERROR(_xludf.XLOOKUP(C193,Milestones!$A$2:$A$501,Milestones!$F$2:$F$501),"")</f>
        <v/>
      </c>
      <c r="H193" s="4" t="str">
        <f ca="1">IFERROR(_xludf.XLOOKUP(C193,Milestones!$A$2:$A$501,Milestones!$M$2:$M$501),"")</f>
        <v/>
      </c>
      <c r="I193" s="4" t="str">
        <f t="shared" ca="1" si="8"/>
        <v/>
      </c>
      <c r="J193" s="4"/>
      <c r="K193" s="4" t="str">
        <f ca="1">IFERROR(_xludf.XLOOKUP(A193,Pracownicy!$A$2:$A$501,Pracownicy!$F$2:$F$501),"")</f>
        <v/>
      </c>
      <c r="L193" s="4"/>
      <c r="M193" s="4" t="str">
        <f t="shared" ca="1" si="9"/>
        <v/>
      </c>
      <c r="N193" s="4" t="str">
        <f t="shared" si="10"/>
        <v/>
      </c>
      <c r="O193" s="4" t="str">
        <f t="shared" ca="1" si="11"/>
        <v/>
      </c>
    </row>
    <row r="194" spans="1:15" x14ac:dyDescent="0.25">
      <c r="A194" s="4"/>
      <c r="B194" s="4" t="str">
        <f ca="1">IFERROR(_xludf.XLOOKUP(A194,Pracownicy!$A$2:$A$501,Pracownicy!$B$2:$B$501),"")</f>
        <v/>
      </c>
      <c r="C194" s="4"/>
      <c r="D194" s="4" t="str">
        <f ca="1">IFERROR(_xludf.XLOOKUP(C194,Milestones!$A$2:$A$501,Milestones!$B$2:$B$501),"")</f>
        <v/>
      </c>
      <c r="E194" s="4" t="str">
        <f ca="1">IFERROR(_xludf.XLOOKUP(D194,Projekty!$A$2:$A$501,Projekty!$B$2:$B$501),"")</f>
        <v/>
      </c>
      <c r="F194" s="4" t="str">
        <f ca="1">IFERROR(_xludf.XLOOKUP(C194,Milestones!$A$2:$A$501,Milestones!$C$2:$C$501),"")</f>
        <v/>
      </c>
      <c r="G194" s="4" t="str">
        <f ca="1">IFERROR(_xludf.XLOOKUP(C194,Milestones!$A$2:$A$501,Milestones!$F$2:$F$501),"")</f>
        <v/>
      </c>
      <c r="H194" s="4" t="str">
        <f ca="1">IFERROR(_xludf.XLOOKUP(C194,Milestones!$A$2:$A$501,Milestones!$M$2:$M$501),"")</f>
        <v/>
      </c>
      <c r="I194" s="4" t="str">
        <f t="shared" ref="I194:I257" ca="1" si="12">IF(H194="","",MIN(H194,1))</f>
        <v/>
      </c>
      <c r="J194" s="4"/>
      <c r="K194" s="4" t="str">
        <f ca="1">IFERROR(_xludf.XLOOKUP(A194,Pracownicy!$A$2:$A$501,Pracownicy!$F$2:$F$501),"")</f>
        <v/>
      </c>
      <c r="L194" s="4"/>
      <c r="M194" s="4" t="str">
        <f t="shared" ref="M194:M257" ca="1" si="13">IF(OR(J194="",K194="",L194=""),"",J194*K194*L194)</f>
        <v/>
      </c>
      <c r="N194" s="4" t="str">
        <f t="shared" ref="N194:N257" si="14">IF(C194="","",SUMIF($C$2:$C$501,C194,$M$2:$M$501))</f>
        <v/>
      </c>
      <c r="O194" s="4" t="str">
        <f t="shared" ref="O194:O257" ca="1" si="15">IF(OR(G194="",I194="",M194="",N194="",N194=0),"",ROUNDDOWN(G194*I194*(M194/N194),2))</f>
        <v/>
      </c>
    </row>
    <row r="195" spans="1:15" x14ac:dyDescent="0.25">
      <c r="A195" s="4"/>
      <c r="B195" s="4" t="str">
        <f ca="1">IFERROR(_xludf.XLOOKUP(A195,Pracownicy!$A$2:$A$501,Pracownicy!$B$2:$B$501),"")</f>
        <v/>
      </c>
      <c r="C195" s="4"/>
      <c r="D195" s="4" t="str">
        <f ca="1">IFERROR(_xludf.XLOOKUP(C195,Milestones!$A$2:$A$501,Milestones!$B$2:$B$501),"")</f>
        <v/>
      </c>
      <c r="E195" s="4" t="str">
        <f ca="1">IFERROR(_xludf.XLOOKUP(D195,Projekty!$A$2:$A$501,Projekty!$B$2:$B$501),"")</f>
        <v/>
      </c>
      <c r="F195" s="4" t="str">
        <f ca="1">IFERROR(_xludf.XLOOKUP(C195,Milestones!$A$2:$A$501,Milestones!$C$2:$C$501),"")</f>
        <v/>
      </c>
      <c r="G195" s="4" t="str">
        <f ca="1">IFERROR(_xludf.XLOOKUP(C195,Milestones!$A$2:$A$501,Milestones!$F$2:$F$501),"")</f>
        <v/>
      </c>
      <c r="H195" s="4" t="str">
        <f ca="1">IFERROR(_xludf.XLOOKUP(C195,Milestones!$A$2:$A$501,Milestones!$M$2:$M$501),"")</f>
        <v/>
      </c>
      <c r="I195" s="4" t="str">
        <f t="shared" ca="1" si="12"/>
        <v/>
      </c>
      <c r="J195" s="4"/>
      <c r="K195" s="4" t="str">
        <f ca="1">IFERROR(_xludf.XLOOKUP(A195,Pracownicy!$A$2:$A$501,Pracownicy!$F$2:$F$501),"")</f>
        <v/>
      </c>
      <c r="L195" s="4"/>
      <c r="M195" s="4" t="str">
        <f t="shared" ca="1" si="13"/>
        <v/>
      </c>
      <c r="N195" s="4" t="str">
        <f t="shared" si="14"/>
        <v/>
      </c>
      <c r="O195" s="4" t="str">
        <f t="shared" ca="1" si="15"/>
        <v/>
      </c>
    </row>
    <row r="196" spans="1:15" x14ac:dyDescent="0.25">
      <c r="A196" s="4"/>
      <c r="B196" s="4" t="str">
        <f ca="1">IFERROR(_xludf.XLOOKUP(A196,Pracownicy!$A$2:$A$501,Pracownicy!$B$2:$B$501),"")</f>
        <v/>
      </c>
      <c r="C196" s="4"/>
      <c r="D196" s="4" t="str">
        <f ca="1">IFERROR(_xludf.XLOOKUP(C196,Milestones!$A$2:$A$501,Milestones!$B$2:$B$501),"")</f>
        <v/>
      </c>
      <c r="E196" s="4" t="str">
        <f ca="1">IFERROR(_xludf.XLOOKUP(D196,Projekty!$A$2:$A$501,Projekty!$B$2:$B$501),"")</f>
        <v/>
      </c>
      <c r="F196" s="4" t="str">
        <f ca="1">IFERROR(_xludf.XLOOKUP(C196,Milestones!$A$2:$A$501,Milestones!$C$2:$C$501),"")</f>
        <v/>
      </c>
      <c r="G196" s="4" t="str">
        <f ca="1">IFERROR(_xludf.XLOOKUP(C196,Milestones!$A$2:$A$501,Milestones!$F$2:$F$501),"")</f>
        <v/>
      </c>
      <c r="H196" s="4" t="str">
        <f ca="1">IFERROR(_xludf.XLOOKUP(C196,Milestones!$A$2:$A$501,Milestones!$M$2:$M$501),"")</f>
        <v/>
      </c>
      <c r="I196" s="4" t="str">
        <f t="shared" ca="1" si="12"/>
        <v/>
      </c>
      <c r="J196" s="4"/>
      <c r="K196" s="4" t="str">
        <f ca="1">IFERROR(_xludf.XLOOKUP(A196,Pracownicy!$A$2:$A$501,Pracownicy!$F$2:$F$501),"")</f>
        <v/>
      </c>
      <c r="L196" s="4"/>
      <c r="M196" s="4" t="str">
        <f t="shared" ca="1" si="13"/>
        <v/>
      </c>
      <c r="N196" s="4" t="str">
        <f t="shared" si="14"/>
        <v/>
      </c>
      <c r="O196" s="4" t="str">
        <f t="shared" ca="1" si="15"/>
        <v/>
      </c>
    </row>
    <row r="197" spans="1:15" x14ac:dyDescent="0.25">
      <c r="A197" s="4"/>
      <c r="B197" s="4" t="str">
        <f ca="1">IFERROR(_xludf.XLOOKUP(A197,Pracownicy!$A$2:$A$501,Pracownicy!$B$2:$B$501),"")</f>
        <v/>
      </c>
      <c r="C197" s="4"/>
      <c r="D197" s="4" t="str">
        <f ca="1">IFERROR(_xludf.XLOOKUP(C197,Milestones!$A$2:$A$501,Milestones!$B$2:$B$501),"")</f>
        <v/>
      </c>
      <c r="E197" s="4" t="str">
        <f ca="1">IFERROR(_xludf.XLOOKUP(D197,Projekty!$A$2:$A$501,Projekty!$B$2:$B$501),"")</f>
        <v/>
      </c>
      <c r="F197" s="4" t="str">
        <f ca="1">IFERROR(_xludf.XLOOKUP(C197,Milestones!$A$2:$A$501,Milestones!$C$2:$C$501),"")</f>
        <v/>
      </c>
      <c r="G197" s="4" t="str">
        <f ca="1">IFERROR(_xludf.XLOOKUP(C197,Milestones!$A$2:$A$501,Milestones!$F$2:$F$501),"")</f>
        <v/>
      </c>
      <c r="H197" s="4" t="str">
        <f ca="1">IFERROR(_xludf.XLOOKUP(C197,Milestones!$A$2:$A$501,Milestones!$M$2:$M$501),"")</f>
        <v/>
      </c>
      <c r="I197" s="4" t="str">
        <f t="shared" ca="1" si="12"/>
        <v/>
      </c>
      <c r="J197" s="4"/>
      <c r="K197" s="4" t="str">
        <f ca="1">IFERROR(_xludf.XLOOKUP(A197,Pracownicy!$A$2:$A$501,Pracownicy!$F$2:$F$501),"")</f>
        <v/>
      </c>
      <c r="L197" s="4"/>
      <c r="M197" s="4" t="str">
        <f t="shared" ca="1" si="13"/>
        <v/>
      </c>
      <c r="N197" s="4" t="str">
        <f t="shared" si="14"/>
        <v/>
      </c>
      <c r="O197" s="4" t="str">
        <f t="shared" ca="1" si="15"/>
        <v/>
      </c>
    </row>
    <row r="198" spans="1:15" x14ac:dyDescent="0.25">
      <c r="A198" s="4"/>
      <c r="B198" s="4" t="str">
        <f ca="1">IFERROR(_xludf.XLOOKUP(A198,Pracownicy!$A$2:$A$501,Pracownicy!$B$2:$B$501),"")</f>
        <v/>
      </c>
      <c r="C198" s="4"/>
      <c r="D198" s="4" t="str">
        <f ca="1">IFERROR(_xludf.XLOOKUP(C198,Milestones!$A$2:$A$501,Milestones!$B$2:$B$501),"")</f>
        <v/>
      </c>
      <c r="E198" s="4" t="str">
        <f ca="1">IFERROR(_xludf.XLOOKUP(D198,Projekty!$A$2:$A$501,Projekty!$B$2:$B$501),"")</f>
        <v/>
      </c>
      <c r="F198" s="4" t="str">
        <f ca="1">IFERROR(_xludf.XLOOKUP(C198,Milestones!$A$2:$A$501,Milestones!$C$2:$C$501),"")</f>
        <v/>
      </c>
      <c r="G198" s="4" t="str">
        <f ca="1">IFERROR(_xludf.XLOOKUP(C198,Milestones!$A$2:$A$501,Milestones!$F$2:$F$501),"")</f>
        <v/>
      </c>
      <c r="H198" s="4" t="str">
        <f ca="1">IFERROR(_xludf.XLOOKUP(C198,Milestones!$A$2:$A$501,Milestones!$M$2:$M$501),"")</f>
        <v/>
      </c>
      <c r="I198" s="4" t="str">
        <f t="shared" ca="1" si="12"/>
        <v/>
      </c>
      <c r="J198" s="4"/>
      <c r="K198" s="4" t="str">
        <f ca="1">IFERROR(_xludf.XLOOKUP(A198,Pracownicy!$A$2:$A$501,Pracownicy!$F$2:$F$501),"")</f>
        <v/>
      </c>
      <c r="L198" s="4"/>
      <c r="M198" s="4" t="str">
        <f t="shared" ca="1" si="13"/>
        <v/>
      </c>
      <c r="N198" s="4" t="str">
        <f t="shared" si="14"/>
        <v/>
      </c>
      <c r="O198" s="4" t="str">
        <f t="shared" ca="1" si="15"/>
        <v/>
      </c>
    </row>
    <row r="199" spans="1:15" x14ac:dyDescent="0.25">
      <c r="A199" s="4"/>
      <c r="B199" s="4" t="str">
        <f ca="1">IFERROR(_xludf.XLOOKUP(A199,Pracownicy!$A$2:$A$501,Pracownicy!$B$2:$B$501),"")</f>
        <v/>
      </c>
      <c r="C199" s="4"/>
      <c r="D199" s="4" t="str">
        <f ca="1">IFERROR(_xludf.XLOOKUP(C199,Milestones!$A$2:$A$501,Milestones!$B$2:$B$501),"")</f>
        <v/>
      </c>
      <c r="E199" s="4" t="str">
        <f ca="1">IFERROR(_xludf.XLOOKUP(D199,Projekty!$A$2:$A$501,Projekty!$B$2:$B$501),"")</f>
        <v/>
      </c>
      <c r="F199" s="4" t="str">
        <f ca="1">IFERROR(_xludf.XLOOKUP(C199,Milestones!$A$2:$A$501,Milestones!$C$2:$C$501),"")</f>
        <v/>
      </c>
      <c r="G199" s="4" t="str">
        <f ca="1">IFERROR(_xludf.XLOOKUP(C199,Milestones!$A$2:$A$501,Milestones!$F$2:$F$501),"")</f>
        <v/>
      </c>
      <c r="H199" s="4" t="str">
        <f ca="1">IFERROR(_xludf.XLOOKUP(C199,Milestones!$A$2:$A$501,Milestones!$M$2:$M$501),"")</f>
        <v/>
      </c>
      <c r="I199" s="4" t="str">
        <f t="shared" ca="1" si="12"/>
        <v/>
      </c>
      <c r="J199" s="4"/>
      <c r="K199" s="4" t="str">
        <f ca="1">IFERROR(_xludf.XLOOKUP(A199,Pracownicy!$A$2:$A$501,Pracownicy!$F$2:$F$501),"")</f>
        <v/>
      </c>
      <c r="L199" s="4"/>
      <c r="M199" s="4" t="str">
        <f t="shared" ca="1" si="13"/>
        <v/>
      </c>
      <c r="N199" s="4" t="str">
        <f t="shared" si="14"/>
        <v/>
      </c>
      <c r="O199" s="4" t="str">
        <f t="shared" ca="1" si="15"/>
        <v/>
      </c>
    </row>
    <row r="200" spans="1:15" x14ac:dyDescent="0.25">
      <c r="A200" s="4"/>
      <c r="B200" s="4" t="str">
        <f ca="1">IFERROR(_xludf.XLOOKUP(A200,Pracownicy!$A$2:$A$501,Pracownicy!$B$2:$B$501),"")</f>
        <v/>
      </c>
      <c r="C200" s="4"/>
      <c r="D200" s="4" t="str">
        <f ca="1">IFERROR(_xludf.XLOOKUP(C200,Milestones!$A$2:$A$501,Milestones!$B$2:$B$501),"")</f>
        <v/>
      </c>
      <c r="E200" s="4" t="str">
        <f ca="1">IFERROR(_xludf.XLOOKUP(D200,Projekty!$A$2:$A$501,Projekty!$B$2:$B$501),"")</f>
        <v/>
      </c>
      <c r="F200" s="4" t="str">
        <f ca="1">IFERROR(_xludf.XLOOKUP(C200,Milestones!$A$2:$A$501,Milestones!$C$2:$C$501),"")</f>
        <v/>
      </c>
      <c r="G200" s="4" t="str">
        <f ca="1">IFERROR(_xludf.XLOOKUP(C200,Milestones!$A$2:$A$501,Milestones!$F$2:$F$501),"")</f>
        <v/>
      </c>
      <c r="H200" s="4" t="str">
        <f ca="1">IFERROR(_xludf.XLOOKUP(C200,Milestones!$A$2:$A$501,Milestones!$M$2:$M$501),"")</f>
        <v/>
      </c>
      <c r="I200" s="4" t="str">
        <f t="shared" ca="1" si="12"/>
        <v/>
      </c>
      <c r="J200" s="4"/>
      <c r="K200" s="4" t="str">
        <f ca="1">IFERROR(_xludf.XLOOKUP(A200,Pracownicy!$A$2:$A$501,Pracownicy!$F$2:$F$501),"")</f>
        <v/>
      </c>
      <c r="L200" s="4"/>
      <c r="M200" s="4" t="str">
        <f t="shared" ca="1" si="13"/>
        <v/>
      </c>
      <c r="N200" s="4" t="str">
        <f t="shared" si="14"/>
        <v/>
      </c>
      <c r="O200" s="4" t="str">
        <f t="shared" ca="1" si="15"/>
        <v/>
      </c>
    </row>
    <row r="201" spans="1:15" x14ac:dyDescent="0.25">
      <c r="A201" s="4"/>
      <c r="B201" s="4" t="str">
        <f ca="1">IFERROR(_xludf.XLOOKUP(A201,Pracownicy!$A$2:$A$501,Pracownicy!$B$2:$B$501),"")</f>
        <v/>
      </c>
      <c r="C201" s="4"/>
      <c r="D201" s="4" t="str">
        <f ca="1">IFERROR(_xludf.XLOOKUP(C201,Milestones!$A$2:$A$501,Milestones!$B$2:$B$501),"")</f>
        <v/>
      </c>
      <c r="E201" s="4" t="str">
        <f ca="1">IFERROR(_xludf.XLOOKUP(D201,Projekty!$A$2:$A$501,Projekty!$B$2:$B$501),"")</f>
        <v/>
      </c>
      <c r="F201" s="4" t="str">
        <f ca="1">IFERROR(_xludf.XLOOKUP(C201,Milestones!$A$2:$A$501,Milestones!$C$2:$C$501),"")</f>
        <v/>
      </c>
      <c r="G201" s="4" t="str">
        <f ca="1">IFERROR(_xludf.XLOOKUP(C201,Milestones!$A$2:$A$501,Milestones!$F$2:$F$501),"")</f>
        <v/>
      </c>
      <c r="H201" s="4" t="str">
        <f ca="1">IFERROR(_xludf.XLOOKUP(C201,Milestones!$A$2:$A$501,Milestones!$M$2:$M$501),"")</f>
        <v/>
      </c>
      <c r="I201" s="4" t="str">
        <f t="shared" ca="1" si="12"/>
        <v/>
      </c>
      <c r="J201" s="4"/>
      <c r="K201" s="4" t="str">
        <f ca="1">IFERROR(_xludf.XLOOKUP(A201,Pracownicy!$A$2:$A$501,Pracownicy!$F$2:$F$501),"")</f>
        <v/>
      </c>
      <c r="L201" s="4"/>
      <c r="M201" s="4" t="str">
        <f t="shared" ca="1" si="13"/>
        <v/>
      </c>
      <c r="N201" s="4" t="str">
        <f t="shared" si="14"/>
        <v/>
      </c>
      <c r="O201" s="4" t="str">
        <f t="shared" ca="1" si="15"/>
        <v/>
      </c>
    </row>
    <row r="202" spans="1:15" x14ac:dyDescent="0.25">
      <c r="A202" s="4"/>
      <c r="B202" s="4" t="str">
        <f ca="1">IFERROR(_xludf.XLOOKUP(A202,Pracownicy!$A$2:$A$501,Pracownicy!$B$2:$B$501),"")</f>
        <v/>
      </c>
      <c r="C202" s="4"/>
      <c r="D202" s="4" t="str">
        <f ca="1">IFERROR(_xludf.XLOOKUP(C202,Milestones!$A$2:$A$501,Milestones!$B$2:$B$501),"")</f>
        <v/>
      </c>
      <c r="E202" s="4" t="str">
        <f ca="1">IFERROR(_xludf.XLOOKUP(D202,Projekty!$A$2:$A$501,Projekty!$B$2:$B$501),"")</f>
        <v/>
      </c>
      <c r="F202" s="4" t="str">
        <f ca="1">IFERROR(_xludf.XLOOKUP(C202,Milestones!$A$2:$A$501,Milestones!$C$2:$C$501),"")</f>
        <v/>
      </c>
      <c r="G202" s="4" t="str">
        <f ca="1">IFERROR(_xludf.XLOOKUP(C202,Milestones!$A$2:$A$501,Milestones!$F$2:$F$501),"")</f>
        <v/>
      </c>
      <c r="H202" s="4" t="str">
        <f ca="1">IFERROR(_xludf.XLOOKUP(C202,Milestones!$A$2:$A$501,Milestones!$M$2:$M$501),"")</f>
        <v/>
      </c>
      <c r="I202" s="4" t="str">
        <f t="shared" ca="1" si="12"/>
        <v/>
      </c>
      <c r="J202" s="4"/>
      <c r="K202" s="4" t="str">
        <f ca="1">IFERROR(_xludf.XLOOKUP(A202,Pracownicy!$A$2:$A$501,Pracownicy!$F$2:$F$501),"")</f>
        <v/>
      </c>
      <c r="L202" s="4"/>
      <c r="M202" s="4" t="str">
        <f t="shared" ca="1" si="13"/>
        <v/>
      </c>
      <c r="N202" s="4" t="str">
        <f t="shared" si="14"/>
        <v/>
      </c>
      <c r="O202" s="4" t="str">
        <f t="shared" ca="1" si="15"/>
        <v/>
      </c>
    </row>
    <row r="203" spans="1:15" x14ac:dyDescent="0.25">
      <c r="A203" s="4"/>
      <c r="B203" s="4" t="str">
        <f ca="1">IFERROR(_xludf.XLOOKUP(A203,Pracownicy!$A$2:$A$501,Pracownicy!$B$2:$B$501),"")</f>
        <v/>
      </c>
      <c r="C203" s="4"/>
      <c r="D203" s="4" t="str">
        <f ca="1">IFERROR(_xludf.XLOOKUP(C203,Milestones!$A$2:$A$501,Milestones!$B$2:$B$501),"")</f>
        <v/>
      </c>
      <c r="E203" s="4" t="str">
        <f ca="1">IFERROR(_xludf.XLOOKUP(D203,Projekty!$A$2:$A$501,Projekty!$B$2:$B$501),"")</f>
        <v/>
      </c>
      <c r="F203" s="4" t="str">
        <f ca="1">IFERROR(_xludf.XLOOKUP(C203,Milestones!$A$2:$A$501,Milestones!$C$2:$C$501),"")</f>
        <v/>
      </c>
      <c r="G203" s="4" t="str">
        <f ca="1">IFERROR(_xludf.XLOOKUP(C203,Milestones!$A$2:$A$501,Milestones!$F$2:$F$501),"")</f>
        <v/>
      </c>
      <c r="H203" s="4" t="str">
        <f ca="1">IFERROR(_xludf.XLOOKUP(C203,Milestones!$A$2:$A$501,Milestones!$M$2:$M$501),"")</f>
        <v/>
      </c>
      <c r="I203" s="4" t="str">
        <f t="shared" ca="1" si="12"/>
        <v/>
      </c>
      <c r="J203" s="4"/>
      <c r="K203" s="4" t="str">
        <f ca="1">IFERROR(_xludf.XLOOKUP(A203,Pracownicy!$A$2:$A$501,Pracownicy!$F$2:$F$501),"")</f>
        <v/>
      </c>
      <c r="L203" s="4"/>
      <c r="M203" s="4" t="str">
        <f t="shared" ca="1" si="13"/>
        <v/>
      </c>
      <c r="N203" s="4" t="str">
        <f t="shared" si="14"/>
        <v/>
      </c>
      <c r="O203" s="4" t="str">
        <f t="shared" ca="1" si="15"/>
        <v/>
      </c>
    </row>
    <row r="204" spans="1:15" x14ac:dyDescent="0.25">
      <c r="A204" s="4"/>
      <c r="B204" s="4" t="str">
        <f ca="1">IFERROR(_xludf.XLOOKUP(A204,Pracownicy!$A$2:$A$501,Pracownicy!$B$2:$B$501),"")</f>
        <v/>
      </c>
      <c r="C204" s="4"/>
      <c r="D204" s="4" t="str">
        <f ca="1">IFERROR(_xludf.XLOOKUP(C204,Milestones!$A$2:$A$501,Milestones!$B$2:$B$501),"")</f>
        <v/>
      </c>
      <c r="E204" s="4" t="str">
        <f ca="1">IFERROR(_xludf.XLOOKUP(D204,Projekty!$A$2:$A$501,Projekty!$B$2:$B$501),"")</f>
        <v/>
      </c>
      <c r="F204" s="4" t="str">
        <f ca="1">IFERROR(_xludf.XLOOKUP(C204,Milestones!$A$2:$A$501,Milestones!$C$2:$C$501),"")</f>
        <v/>
      </c>
      <c r="G204" s="4" t="str">
        <f ca="1">IFERROR(_xludf.XLOOKUP(C204,Milestones!$A$2:$A$501,Milestones!$F$2:$F$501),"")</f>
        <v/>
      </c>
      <c r="H204" s="4" t="str">
        <f ca="1">IFERROR(_xludf.XLOOKUP(C204,Milestones!$A$2:$A$501,Milestones!$M$2:$M$501),"")</f>
        <v/>
      </c>
      <c r="I204" s="4" t="str">
        <f t="shared" ca="1" si="12"/>
        <v/>
      </c>
      <c r="J204" s="4"/>
      <c r="K204" s="4" t="str">
        <f ca="1">IFERROR(_xludf.XLOOKUP(A204,Pracownicy!$A$2:$A$501,Pracownicy!$F$2:$F$501),"")</f>
        <v/>
      </c>
      <c r="L204" s="4"/>
      <c r="M204" s="4" t="str">
        <f t="shared" ca="1" si="13"/>
        <v/>
      </c>
      <c r="N204" s="4" t="str">
        <f t="shared" si="14"/>
        <v/>
      </c>
      <c r="O204" s="4" t="str">
        <f t="shared" ca="1" si="15"/>
        <v/>
      </c>
    </row>
    <row r="205" spans="1:15" x14ac:dyDescent="0.25">
      <c r="A205" s="4"/>
      <c r="B205" s="4" t="str">
        <f ca="1">IFERROR(_xludf.XLOOKUP(A205,Pracownicy!$A$2:$A$501,Pracownicy!$B$2:$B$501),"")</f>
        <v/>
      </c>
      <c r="C205" s="4"/>
      <c r="D205" s="4" t="str">
        <f ca="1">IFERROR(_xludf.XLOOKUP(C205,Milestones!$A$2:$A$501,Milestones!$B$2:$B$501),"")</f>
        <v/>
      </c>
      <c r="E205" s="4" t="str">
        <f ca="1">IFERROR(_xludf.XLOOKUP(D205,Projekty!$A$2:$A$501,Projekty!$B$2:$B$501),"")</f>
        <v/>
      </c>
      <c r="F205" s="4" t="str">
        <f ca="1">IFERROR(_xludf.XLOOKUP(C205,Milestones!$A$2:$A$501,Milestones!$C$2:$C$501),"")</f>
        <v/>
      </c>
      <c r="G205" s="4" t="str">
        <f ca="1">IFERROR(_xludf.XLOOKUP(C205,Milestones!$A$2:$A$501,Milestones!$F$2:$F$501),"")</f>
        <v/>
      </c>
      <c r="H205" s="4" t="str">
        <f ca="1">IFERROR(_xludf.XLOOKUP(C205,Milestones!$A$2:$A$501,Milestones!$M$2:$M$501),"")</f>
        <v/>
      </c>
      <c r="I205" s="4" t="str">
        <f t="shared" ca="1" si="12"/>
        <v/>
      </c>
      <c r="J205" s="4"/>
      <c r="K205" s="4" t="str">
        <f ca="1">IFERROR(_xludf.XLOOKUP(A205,Pracownicy!$A$2:$A$501,Pracownicy!$F$2:$F$501),"")</f>
        <v/>
      </c>
      <c r="L205" s="4"/>
      <c r="M205" s="4" t="str">
        <f t="shared" ca="1" si="13"/>
        <v/>
      </c>
      <c r="N205" s="4" t="str">
        <f t="shared" si="14"/>
        <v/>
      </c>
      <c r="O205" s="4" t="str">
        <f t="shared" ca="1" si="15"/>
        <v/>
      </c>
    </row>
    <row r="206" spans="1:15" x14ac:dyDescent="0.25">
      <c r="A206" s="4"/>
      <c r="B206" s="4" t="str">
        <f ca="1">IFERROR(_xludf.XLOOKUP(A206,Pracownicy!$A$2:$A$501,Pracownicy!$B$2:$B$501),"")</f>
        <v/>
      </c>
      <c r="C206" s="4"/>
      <c r="D206" s="4" t="str">
        <f ca="1">IFERROR(_xludf.XLOOKUP(C206,Milestones!$A$2:$A$501,Milestones!$B$2:$B$501),"")</f>
        <v/>
      </c>
      <c r="E206" s="4" t="str">
        <f ca="1">IFERROR(_xludf.XLOOKUP(D206,Projekty!$A$2:$A$501,Projekty!$B$2:$B$501),"")</f>
        <v/>
      </c>
      <c r="F206" s="4" t="str">
        <f ca="1">IFERROR(_xludf.XLOOKUP(C206,Milestones!$A$2:$A$501,Milestones!$C$2:$C$501),"")</f>
        <v/>
      </c>
      <c r="G206" s="4" t="str">
        <f ca="1">IFERROR(_xludf.XLOOKUP(C206,Milestones!$A$2:$A$501,Milestones!$F$2:$F$501),"")</f>
        <v/>
      </c>
      <c r="H206" s="4" t="str">
        <f ca="1">IFERROR(_xludf.XLOOKUP(C206,Milestones!$A$2:$A$501,Milestones!$M$2:$M$501),"")</f>
        <v/>
      </c>
      <c r="I206" s="4" t="str">
        <f t="shared" ca="1" si="12"/>
        <v/>
      </c>
      <c r="J206" s="4"/>
      <c r="K206" s="4" t="str">
        <f ca="1">IFERROR(_xludf.XLOOKUP(A206,Pracownicy!$A$2:$A$501,Pracownicy!$F$2:$F$501),"")</f>
        <v/>
      </c>
      <c r="L206" s="4"/>
      <c r="M206" s="4" t="str">
        <f t="shared" ca="1" si="13"/>
        <v/>
      </c>
      <c r="N206" s="4" t="str">
        <f t="shared" si="14"/>
        <v/>
      </c>
      <c r="O206" s="4" t="str">
        <f t="shared" ca="1" si="15"/>
        <v/>
      </c>
    </row>
    <row r="207" spans="1:15" x14ac:dyDescent="0.25">
      <c r="A207" s="4"/>
      <c r="B207" s="4" t="str">
        <f ca="1">IFERROR(_xludf.XLOOKUP(A207,Pracownicy!$A$2:$A$501,Pracownicy!$B$2:$B$501),"")</f>
        <v/>
      </c>
      <c r="C207" s="4"/>
      <c r="D207" s="4" t="str">
        <f ca="1">IFERROR(_xludf.XLOOKUP(C207,Milestones!$A$2:$A$501,Milestones!$B$2:$B$501),"")</f>
        <v/>
      </c>
      <c r="E207" s="4" t="str">
        <f ca="1">IFERROR(_xludf.XLOOKUP(D207,Projekty!$A$2:$A$501,Projekty!$B$2:$B$501),"")</f>
        <v/>
      </c>
      <c r="F207" s="4" t="str">
        <f ca="1">IFERROR(_xludf.XLOOKUP(C207,Milestones!$A$2:$A$501,Milestones!$C$2:$C$501),"")</f>
        <v/>
      </c>
      <c r="G207" s="4" t="str">
        <f ca="1">IFERROR(_xludf.XLOOKUP(C207,Milestones!$A$2:$A$501,Milestones!$F$2:$F$501),"")</f>
        <v/>
      </c>
      <c r="H207" s="4" t="str">
        <f ca="1">IFERROR(_xludf.XLOOKUP(C207,Milestones!$A$2:$A$501,Milestones!$M$2:$M$501),"")</f>
        <v/>
      </c>
      <c r="I207" s="4" t="str">
        <f t="shared" ca="1" si="12"/>
        <v/>
      </c>
      <c r="J207" s="4"/>
      <c r="K207" s="4" t="str">
        <f ca="1">IFERROR(_xludf.XLOOKUP(A207,Pracownicy!$A$2:$A$501,Pracownicy!$F$2:$F$501),"")</f>
        <v/>
      </c>
      <c r="L207" s="4"/>
      <c r="M207" s="4" t="str">
        <f t="shared" ca="1" si="13"/>
        <v/>
      </c>
      <c r="N207" s="4" t="str">
        <f t="shared" si="14"/>
        <v/>
      </c>
      <c r="O207" s="4" t="str">
        <f t="shared" ca="1" si="15"/>
        <v/>
      </c>
    </row>
    <row r="208" spans="1:15" x14ac:dyDescent="0.25">
      <c r="A208" s="4"/>
      <c r="B208" s="4" t="str">
        <f ca="1">IFERROR(_xludf.XLOOKUP(A208,Pracownicy!$A$2:$A$501,Pracownicy!$B$2:$B$501),"")</f>
        <v/>
      </c>
      <c r="C208" s="4"/>
      <c r="D208" s="4" t="str">
        <f ca="1">IFERROR(_xludf.XLOOKUP(C208,Milestones!$A$2:$A$501,Milestones!$B$2:$B$501),"")</f>
        <v/>
      </c>
      <c r="E208" s="4" t="str">
        <f ca="1">IFERROR(_xludf.XLOOKUP(D208,Projekty!$A$2:$A$501,Projekty!$B$2:$B$501),"")</f>
        <v/>
      </c>
      <c r="F208" s="4" t="str">
        <f ca="1">IFERROR(_xludf.XLOOKUP(C208,Milestones!$A$2:$A$501,Milestones!$C$2:$C$501),"")</f>
        <v/>
      </c>
      <c r="G208" s="4" t="str">
        <f ca="1">IFERROR(_xludf.XLOOKUP(C208,Milestones!$A$2:$A$501,Milestones!$F$2:$F$501),"")</f>
        <v/>
      </c>
      <c r="H208" s="4" t="str">
        <f ca="1">IFERROR(_xludf.XLOOKUP(C208,Milestones!$A$2:$A$501,Milestones!$M$2:$M$501),"")</f>
        <v/>
      </c>
      <c r="I208" s="4" t="str">
        <f t="shared" ca="1" si="12"/>
        <v/>
      </c>
      <c r="J208" s="4"/>
      <c r="K208" s="4" t="str">
        <f ca="1">IFERROR(_xludf.XLOOKUP(A208,Pracownicy!$A$2:$A$501,Pracownicy!$F$2:$F$501),"")</f>
        <v/>
      </c>
      <c r="L208" s="4"/>
      <c r="M208" s="4" t="str">
        <f t="shared" ca="1" si="13"/>
        <v/>
      </c>
      <c r="N208" s="4" t="str">
        <f t="shared" si="14"/>
        <v/>
      </c>
      <c r="O208" s="4" t="str">
        <f t="shared" ca="1" si="15"/>
        <v/>
      </c>
    </row>
    <row r="209" spans="1:15" x14ac:dyDescent="0.25">
      <c r="A209" s="4"/>
      <c r="B209" s="4" t="str">
        <f ca="1">IFERROR(_xludf.XLOOKUP(A209,Pracownicy!$A$2:$A$501,Pracownicy!$B$2:$B$501),"")</f>
        <v/>
      </c>
      <c r="C209" s="4"/>
      <c r="D209" s="4" t="str">
        <f ca="1">IFERROR(_xludf.XLOOKUP(C209,Milestones!$A$2:$A$501,Milestones!$B$2:$B$501),"")</f>
        <v/>
      </c>
      <c r="E209" s="4" t="str">
        <f ca="1">IFERROR(_xludf.XLOOKUP(D209,Projekty!$A$2:$A$501,Projekty!$B$2:$B$501),"")</f>
        <v/>
      </c>
      <c r="F209" s="4" t="str">
        <f ca="1">IFERROR(_xludf.XLOOKUP(C209,Milestones!$A$2:$A$501,Milestones!$C$2:$C$501),"")</f>
        <v/>
      </c>
      <c r="G209" s="4" t="str">
        <f ca="1">IFERROR(_xludf.XLOOKUP(C209,Milestones!$A$2:$A$501,Milestones!$F$2:$F$501),"")</f>
        <v/>
      </c>
      <c r="H209" s="4" t="str">
        <f ca="1">IFERROR(_xludf.XLOOKUP(C209,Milestones!$A$2:$A$501,Milestones!$M$2:$M$501),"")</f>
        <v/>
      </c>
      <c r="I209" s="4" t="str">
        <f t="shared" ca="1" si="12"/>
        <v/>
      </c>
      <c r="J209" s="4"/>
      <c r="K209" s="4" t="str">
        <f ca="1">IFERROR(_xludf.XLOOKUP(A209,Pracownicy!$A$2:$A$501,Pracownicy!$F$2:$F$501),"")</f>
        <v/>
      </c>
      <c r="L209" s="4"/>
      <c r="M209" s="4" t="str">
        <f t="shared" ca="1" si="13"/>
        <v/>
      </c>
      <c r="N209" s="4" t="str">
        <f t="shared" si="14"/>
        <v/>
      </c>
      <c r="O209" s="4" t="str">
        <f t="shared" ca="1" si="15"/>
        <v/>
      </c>
    </row>
    <row r="210" spans="1:15" x14ac:dyDescent="0.25">
      <c r="A210" s="4"/>
      <c r="B210" s="4" t="str">
        <f ca="1">IFERROR(_xludf.XLOOKUP(A210,Pracownicy!$A$2:$A$501,Pracownicy!$B$2:$B$501),"")</f>
        <v/>
      </c>
      <c r="C210" s="4"/>
      <c r="D210" s="4" t="str">
        <f ca="1">IFERROR(_xludf.XLOOKUP(C210,Milestones!$A$2:$A$501,Milestones!$B$2:$B$501),"")</f>
        <v/>
      </c>
      <c r="E210" s="4" t="str">
        <f ca="1">IFERROR(_xludf.XLOOKUP(D210,Projekty!$A$2:$A$501,Projekty!$B$2:$B$501),"")</f>
        <v/>
      </c>
      <c r="F210" s="4" t="str">
        <f ca="1">IFERROR(_xludf.XLOOKUP(C210,Milestones!$A$2:$A$501,Milestones!$C$2:$C$501),"")</f>
        <v/>
      </c>
      <c r="G210" s="4" t="str">
        <f ca="1">IFERROR(_xludf.XLOOKUP(C210,Milestones!$A$2:$A$501,Milestones!$F$2:$F$501),"")</f>
        <v/>
      </c>
      <c r="H210" s="4" t="str">
        <f ca="1">IFERROR(_xludf.XLOOKUP(C210,Milestones!$A$2:$A$501,Milestones!$M$2:$M$501),"")</f>
        <v/>
      </c>
      <c r="I210" s="4" t="str">
        <f t="shared" ca="1" si="12"/>
        <v/>
      </c>
      <c r="J210" s="4"/>
      <c r="K210" s="4" t="str">
        <f ca="1">IFERROR(_xludf.XLOOKUP(A210,Pracownicy!$A$2:$A$501,Pracownicy!$F$2:$F$501),"")</f>
        <v/>
      </c>
      <c r="L210" s="4"/>
      <c r="M210" s="4" t="str">
        <f t="shared" ca="1" si="13"/>
        <v/>
      </c>
      <c r="N210" s="4" t="str">
        <f t="shared" si="14"/>
        <v/>
      </c>
      <c r="O210" s="4" t="str">
        <f t="shared" ca="1" si="15"/>
        <v/>
      </c>
    </row>
    <row r="211" spans="1:15" x14ac:dyDescent="0.25">
      <c r="A211" s="4"/>
      <c r="B211" s="4" t="str">
        <f ca="1">IFERROR(_xludf.XLOOKUP(A211,Pracownicy!$A$2:$A$501,Pracownicy!$B$2:$B$501),"")</f>
        <v/>
      </c>
      <c r="C211" s="4"/>
      <c r="D211" s="4" t="str">
        <f ca="1">IFERROR(_xludf.XLOOKUP(C211,Milestones!$A$2:$A$501,Milestones!$B$2:$B$501),"")</f>
        <v/>
      </c>
      <c r="E211" s="4" t="str">
        <f ca="1">IFERROR(_xludf.XLOOKUP(D211,Projekty!$A$2:$A$501,Projekty!$B$2:$B$501),"")</f>
        <v/>
      </c>
      <c r="F211" s="4" t="str">
        <f ca="1">IFERROR(_xludf.XLOOKUP(C211,Milestones!$A$2:$A$501,Milestones!$C$2:$C$501),"")</f>
        <v/>
      </c>
      <c r="G211" s="4" t="str">
        <f ca="1">IFERROR(_xludf.XLOOKUP(C211,Milestones!$A$2:$A$501,Milestones!$F$2:$F$501),"")</f>
        <v/>
      </c>
      <c r="H211" s="4" t="str">
        <f ca="1">IFERROR(_xludf.XLOOKUP(C211,Milestones!$A$2:$A$501,Milestones!$M$2:$M$501),"")</f>
        <v/>
      </c>
      <c r="I211" s="4" t="str">
        <f t="shared" ca="1" si="12"/>
        <v/>
      </c>
      <c r="J211" s="4"/>
      <c r="K211" s="4" t="str">
        <f ca="1">IFERROR(_xludf.XLOOKUP(A211,Pracownicy!$A$2:$A$501,Pracownicy!$F$2:$F$501),"")</f>
        <v/>
      </c>
      <c r="L211" s="4"/>
      <c r="M211" s="4" t="str">
        <f t="shared" ca="1" si="13"/>
        <v/>
      </c>
      <c r="N211" s="4" t="str">
        <f t="shared" si="14"/>
        <v/>
      </c>
      <c r="O211" s="4" t="str">
        <f t="shared" ca="1" si="15"/>
        <v/>
      </c>
    </row>
    <row r="212" spans="1:15" x14ac:dyDescent="0.25">
      <c r="A212" s="4"/>
      <c r="B212" s="4" t="str">
        <f ca="1">IFERROR(_xludf.XLOOKUP(A212,Pracownicy!$A$2:$A$501,Pracownicy!$B$2:$B$501),"")</f>
        <v/>
      </c>
      <c r="C212" s="4"/>
      <c r="D212" s="4" t="str">
        <f ca="1">IFERROR(_xludf.XLOOKUP(C212,Milestones!$A$2:$A$501,Milestones!$B$2:$B$501),"")</f>
        <v/>
      </c>
      <c r="E212" s="4" t="str">
        <f ca="1">IFERROR(_xludf.XLOOKUP(D212,Projekty!$A$2:$A$501,Projekty!$B$2:$B$501),"")</f>
        <v/>
      </c>
      <c r="F212" s="4" t="str">
        <f ca="1">IFERROR(_xludf.XLOOKUP(C212,Milestones!$A$2:$A$501,Milestones!$C$2:$C$501),"")</f>
        <v/>
      </c>
      <c r="G212" s="4" t="str">
        <f ca="1">IFERROR(_xludf.XLOOKUP(C212,Milestones!$A$2:$A$501,Milestones!$F$2:$F$501),"")</f>
        <v/>
      </c>
      <c r="H212" s="4" t="str">
        <f ca="1">IFERROR(_xludf.XLOOKUP(C212,Milestones!$A$2:$A$501,Milestones!$M$2:$M$501),"")</f>
        <v/>
      </c>
      <c r="I212" s="4" t="str">
        <f t="shared" ca="1" si="12"/>
        <v/>
      </c>
      <c r="J212" s="4"/>
      <c r="K212" s="4" t="str">
        <f ca="1">IFERROR(_xludf.XLOOKUP(A212,Pracownicy!$A$2:$A$501,Pracownicy!$F$2:$F$501),"")</f>
        <v/>
      </c>
      <c r="L212" s="4"/>
      <c r="M212" s="4" t="str">
        <f t="shared" ca="1" si="13"/>
        <v/>
      </c>
      <c r="N212" s="4" t="str">
        <f t="shared" si="14"/>
        <v/>
      </c>
      <c r="O212" s="4" t="str">
        <f t="shared" ca="1" si="15"/>
        <v/>
      </c>
    </row>
    <row r="213" spans="1:15" x14ac:dyDescent="0.25">
      <c r="A213" s="4"/>
      <c r="B213" s="4" t="str">
        <f ca="1">IFERROR(_xludf.XLOOKUP(A213,Pracownicy!$A$2:$A$501,Pracownicy!$B$2:$B$501),"")</f>
        <v/>
      </c>
      <c r="C213" s="4"/>
      <c r="D213" s="4" t="str">
        <f ca="1">IFERROR(_xludf.XLOOKUP(C213,Milestones!$A$2:$A$501,Milestones!$B$2:$B$501),"")</f>
        <v/>
      </c>
      <c r="E213" s="4" t="str">
        <f ca="1">IFERROR(_xludf.XLOOKUP(D213,Projekty!$A$2:$A$501,Projekty!$B$2:$B$501),"")</f>
        <v/>
      </c>
      <c r="F213" s="4" t="str">
        <f ca="1">IFERROR(_xludf.XLOOKUP(C213,Milestones!$A$2:$A$501,Milestones!$C$2:$C$501),"")</f>
        <v/>
      </c>
      <c r="G213" s="4" t="str">
        <f ca="1">IFERROR(_xludf.XLOOKUP(C213,Milestones!$A$2:$A$501,Milestones!$F$2:$F$501),"")</f>
        <v/>
      </c>
      <c r="H213" s="4" t="str">
        <f ca="1">IFERROR(_xludf.XLOOKUP(C213,Milestones!$A$2:$A$501,Milestones!$M$2:$M$501),"")</f>
        <v/>
      </c>
      <c r="I213" s="4" t="str">
        <f t="shared" ca="1" si="12"/>
        <v/>
      </c>
      <c r="J213" s="4"/>
      <c r="K213" s="4" t="str">
        <f ca="1">IFERROR(_xludf.XLOOKUP(A213,Pracownicy!$A$2:$A$501,Pracownicy!$F$2:$F$501),"")</f>
        <v/>
      </c>
      <c r="L213" s="4"/>
      <c r="M213" s="4" t="str">
        <f t="shared" ca="1" si="13"/>
        <v/>
      </c>
      <c r="N213" s="4" t="str">
        <f t="shared" si="14"/>
        <v/>
      </c>
      <c r="O213" s="4" t="str">
        <f t="shared" ca="1" si="15"/>
        <v/>
      </c>
    </row>
    <row r="214" spans="1:15" x14ac:dyDescent="0.25">
      <c r="A214" s="4"/>
      <c r="B214" s="4" t="str">
        <f ca="1">IFERROR(_xludf.XLOOKUP(A214,Pracownicy!$A$2:$A$501,Pracownicy!$B$2:$B$501),"")</f>
        <v/>
      </c>
      <c r="C214" s="4"/>
      <c r="D214" s="4" t="str">
        <f ca="1">IFERROR(_xludf.XLOOKUP(C214,Milestones!$A$2:$A$501,Milestones!$B$2:$B$501),"")</f>
        <v/>
      </c>
      <c r="E214" s="4" t="str">
        <f ca="1">IFERROR(_xludf.XLOOKUP(D214,Projekty!$A$2:$A$501,Projekty!$B$2:$B$501),"")</f>
        <v/>
      </c>
      <c r="F214" s="4" t="str">
        <f ca="1">IFERROR(_xludf.XLOOKUP(C214,Milestones!$A$2:$A$501,Milestones!$C$2:$C$501),"")</f>
        <v/>
      </c>
      <c r="G214" s="4" t="str">
        <f ca="1">IFERROR(_xludf.XLOOKUP(C214,Milestones!$A$2:$A$501,Milestones!$F$2:$F$501),"")</f>
        <v/>
      </c>
      <c r="H214" s="4" t="str">
        <f ca="1">IFERROR(_xludf.XLOOKUP(C214,Milestones!$A$2:$A$501,Milestones!$M$2:$M$501),"")</f>
        <v/>
      </c>
      <c r="I214" s="4" t="str">
        <f t="shared" ca="1" si="12"/>
        <v/>
      </c>
      <c r="J214" s="4"/>
      <c r="K214" s="4" t="str">
        <f ca="1">IFERROR(_xludf.XLOOKUP(A214,Pracownicy!$A$2:$A$501,Pracownicy!$F$2:$F$501),"")</f>
        <v/>
      </c>
      <c r="L214" s="4"/>
      <c r="M214" s="4" t="str">
        <f t="shared" ca="1" si="13"/>
        <v/>
      </c>
      <c r="N214" s="4" t="str">
        <f t="shared" si="14"/>
        <v/>
      </c>
      <c r="O214" s="4" t="str">
        <f t="shared" ca="1" si="15"/>
        <v/>
      </c>
    </row>
    <row r="215" spans="1:15" x14ac:dyDescent="0.25">
      <c r="A215" s="4"/>
      <c r="B215" s="4" t="str">
        <f ca="1">IFERROR(_xludf.XLOOKUP(A215,Pracownicy!$A$2:$A$501,Pracownicy!$B$2:$B$501),"")</f>
        <v/>
      </c>
      <c r="C215" s="4"/>
      <c r="D215" s="4" t="str">
        <f ca="1">IFERROR(_xludf.XLOOKUP(C215,Milestones!$A$2:$A$501,Milestones!$B$2:$B$501),"")</f>
        <v/>
      </c>
      <c r="E215" s="4" t="str">
        <f ca="1">IFERROR(_xludf.XLOOKUP(D215,Projekty!$A$2:$A$501,Projekty!$B$2:$B$501),"")</f>
        <v/>
      </c>
      <c r="F215" s="4" t="str">
        <f ca="1">IFERROR(_xludf.XLOOKUP(C215,Milestones!$A$2:$A$501,Milestones!$C$2:$C$501),"")</f>
        <v/>
      </c>
      <c r="G215" s="4" t="str">
        <f ca="1">IFERROR(_xludf.XLOOKUP(C215,Milestones!$A$2:$A$501,Milestones!$F$2:$F$501),"")</f>
        <v/>
      </c>
      <c r="H215" s="4" t="str">
        <f ca="1">IFERROR(_xludf.XLOOKUP(C215,Milestones!$A$2:$A$501,Milestones!$M$2:$M$501),"")</f>
        <v/>
      </c>
      <c r="I215" s="4" t="str">
        <f t="shared" ca="1" si="12"/>
        <v/>
      </c>
      <c r="J215" s="4"/>
      <c r="K215" s="4" t="str">
        <f ca="1">IFERROR(_xludf.XLOOKUP(A215,Pracownicy!$A$2:$A$501,Pracownicy!$F$2:$F$501),"")</f>
        <v/>
      </c>
      <c r="L215" s="4"/>
      <c r="M215" s="4" t="str">
        <f t="shared" ca="1" si="13"/>
        <v/>
      </c>
      <c r="N215" s="4" t="str">
        <f t="shared" si="14"/>
        <v/>
      </c>
      <c r="O215" s="4" t="str">
        <f t="shared" ca="1" si="15"/>
        <v/>
      </c>
    </row>
    <row r="216" spans="1:15" x14ac:dyDescent="0.25">
      <c r="A216" s="4"/>
      <c r="B216" s="4" t="str">
        <f ca="1">IFERROR(_xludf.XLOOKUP(A216,Pracownicy!$A$2:$A$501,Pracownicy!$B$2:$B$501),"")</f>
        <v/>
      </c>
      <c r="C216" s="4"/>
      <c r="D216" s="4" t="str">
        <f ca="1">IFERROR(_xludf.XLOOKUP(C216,Milestones!$A$2:$A$501,Milestones!$B$2:$B$501),"")</f>
        <v/>
      </c>
      <c r="E216" s="4" t="str">
        <f ca="1">IFERROR(_xludf.XLOOKUP(D216,Projekty!$A$2:$A$501,Projekty!$B$2:$B$501),"")</f>
        <v/>
      </c>
      <c r="F216" s="4" t="str">
        <f ca="1">IFERROR(_xludf.XLOOKUP(C216,Milestones!$A$2:$A$501,Milestones!$C$2:$C$501),"")</f>
        <v/>
      </c>
      <c r="G216" s="4" t="str">
        <f ca="1">IFERROR(_xludf.XLOOKUP(C216,Milestones!$A$2:$A$501,Milestones!$F$2:$F$501),"")</f>
        <v/>
      </c>
      <c r="H216" s="4" t="str">
        <f ca="1">IFERROR(_xludf.XLOOKUP(C216,Milestones!$A$2:$A$501,Milestones!$M$2:$M$501),"")</f>
        <v/>
      </c>
      <c r="I216" s="4" t="str">
        <f t="shared" ca="1" si="12"/>
        <v/>
      </c>
      <c r="J216" s="4"/>
      <c r="K216" s="4" t="str">
        <f ca="1">IFERROR(_xludf.XLOOKUP(A216,Pracownicy!$A$2:$A$501,Pracownicy!$F$2:$F$501),"")</f>
        <v/>
      </c>
      <c r="L216" s="4"/>
      <c r="M216" s="4" t="str">
        <f t="shared" ca="1" si="13"/>
        <v/>
      </c>
      <c r="N216" s="4" t="str">
        <f t="shared" si="14"/>
        <v/>
      </c>
      <c r="O216" s="4" t="str">
        <f t="shared" ca="1" si="15"/>
        <v/>
      </c>
    </row>
    <row r="217" spans="1:15" x14ac:dyDescent="0.25">
      <c r="A217" s="4"/>
      <c r="B217" s="4" t="str">
        <f ca="1">IFERROR(_xludf.XLOOKUP(A217,Pracownicy!$A$2:$A$501,Pracownicy!$B$2:$B$501),"")</f>
        <v/>
      </c>
      <c r="C217" s="4"/>
      <c r="D217" s="4" t="str">
        <f ca="1">IFERROR(_xludf.XLOOKUP(C217,Milestones!$A$2:$A$501,Milestones!$B$2:$B$501),"")</f>
        <v/>
      </c>
      <c r="E217" s="4" t="str">
        <f ca="1">IFERROR(_xludf.XLOOKUP(D217,Projekty!$A$2:$A$501,Projekty!$B$2:$B$501),"")</f>
        <v/>
      </c>
      <c r="F217" s="4" t="str">
        <f ca="1">IFERROR(_xludf.XLOOKUP(C217,Milestones!$A$2:$A$501,Milestones!$C$2:$C$501),"")</f>
        <v/>
      </c>
      <c r="G217" s="4" t="str">
        <f ca="1">IFERROR(_xludf.XLOOKUP(C217,Milestones!$A$2:$A$501,Milestones!$F$2:$F$501),"")</f>
        <v/>
      </c>
      <c r="H217" s="4" t="str">
        <f ca="1">IFERROR(_xludf.XLOOKUP(C217,Milestones!$A$2:$A$501,Milestones!$M$2:$M$501),"")</f>
        <v/>
      </c>
      <c r="I217" s="4" t="str">
        <f t="shared" ca="1" si="12"/>
        <v/>
      </c>
      <c r="J217" s="4"/>
      <c r="K217" s="4" t="str">
        <f ca="1">IFERROR(_xludf.XLOOKUP(A217,Pracownicy!$A$2:$A$501,Pracownicy!$F$2:$F$501),"")</f>
        <v/>
      </c>
      <c r="L217" s="4"/>
      <c r="M217" s="4" t="str">
        <f t="shared" ca="1" si="13"/>
        <v/>
      </c>
      <c r="N217" s="4" t="str">
        <f t="shared" si="14"/>
        <v/>
      </c>
      <c r="O217" s="4" t="str">
        <f t="shared" ca="1" si="15"/>
        <v/>
      </c>
    </row>
    <row r="218" spans="1:15" x14ac:dyDescent="0.25">
      <c r="A218" s="4"/>
      <c r="B218" s="4" t="str">
        <f ca="1">IFERROR(_xludf.XLOOKUP(A218,Pracownicy!$A$2:$A$501,Pracownicy!$B$2:$B$501),"")</f>
        <v/>
      </c>
      <c r="C218" s="4"/>
      <c r="D218" s="4" t="str">
        <f ca="1">IFERROR(_xludf.XLOOKUP(C218,Milestones!$A$2:$A$501,Milestones!$B$2:$B$501),"")</f>
        <v/>
      </c>
      <c r="E218" s="4" t="str">
        <f ca="1">IFERROR(_xludf.XLOOKUP(D218,Projekty!$A$2:$A$501,Projekty!$B$2:$B$501),"")</f>
        <v/>
      </c>
      <c r="F218" s="4" t="str">
        <f ca="1">IFERROR(_xludf.XLOOKUP(C218,Milestones!$A$2:$A$501,Milestones!$C$2:$C$501),"")</f>
        <v/>
      </c>
      <c r="G218" s="4" t="str">
        <f ca="1">IFERROR(_xludf.XLOOKUP(C218,Milestones!$A$2:$A$501,Milestones!$F$2:$F$501),"")</f>
        <v/>
      </c>
      <c r="H218" s="4" t="str">
        <f ca="1">IFERROR(_xludf.XLOOKUP(C218,Milestones!$A$2:$A$501,Milestones!$M$2:$M$501),"")</f>
        <v/>
      </c>
      <c r="I218" s="4" t="str">
        <f t="shared" ca="1" si="12"/>
        <v/>
      </c>
      <c r="J218" s="4"/>
      <c r="K218" s="4" t="str">
        <f ca="1">IFERROR(_xludf.XLOOKUP(A218,Pracownicy!$A$2:$A$501,Pracownicy!$F$2:$F$501),"")</f>
        <v/>
      </c>
      <c r="L218" s="4"/>
      <c r="M218" s="4" t="str">
        <f t="shared" ca="1" si="13"/>
        <v/>
      </c>
      <c r="N218" s="4" t="str">
        <f t="shared" si="14"/>
        <v/>
      </c>
      <c r="O218" s="4" t="str">
        <f t="shared" ca="1" si="15"/>
        <v/>
      </c>
    </row>
    <row r="219" spans="1:15" x14ac:dyDescent="0.25">
      <c r="A219" s="4"/>
      <c r="B219" s="4" t="str">
        <f ca="1">IFERROR(_xludf.XLOOKUP(A219,Pracownicy!$A$2:$A$501,Pracownicy!$B$2:$B$501),"")</f>
        <v/>
      </c>
      <c r="C219" s="4"/>
      <c r="D219" s="4" t="str">
        <f ca="1">IFERROR(_xludf.XLOOKUP(C219,Milestones!$A$2:$A$501,Milestones!$B$2:$B$501),"")</f>
        <v/>
      </c>
      <c r="E219" s="4" t="str">
        <f ca="1">IFERROR(_xludf.XLOOKUP(D219,Projekty!$A$2:$A$501,Projekty!$B$2:$B$501),"")</f>
        <v/>
      </c>
      <c r="F219" s="4" t="str">
        <f ca="1">IFERROR(_xludf.XLOOKUP(C219,Milestones!$A$2:$A$501,Milestones!$C$2:$C$501),"")</f>
        <v/>
      </c>
      <c r="G219" s="4" t="str">
        <f ca="1">IFERROR(_xludf.XLOOKUP(C219,Milestones!$A$2:$A$501,Milestones!$F$2:$F$501),"")</f>
        <v/>
      </c>
      <c r="H219" s="4" t="str">
        <f ca="1">IFERROR(_xludf.XLOOKUP(C219,Milestones!$A$2:$A$501,Milestones!$M$2:$M$501),"")</f>
        <v/>
      </c>
      <c r="I219" s="4" t="str">
        <f t="shared" ca="1" si="12"/>
        <v/>
      </c>
      <c r="J219" s="4"/>
      <c r="K219" s="4" t="str">
        <f ca="1">IFERROR(_xludf.XLOOKUP(A219,Pracownicy!$A$2:$A$501,Pracownicy!$F$2:$F$501),"")</f>
        <v/>
      </c>
      <c r="L219" s="4"/>
      <c r="M219" s="4" t="str">
        <f t="shared" ca="1" si="13"/>
        <v/>
      </c>
      <c r="N219" s="4" t="str">
        <f t="shared" si="14"/>
        <v/>
      </c>
      <c r="O219" s="4" t="str">
        <f t="shared" ca="1" si="15"/>
        <v/>
      </c>
    </row>
    <row r="220" spans="1:15" x14ac:dyDescent="0.25">
      <c r="A220" s="4"/>
      <c r="B220" s="4" t="str">
        <f ca="1">IFERROR(_xludf.XLOOKUP(A220,Pracownicy!$A$2:$A$501,Pracownicy!$B$2:$B$501),"")</f>
        <v/>
      </c>
      <c r="C220" s="4"/>
      <c r="D220" s="4" t="str">
        <f ca="1">IFERROR(_xludf.XLOOKUP(C220,Milestones!$A$2:$A$501,Milestones!$B$2:$B$501),"")</f>
        <v/>
      </c>
      <c r="E220" s="4" t="str">
        <f ca="1">IFERROR(_xludf.XLOOKUP(D220,Projekty!$A$2:$A$501,Projekty!$B$2:$B$501),"")</f>
        <v/>
      </c>
      <c r="F220" s="4" t="str">
        <f ca="1">IFERROR(_xludf.XLOOKUP(C220,Milestones!$A$2:$A$501,Milestones!$C$2:$C$501),"")</f>
        <v/>
      </c>
      <c r="G220" s="4" t="str">
        <f ca="1">IFERROR(_xludf.XLOOKUP(C220,Milestones!$A$2:$A$501,Milestones!$F$2:$F$501),"")</f>
        <v/>
      </c>
      <c r="H220" s="4" t="str">
        <f ca="1">IFERROR(_xludf.XLOOKUP(C220,Milestones!$A$2:$A$501,Milestones!$M$2:$M$501),"")</f>
        <v/>
      </c>
      <c r="I220" s="4" t="str">
        <f t="shared" ca="1" si="12"/>
        <v/>
      </c>
      <c r="J220" s="4"/>
      <c r="K220" s="4" t="str">
        <f ca="1">IFERROR(_xludf.XLOOKUP(A220,Pracownicy!$A$2:$A$501,Pracownicy!$F$2:$F$501),"")</f>
        <v/>
      </c>
      <c r="L220" s="4"/>
      <c r="M220" s="4" t="str">
        <f t="shared" ca="1" si="13"/>
        <v/>
      </c>
      <c r="N220" s="4" t="str">
        <f t="shared" si="14"/>
        <v/>
      </c>
      <c r="O220" s="4" t="str">
        <f t="shared" ca="1" si="15"/>
        <v/>
      </c>
    </row>
    <row r="221" spans="1:15" x14ac:dyDescent="0.25">
      <c r="A221" s="4"/>
      <c r="B221" s="4" t="str">
        <f ca="1">IFERROR(_xludf.XLOOKUP(A221,Pracownicy!$A$2:$A$501,Pracownicy!$B$2:$B$501),"")</f>
        <v/>
      </c>
      <c r="C221" s="4"/>
      <c r="D221" s="4" t="str">
        <f ca="1">IFERROR(_xludf.XLOOKUP(C221,Milestones!$A$2:$A$501,Milestones!$B$2:$B$501),"")</f>
        <v/>
      </c>
      <c r="E221" s="4" t="str">
        <f ca="1">IFERROR(_xludf.XLOOKUP(D221,Projekty!$A$2:$A$501,Projekty!$B$2:$B$501),"")</f>
        <v/>
      </c>
      <c r="F221" s="4" t="str">
        <f ca="1">IFERROR(_xludf.XLOOKUP(C221,Milestones!$A$2:$A$501,Milestones!$C$2:$C$501),"")</f>
        <v/>
      </c>
      <c r="G221" s="4" t="str">
        <f ca="1">IFERROR(_xludf.XLOOKUP(C221,Milestones!$A$2:$A$501,Milestones!$F$2:$F$501),"")</f>
        <v/>
      </c>
      <c r="H221" s="4" t="str">
        <f ca="1">IFERROR(_xludf.XLOOKUP(C221,Milestones!$A$2:$A$501,Milestones!$M$2:$M$501),"")</f>
        <v/>
      </c>
      <c r="I221" s="4" t="str">
        <f t="shared" ca="1" si="12"/>
        <v/>
      </c>
      <c r="J221" s="4"/>
      <c r="K221" s="4" t="str">
        <f ca="1">IFERROR(_xludf.XLOOKUP(A221,Pracownicy!$A$2:$A$501,Pracownicy!$F$2:$F$501),"")</f>
        <v/>
      </c>
      <c r="L221" s="4"/>
      <c r="M221" s="4" t="str">
        <f t="shared" ca="1" si="13"/>
        <v/>
      </c>
      <c r="N221" s="4" t="str">
        <f t="shared" si="14"/>
        <v/>
      </c>
      <c r="O221" s="4" t="str">
        <f t="shared" ca="1" si="15"/>
        <v/>
      </c>
    </row>
    <row r="222" spans="1:15" x14ac:dyDescent="0.25">
      <c r="A222" s="4"/>
      <c r="B222" s="4" t="str">
        <f ca="1">IFERROR(_xludf.XLOOKUP(A222,Pracownicy!$A$2:$A$501,Pracownicy!$B$2:$B$501),"")</f>
        <v/>
      </c>
      <c r="C222" s="4"/>
      <c r="D222" s="4" t="str">
        <f ca="1">IFERROR(_xludf.XLOOKUP(C222,Milestones!$A$2:$A$501,Milestones!$B$2:$B$501),"")</f>
        <v/>
      </c>
      <c r="E222" s="4" t="str">
        <f ca="1">IFERROR(_xludf.XLOOKUP(D222,Projekty!$A$2:$A$501,Projekty!$B$2:$B$501),"")</f>
        <v/>
      </c>
      <c r="F222" s="4" t="str">
        <f ca="1">IFERROR(_xludf.XLOOKUP(C222,Milestones!$A$2:$A$501,Milestones!$C$2:$C$501),"")</f>
        <v/>
      </c>
      <c r="G222" s="4" t="str">
        <f ca="1">IFERROR(_xludf.XLOOKUP(C222,Milestones!$A$2:$A$501,Milestones!$F$2:$F$501),"")</f>
        <v/>
      </c>
      <c r="H222" s="4" t="str">
        <f ca="1">IFERROR(_xludf.XLOOKUP(C222,Milestones!$A$2:$A$501,Milestones!$M$2:$M$501),"")</f>
        <v/>
      </c>
      <c r="I222" s="4" t="str">
        <f t="shared" ca="1" si="12"/>
        <v/>
      </c>
      <c r="J222" s="4"/>
      <c r="K222" s="4" t="str">
        <f ca="1">IFERROR(_xludf.XLOOKUP(A222,Pracownicy!$A$2:$A$501,Pracownicy!$F$2:$F$501),"")</f>
        <v/>
      </c>
      <c r="L222" s="4"/>
      <c r="M222" s="4" t="str">
        <f t="shared" ca="1" si="13"/>
        <v/>
      </c>
      <c r="N222" s="4" t="str">
        <f t="shared" si="14"/>
        <v/>
      </c>
      <c r="O222" s="4" t="str">
        <f t="shared" ca="1" si="15"/>
        <v/>
      </c>
    </row>
    <row r="223" spans="1:15" x14ac:dyDescent="0.25">
      <c r="A223" s="4"/>
      <c r="B223" s="4" t="str">
        <f ca="1">IFERROR(_xludf.XLOOKUP(A223,Pracownicy!$A$2:$A$501,Pracownicy!$B$2:$B$501),"")</f>
        <v/>
      </c>
      <c r="C223" s="4"/>
      <c r="D223" s="4" t="str">
        <f ca="1">IFERROR(_xludf.XLOOKUP(C223,Milestones!$A$2:$A$501,Milestones!$B$2:$B$501),"")</f>
        <v/>
      </c>
      <c r="E223" s="4" t="str">
        <f ca="1">IFERROR(_xludf.XLOOKUP(D223,Projekty!$A$2:$A$501,Projekty!$B$2:$B$501),"")</f>
        <v/>
      </c>
      <c r="F223" s="4" t="str">
        <f ca="1">IFERROR(_xludf.XLOOKUP(C223,Milestones!$A$2:$A$501,Milestones!$C$2:$C$501),"")</f>
        <v/>
      </c>
      <c r="G223" s="4" t="str">
        <f ca="1">IFERROR(_xludf.XLOOKUP(C223,Milestones!$A$2:$A$501,Milestones!$F$2:$F$501),"")</f>
        <v/>
      </c>
      <c r="H223" s="4" t="str">
        <f ca="1">IFERROR(_xludf.XLOOKUP(C223,Milestones!$A$2:$A$501,Milestones!$M$2:$M$501),"")</f>
        <v/>
      </c>
      <c r="I223" s="4" t="str">
        <f t="shared" ca="1" si="12"/>
        <v/>
      </c>
      <c r="J223" s="4"/>
      <c r="K223" s="4" t="str">
        <f ca="1">IFERROR(_xludf.XLOOKUP(A223,Pracownicy!$A$2:$A$501,Pracownicy!$F$2:$F$501),"")</f>
        <v/>
      </c>
      <c r="L223" s="4"/>
      <c r="M223" s="4" t="str">
        <f t="shared" ca="1" si="13"/>
        <v/>
      </c>
      <c r="N223" s="4" t="str">
        <f t="shared" si="14"/>
        <v/>
      </c>
      <c r="O223" s="4" t="str">
        <f t="shared" ca="1" si="15"/>
        <v/>
      </c>
    </row>
    <row r="224" spans="1:15" x14ac:dyDescent="0.25">
      <c r="A224" s="4"/>
      <c r="B224" s="4" t="str">
        <f ca="1">IFERROR(_xludf.XLOOKUP(A224,Pracownicy!$A$2:$A$501,Pracownicy!$B$2:$B$501),"")</f>
        <v/>
      </c>
      <c r="C224" s="4"/>
      <c r="D224" s="4" t="str">
        <f ca="1">IFERROR(_xludf.XLOOKUP(C224,Milestones!$A$2:$A$501,Milestones!$B$2:$B$501),"")</f>
        <v/>
      </c>
      <c r="E224" s="4" t="str">
        <f ca="1">IFERROR(_xludf.XLOOKUP(D224,Projekty!$A$2:$A$501,Projekty!$B$2:$B$501),"")</f>
        <v/>
      </c>
      <c r="F224" s="4" t="str">
        <f ca="1">IFERROR(_xludf.XLOOKUP(C224,Milestones!$A$2:$A$501,Milestones!$C$2:$C$501),"")</f>
        <v/>
      </c>
      <c r="G224" s="4" t="str">
        <f ca="1">IFERROR(_xludf.XLOOKUP(C224,Milestones!$A$2:$A$501,Milestones!$F$2:$F$501),"")</f>
        <v/>
      </c>
      <c r="H224" s="4" t="str">
        <f ca="1">IFERROR(_xludf.XLOOKUP(C224,Milestones!$A$2:$A$501,Milestones!$M$2:$M$501),"")</f>
        <v/>
      </c>
      <c r="I224" s="4" t="str">
        <f t="shared" ca="1" si="12"/>
        <v/>
      </c>
      <c r="J224" s="4"/>
      <c r="K224" s="4" t="str">
        <f ca="1">IFERROR(_xludf.XLOOKUP(A224,Pracownicy!$A$2:$A$501,Pracownicy!$F$2:$F$501),"")</f>
        <v/>
      </c>
      <c r="L224" s="4"/>
      <c r="M224" s="4" t="str">
        <f t="shared" ca="1" si="13"/>
        <v/>
      </c>
      <c r="N224" s="4" t="str">
        <f t="shared" si="14"/>
        <v/>
      </c>
      <c r="O224" s="4" t="str">
        <f t="shared" ca="1" si="15"/>
        <v/>
      </c>
    </row>
    <row r="225" spans="1:15" x14ac:dyDescent="0.25">
      <c r="A225" s="4"/>
      <c r="B225" s="4" t="str">
        <f ca="1">IFERROR(_xludf.XLOOKUP(A225,Pracownicy!$A$2:$A$501,Pracownicy!$B$2:$B$501),"")</f>
        <v/>
      </c>
      <c r="C225" s="4"/>
      <c r="D225" s="4" t="str">
        <f ca="1">IFERROR(_xludf.XLOOKUP(C225,Milestones!$A$2:$A$501,Milestones!$B$2:$B$501),"")</f>
        <v/>
      </c>
      <c r="E225" s="4" t="str">
        <f ca="1">IFERROR(_xludf.XLOOKUP(D225,Projekty!$A$2:$A$501,Projekty!$B$2:$B$501),"")</f>
        <v/>
      </c>
      <c r="F225" s="4" t="str">
        <f ca="1">IFERROR(_xludf.XLOOKUP(C225,Milestones!$A$2:$A$501,Milestones!$C$2:$C$501),"")</f>
        <v/>
      </c>
      <c r="G225" s="4" t="str">
        <f ca="1">IFERROR(_xludf.XLOOKUP(C225,Milestones!$A$2:$A$501,Milestones!$F$2:$F$501),"")</f>
        <v/>
      </c>
      <c r="H225" s="4" t="str">
        <f ca="1">IFERROR(_xludf.XLOOKUP(C225,Milestones!$A$2:$A$501,Milestones!$M$2:$M$501),"")</f>
        <v/>
      </c>
      <c r="I225" s="4" t="str">
        <f t="shared" ca="1" si="12"/>
        <v/>
      </c>
      <c r="J225" s="4"/>
      <c r="K225" s="4" t="str">
        <f ca="1">IFERROR(_xludf.XLOOKUP(A225,Pracownicy!$A$2:$A$501,Pracownicy!$F$2:$F$501),"")</f>
        <v/>
      </c>
      <c r="L225" s="4"/>
      <c r="M225" s="4" t="str">
        <f t="shared" ca="1" si="13"/>
        <v/>
      </c>
      <c r="N225" s="4" t="str">
        <f t="shared" si="14"/>
        <v/>
      </c>
      <c r="O225" s="4" t="str">
        <f t="shared" ca="1" si="15"/>
        <v/>
      </c>
    </row>
    <row r="226" spans="1:15" x14ac:dyDescent="0.25">
      <c r="A226" s="4"/>
      <c r="B226" s="4" t="str">
        <f ca="1">IFERROR(_xludf.XLOOKUP(A226,Pracownicy!$A$2:$A$501,Pracownicy!$B$2:$B$501),"")</f>
        <v/>
      </c>
      <c r="C226" s="4"/>
      <c r="D226" s="4" t="str">
        <f ca="1">IFERROR(_xludf.XLOOKUP(C226,Milestones!$A$2:$A$501,Milestones!$B$2:$B$501),"")</f>
        <v/>
      </c>
      <c r="E226" s="4" t="str">
        <f ca="1">IFERROR(_xludf.XLOOKUP(D226,Projekty!$A$2:$A$501,Projekty!$B$2:$B$501),"")</f>
        <v/>
      </c>
      <c r="F226" s="4" t="str">
        <f ca="1">IFERROR(_xludf.XLOOKUP(C226,Milestones!$A$2:$A$501,Milestones!$C$2:$C$501),"")</f>
        <v/>
      </c>
      <c r="G226" s="4" t="str">
        <f ca="1">IFERROR(_xludf.XLOOKUP(C226,Milestones!$A$2:$A$501,Milestones!$F$2:$F$501),"")</f>
        <v/>
      </c>
      <c r="H226" s="4" t="str">
        <f ca="1">IFERROR(_xludf.XLOOKUP(C226,Milestones!$A$2:$A$501,Milestones!$M$2:$M$501),"")</f>
        <v/>
      </c>
      <c r="I226" s="4" t="str">
        <f t="shared" ca="1" si="12"/>
        <v/>
      </c>
      <c r="J226" s="4"/>
      <c r="K226" s="4" t="str">
        <f ca="1">IFERROR(_xludf.XLOOKUP(A226,Pracownicy!$A$2:$A$501,Pracownicy!$F$2:$F$501),"")</f>
        <v/>
      </c>
      <c r="L226" s="4"/>
      <c r="M226" s="4" t="str">
        <f t="shared" ca="1" si="13"/>
        <v/>
      </c>
      <c r="N226" s="4" t="str">
        <f t="shared" si="14"/>
        <v/>
      </c>
      <c r="O226" s="4" t="str">
        <f t="shared" ca="1" si="15"/>
        <v/>
      </c>
    </row>
    <row r="227" spans="1:15" x14ac:dyDescent="0.25">
      <c r="A227" s="4"/>
      <c r="B227" s="4" t="str">
        <f ca="1">IFERROR(_xludf.XLOOKUP(A227,Pracownicy!$A$2:$A$501,Pracownicy!$B$2:$B$501),"")</f>
        <v/>
      </c>
      <c r="C227" s="4"/>
      <c r="D227" s="4" t="str">
        <f ca="1">IFERROR(_xludf.XLOOKUP(C227,Milestones!$A$2:$A$501,Milestones!$B$2:$B$501),"")</f>
        <v/>
      </c>
      <c r="E227" s="4" t="str">
        <f ca="1">IFERROR(_xludf.XLOOKUP(D227,Projekty!$A$2:$A$501,Projekty!$B$2:$B$501),"")</f>
        <v/>
      </c>
      <c r="F227" s="4" t="str">
        <f ca="1">IFERROR(_xludf.XLOOKUP(C227,Milestones!$A$2:$A$501,Milestones!$C$2:$C$501),"")</f>
        <v/>
      </c>
      <c r="G227" s="4" t="str">
        <f ca="1">IFERROR(_xludf.XLOOKUP(C227,Milestones!$A$2:$A$501,Milestones!$F$2:$F$501),"")</f>
        <v/>
      </c>
      <c r="H227" s="4" t="str">
        <f ca="1">IFERROR(_xludf.XLOOKUP(C227,Milestones!$A$2:$A$501,Milestones!$M$2:$M$501),"")</f>
        <v/>
      </c>
      <c r="I227" s="4" t="str">
        <f t="shared" ca="1" si="12"/>
        <v/>
      </c>
      <c r="J227" s="4"/>
      <c r="K227" s="4" t="str">
        <f ca="1">IFERROR(_xludf.XLOOKUP(A227,Pracownicy!$A$2:$A$501,Pracownicy!$F$2:$F$501),"")</f>
        <v/>
      </c>
      <c r="L227" s="4"/>
      <c r="M227" s="4" t="str">
        <f t="shared" ca="1" si="13"/>
        <v/>
      </c>
      <c r="N227" s="4" t="str">
        <f t="shared" si="14"/>
        <v/>
      </c>
      <c r="O227" s="4" t="str">
        <f t="shared" ca="1" si="15"/>
        <v/>
      </c>
    </row>
    <row r="228" spans="1:15" x14ac:dyDescent="0.25">
      <c r="A228" s="4"/>
      <c r="B228" s="4" t="str">
        <f ca="1">IFERROR(_xludf.XLOOKUP(A228,Pracownicy!$A$2:$A$501,Pracownicy!$B$2:$B$501),"")</f>
        <v/>
      </c>
      <c r="C228" s="4"/>
      <c r="D228" s="4" t="str">
        <f ca="1">IFERROR(_xludf.XLOOKUP(C228,Milestones!$A$2:$A$501,Milestones!$B$2:$B$501),"")</f>
        <v/>
      </c>
      <c r="E228" s="4" t="str">
        <f ca="1">IFERROR(_xludf.XLOOKUP(D228,Projekty!$A$2:$A$501,Projekty!$B$2:$B$501),"")</f>
        <v/>
      </c>
      <c r="F228" s="4" t="str">
        <f ca="1">IFERROR(_xludf.XLOOKUP(C228,Milestones!$A$2:$A$501,Milestones!$C$2:$C$501),"")</f>
        <v/>
      </c>
      <c r="G228" s="4" t="str">
        <f ca="1">IFERROR(_xludf.XLOOKUP(C228,Milestones!$A$2:$A$501,Milestones!$F$2:$F$501),"")</f>
        <v/>
      </c>
      <c r="H228" s="4" t="str">
        <f ca="1">IFERROR(_xludf.XLOOKUP(C228,Milestones!$A$2:$A$501,Milestones!$M$2:$M$501),"")</f>
        <v/>
      </c>
      <c r="I228" s="4" t="str">
        <f t="shared" ca="1" si="12"/>
        <v/>
      </c>
      <c r="J228" s="4"/>
      <c r="K228" s="4" t="str">
        <f ca="1">IFERROR(_xludf.XLOOKUP(A228,Pracownicy!$A$2:$A$501,Pracownicy!$F$2:$F$501),"")</f>
        <v/>
      </c>
      <c r="L228" s="4"/>
      <c r="M228" s="4" t="str">
        <f t="shared" ca="1" si="13"/>
        <v/>
      </c>
      <c r="N228" s="4" t="str">
        <f t="shared" si="14"/>
        <v/>
      </c>
      <c r="O228" s="4" t="str">
        <f t="shared" ca="1" si="15"/>
        <v/>
      </c>
    </row>
    <row r="229" spans="1:15" x14ac:dyDescent="0.25">
      <c r="A229" s="4"/>
      <c r="B229" s="4" t="str">
        <f ca="1">IFERROR(_xludf.XLOOKUP(A229,Pracownicy!$A$2:$A$501,Pracownicy!$B$2:$B$501),"")</f>
        <v/>
      </c>
      <c r="C229" s="4"/>
      <c r="D229" s="4" t="str">
        <f ca="1">IFERROR(_xludf.XLOOKUP(C229,Milestones!$A$2:$A$501,Milestones!$B$2:$B$501),"")</f>
        <v/>
      </c>
      <c r="E229" s="4" t="str">
        <f ca="1">IFERROR(_xludf.XLOOKUP(D229,Projekty!$A$2:$A$501,Projekty!$B$2:$B$501),"")</f>
        <v/>
      </c>
      <c r="F229" s="4" t="str">
        <f ca="1">IFERROR(_xludf.XLOOKUP(C229,Milestones!$A$2:$A$501,Milestones!$C$2:$C$501),"")</f>
        <v/>
      </c>
      <c r="G229" s="4" t="str">
        <f ca="1">IFERROR(_xludf.XLOOKUP(C229,Milestones!$A$2:$A$501,Milestones!$F$2:$F$501),"")</f>
        <v/>
      </c>
      <c r="H229" s="4" t="str">
        <f ca="1">IFERROR(_xludf.XLOOKUP(C229,Milestones!$A$2:$A$501,Milestones!$M$2:$M$501),"")</f>
        <v/>
      </c>
      <c r="I229" s="4" t="str">
        <f t="shared" ca="1" si="12"/>
        <v/>
      </c>
      <c r="J229" s="4"/>
      <c r="K229" s="4" t="str">
        <f ca="1">IFERROR(_xludf.XLOOKUP(A229,Pracownicy!$A$2:$A$501,Pracownicy!$F$2:$F$501),"")</f>
        <v/>
      </c>
      <c r="L229" s="4"/>
      <c r="M229" s="4" t="str">
        <f t="shared" ca="1" si="13"/>
        <v/>
      </c>
      <c r="N229" s="4" t="str">
        <f t="shared" si="14"/>
        <v/>
      </c>
      <c r="O229" s="4" t="str">
        <f t="shared" ca="1" si="15"/>
        <v/>
      </c>
    </row>
    <row r="230" spans="1:15" x14ac:dyDescent="0.25">
      <c r="A230" s="4"/>
      <c r="B230" s="4" t="str">
        <f ca="1">IFERROR(_xludf.XLOOKUP(A230,Pracownicy!$A$2:$A$501,Pracownicy!$B$2:$B$501),"")</f>
        <v/>
      </c>
      <c r="C230" s="4"/>
      <c r="D230" s="4" t="str">
        <f ca="1">IFERROR(_xludf.XLOOKUP(C230,Milestones!$A$2:$A$501,Milestones!$B$2:$B$501),"")</f>
        <v/>
      </c>
      <c r="E230" s="4" t="str">
        <f ca="1">IFERROR(_xludf.XLOOKUP(D230,Projekty!$A$2:$A$501,Projekty!$B$2:$B$501),"")</f>
        <v/>
      </c>
      <c r="F230" s="4" t="str">
        <f ca="1">IFERROR(_xludf.XLOOKUP(C230,Milestones!$A$2:$A$501,Milestones!$C$2:$C$501),"")</f>
        <v/>
      </c>
      <c r="G230" s="4" t="str">
        <f ca="1">IFERROR(_xludf.XLOOKUP(C230,Milestones!$A$2:$A$501,Milestones!$F$2:$F$501),"")</f>
        <v/>
      </c>
      <c r="H230" s="4" t="str">
        <f ca="1">IFERROR(_xludf.XLOOKUP(C230,Milestones!$A$2:$A$501,Milestones!$M$2:$M$501),"")</f>
        <v/>
      </c>
      <c r="I230" s="4" t="str">
        <f t="shared" ca="1" si="12"/>
        <v/>
      </c>
      <c r="J230" s="4"/>
      <c r="K230" s="4" t="str">
        <f ca="1">IFERROR(_xludf.XLOOKUP(A230,Pracownicy!$A$2:$A$501,Pracownicy!$F$2:$F$501),"")</f>
        <v/>
      </c>
      <c r="L230" s="4"/>
      <c r="M230" s="4" t="str">
        <f t="shared" ca="1" si="13"/>
        <v/>
      </c>
      <c r="N230" s="4" t="str">
        <f t="shared" si="14"/>
        <v/>
      </c>
      <c r="O230" s="4" t="str">
        <f t="shared" ca="1" si="15"/>
        <v/>
      </c>
    </row>
    <row r="231" spans="1:15" x14ac:dyDescent="0.25">
      <c r="A231" s="4"/>
      <c r="B231" s="4" t="str">
        <f ca="1">IFERROR(_xludf.XLOOKUP(A231,Pracownicy!$A$2:$A$501,Pracownicy!$B$2:$B$501),"")</f>
        <v/>
      </c>
      <c r="C231" s="4"/>
      <c r="D231" s="4" t="str">
        <f ca="1">IFERROR(_xludf.XLOOKUP(C231,Milestones!$A$2:$A$501,Milestones!$B$2:$B$501),"")</f>
        <v/>
      </c>
      <c r="E231" s="4" t="str">
        <f ca="1">IFERROR(_xludf.XLOOKUP(D231,Projekty!$A$2:$A$501,Projekty!$B$2:$B$501),"")</f>
        <v/>
      </c>
      <c r="F231" s="4" t="str">
        <f ca="1">IFERROR(_xludf.XLOOKUP(C231,Milestones!$A$2:$A$501,Milestones!$C$2:$C$501),"")</f>
        <v/>
      </c>
      <c r="G231" s="4" t="str">
        <f ca="1">IFERROR(_xludf.XLOOKUP(C231,Milestones!$A$2:$A$501,Milestones!$F$2:$F$501),"")</f>
        <v/>
      </c>
      <c r="H231" s="4" t="str">
        <f ca="1">IFERROR(_xludf.XLOOKUP(C231,Milestones!$A$2:$A$501,Milestones!$M$2:$M$501),"")</f>
        <v/>
      </c>
      <c r="I231" s="4" t="str">
        <f t="shared" ca="1" si="12"/>
        <v/>
      </c>
      <c r="J231" s="4"/>
      <c r="K231" s="4" t="str">
        <f ca="1">IFERROR(_xludf.XLOOKUP(A231,Pracownicy!$A$2:$A$501,Pracownicy!$F$2:$F$501),"")</f>
        <v/>
      </c>
      <c r="L231" s="4"/>
      <c r="M231" s="4" t="str">
        <f t="shared" ca="1" si="13"/>
        <v/>
      </c>
      <c r="N231" s="4" t="str">
        <f t="shared" si="14"/>
        <v/>
      </c>
      <c r="O231" s="4" t="str">
        <f t="shared" ca="1" si="15"/>
        <v/>
      </c>
    </row>
    <row r="232" spans="1:15" x14ac:dyDescent="0.25">
      <c r="A232" s="4"/>
      <c r="B232" s="4" t="str">
        <f ca="1">IFERROR(_xludf.XLOOKUP(A232,Pracownicy!$A$2:$A$501,Pracownicy!$B$2:$B$501),"")</f>
        <v/>
      </c>
      <c r="C232" s="4"/>
      <c r="D232" s="4" t="str">
        <f ca="1">IFERROR(_xludf.XLOOKUP(C232,Milestones!$A$2:$A$501,Milestones!$B$2:$B$501),"")</f>
        <v/>
      </c>
      <c r="E232" s="4" t="str">
        <f ca="1">IFERROR(_xludf.XLOOKUP(D232,Projekty!$A$2:$A$501,Projekty!$B$2:$B$501),"")</f>
        <v/>
      </c>
      <c r="F232" s="4" t="str">
        <f ca="1">IFERROR(_xludf.XLOOKUP(C232,Milestones!$A$2:$A$501,Milestones!$C$2:$C$501),"")</f>
        <v/>
      </c>
      <c r="G232" s="4" t="str">
        <f ca="1">IFERROR(_xludf.XLOOKUP(C232,Milestones!$A$2:$A$501,Milestones!$F$2:$F$501),"")</f>
        <v/>
      </c>
      <c r="H232" s="4" t="str">
        <f ca="1">IFERROR(_xludf.XLOOKUP(C232,Milestones!$A$2:$A$501,Milestones!$M$2:$M$501),"")</f>
        <v/>
      </c>
      <c r="I232" s="4" t="str">
        <f t="shared" ca="1" si="12"/>
        <v/>
      </c>
      <c r="J232" s="4"/>
      <c r="K232" s="4" t="str">
        <f ca="1">IFERROR(_xludf.XLOOKUP(A232,Pracownicy!$A$2:$A$501,Pracownicy!$F$2:$F$501),"")</f>
        <v/>
      </c>
      <c r="L232" s="4"/>
      <c r="M232" s="4" t="str">
        <f t="shared" ca="1" si="13"/>
        <v/>
      </c>
      <c r="N232" s="4" t="str">
        <f t="shared" si="14"/>
        <v/>
      </c>
      <c r="O232" s="4" t="str">
        <f t="shared" ca="1" si="15"/>
        <v/>
      </c>
    </row>
    <row r="233" spans="1:15" x14ac:dyDescent="0.25">
      <c r="A233" s="4"/>
      <c r="B233" s="4" t="str">
        <f ca="1">IFERROR(_xludf.XLOOKUP(A233,Pracownicy!$A$2:$A$501,Pracownicy!$B$2:$B$501),"")</f>
        <v/>
      </c>
      <c r="C233" s="4"/>
      <c r="D233" s="4" t="str">
        <f ca="1">IFERROR(_xludf.XLOOKUP(C233,Milestones!$A$2:$A$501,Milestones!$B$2:$B$501),"")</f>
        <v/>
      </c>
      <c r="E233" s="4" t="str">
        <f ca="1">IFERROR(_xludf.XLOOKUP(D233,Projekty!$A$2:$A$501,Projekty!$B$2:$B$501),"")</f>
        <v/>
      </c>
      <c r="F233" s="4" t="str">
        <f ca="1">IFERROR(_xludf.XLOOKUP(C233,Milestones!$A$2:$A$501,Milestones!$C$2:$C$501),"")</f>
        <v/>
      </c>
      <c r="G233" s="4" t="str">
        <f ca="1">IFERROR(_xludf.XLOOKUP(C233,Milestones!$A$2:$A$501,Milestones!$F$2:$F$501),"")</f>
        <v/>
      </c>
      <c r="H233" s="4" t="str">
        <f ca="1">IFERROR(_xludf.XLOOKUP(C233,Milestones!$A$2:$A$501,Milestones!$M$2:$M$501),"")</f>
        <v/>
      </c>
      <c r="I233" s="4" t="str">
        <f t="shared" ca="1" si="12"/>
        <v/>
      </c>
      <c r="J233" s="4"/>
      <c r="K233" s="4" t="str">
        <f ca="1">IFERROR(_xludf.XLOOKUP(A233,Pracownicy!$A$2:$A$501,Pracownicy!$F$2:$F$501),"")</f>
        <v/>
      </c>
      <c r="L233" s="4"/>
      <c r="M233" s="4" t="str">
        <f t="shared" ca="1" si="13"/>
        <v/>
      </c>
      <c r="N233" s="4" t="str">
        <f t="shared" si="14"/>
        <v/>
      </c>
      <c r="O233" s="4" t="str">
        <f t="shared" ca="1" si="15"/>
        <v/>
      </c>
    </row>
    <row r="234" spans="1:15" x14ac:dyDescent="0.25">
      <c r="A234" s="4"/>
      <c r="B234" s="4" t="str">
        <f ca="1">IFERROR(_xludf.XLOOKUP(A234,Pracownicy!$A$2:$A$501,Pracownicy!$B$2:$B$501),"")</f>
        <v/>
      </c>
      <c r="C234" s="4"/>
      <c r="D234" s="4" t="str">
        <f ca="1">IFERROR(_xludf.XLOOKUP(C234,Milestones!$A$2:$A$501,Milestones!$B$2:$B$501),"")</f>
        <v/>
      </c>
      <c r="E234" s="4" t="str">
        <f ca="1">IFERROR(_xludf.XLOOKUP(D234,Projekty!$A$2:$A$501,Projekty!$B$2:$B$501),"")</f>
        <v/>
      </c>
      <c r="F234" s="4" t="str">
        <f ca="1">IFERROR(_xludf.XLOOKUP(C234,Milestones!$A$2:$A$501,Milestones!$C$2:$C$501),"")</f>
        <v/>
      </c>
      <c r="G234" s="4" t="str">
        <f ca="1">IFERROR(_xludf.XLOOKUP(C234,Milestones!$A$2:$A$501,Milestones!$F$2:$F$501),"")</f>
        <v/>
      </c>
      <c r="H234" s="4" t="str">
        <f ca="1">IFERROR(_xludf.XLOOKUP(C234,Milestones!$A$2:$A$501,Milestones!$M$2:$M$501),"")</f>
        <v/>
      </c>
      <c r="I234" s="4" t="str">
        <f t="shared" ca="1" si="12"/>
        <v/>
      </c>
      <c r="J234" s="4"/>
      <c r="K234" s="4" t="str">
        <f ca="1">IFERROR(_xludf.XLOOKUP(A234,Pracownicy!$A$2:$A$501,Pracownicy!$F$2:$F$501),"")</f>
        <v/>
      </c>
      <c r="L234" s="4"/>
      <c r="M234" s="4" t="str">
        <f t="shared" ca="1" si="13"/>
        <v/>
      </c>
      <c r="N234" s="4" t="str">
        <f t="shared" si="14"/>
        <v/>
      </c>
      <c r="O234" s="4" t="str">
        <f t="shared" ca="1" si="15"/>
        <v/>
      </c>
    </row>
    <row r="235" spans="1:15" x14ac:dyDescent="0.25">
      <c r="A235" s="4"/>
      <c r="B235" s="4" t="str">
        <f ca="1">IFERROR(_xludf.XLOOKUP(A235,Pracownicy!$A$2:$A$501,Pracownicy!$B$2:$B$501),"")</f>
        <v/>
      </c>
      <c r="C235" s="4"/>
      <c r="D235" s="4" t="str">
        <f ca="1">IFERROR(_xludf.XLOOKUP(C235,Milestones!$A$2:$A$501,Milestones!$B$2:$B$501),"")</f>
        <v/>
      </c>
      <c r="E235" s="4" t="str">
        <f ca="1">IFERROR(_xludf.XLOOKUP(D235,Projekty!$A$2:$A$501,Projekty!$B$2:$B$501),"")</f>
        <v/>
      </c>
      <c r="F235" s="4" t="str">
        <f ca="1">IFERROR(_xludf.XLOOKUP(C235,Milestones!$A$2:$A$501,Milestones!$C$2:$C$501),"")</f>
        <v/>
      </c>
      <c r="G235" s="4" t="str">
        <f ca="1">IFERROR(_xludf.XLOOKUP(C235,Milestones!$A$2:$A$501,Milestones!$F$2:$F$501),"")</f>
        <v/>
      </c>
      <c r="H235" s="4" t="str">
        <f ca="1">IFERROR(_xludf.XLOOKUP(C235,Milestones!$A$2:$A$501,Milestones!$M$2:$M$501),"")</f>
        <v/>
      </c>
      <c r="I235" s="4" t="str">
        <f t="shared" ca="1" si="12"/>
        <v/>
      </c>
      <c r="J235" s="4"/>
      <c r="K235" s="4" t="str">
        <f ca="1">IFERROR(_xludf.XLOOKUP(A235,Pracownicy!$A$2:$A$501,Pracownicy!$F$2:$F$501),"")</f>
        <v/>
      </c>
      <c r="L235" s="4"/>
      <c r="M235" s="4" t="str">
        <f t="shared" ca="1" si="13"/>
        <v/>
      </c>
      <c r="N235" s="4" t="str">
        <f t="shared" si="14"/>
        <v/>
      </c>
      <c r="O235" s="4" t="str">
        <f t="shared" ca="1" si="15"/>
        <v/>
      </c>
    </row>
    <row r="236" spans="1:15" x14ac:dyDescent="0.25">
      <c r="A236" s="4"/>
      <c r="B236" s="4" t="str">
        <f ca="1">IFERROR(_xludf.XLOOKUP(A236,Pracownicy!$A$2:$A$501,Pracownicy!$B$2:$B$501),"")</f>
        <v/>
      </c>
      <c r="C236" s="4"/>
      <c r="D236" s="4" t="str">
        <f ca="1">IFERROR(_xludf.XLOOKUP(C236,Milestones!$A$2:$A$501,Milestones!$B$2:$B$501),"")</f>
        <v/>
      </c>
      <c r="E236" s="4" t="str">
        <f ca="1">IFERROR(_xludf.XLOOKUP(D236,Projekty!$A$2:$A$501,Projekty!$B$2:$B$501),"")</f>
        <v/>
      </c>
      <c r="F236" s="4" t="str">
        <f ca="1">IFERROR(_xludf.XLOOKUP(C236,Milestones!$A$2:$A$501,Milestones!$C$2:$C$501),"")</f>
        <v/>
      </c>
      <c r="G236" s="4" t="str">
        <f ca="1">IFERROR(_xludf.XLOOKUP(C236,Milestones!$A$2:$A$501,Milestones!$F$2:$F$501),"")</f>
        <v/>
      </c>
      <c r="H236" s="4" t="str">
        <f ca="1">IFERROR(_xludf.XLOOKUP(C236,Milestones!$A$2:$A$501,Milestones!$M$2:$M$501),"")</f>
        <v/>
      </c>
      <c r="I236" s="4" t="str">
        <f t="shared" ca="1" si="12"/>
        <v/>
      </c>
      <c r="J236" s="4"/>
      <c r="K236" s="4" t="str">
        <f ca="1">IFERROR(_xludf.XLOOKUP(A236,Pracownicy!$A$2:$A$501,Pracownicy!$F$2:$F$501),"")</f>
        <v/>
      </c>
      <c r="L236" s="4"/>
      <c r="M236" s="4" t="str">
        <f t="shared" ca="1" si="13"/>
        <v/>
      </c>
      <c r="N236" s="4" t="str">
        <f t="shared" si="14"/>
        <v/>
      </c>
      <c r="O236" s="4" t="str">
        <f t="shared" ca="1" si="15"/>
        <v/>
      </c>
    </row>
    <row r="237" spans="1:15" x14ac:dyDescent="0.25">
      <c r="A237" s="4"/>
      <c r="B237" s="4" t="str">
        <f ca="1">IFERROR(_xludf.XLOOKUP(A237,Pracownicy!$A$2:$A$501,Pracownicy!$B$2:$B$501),"")</f>
        <v/>
      </c>
      <c r="C237" s="4"/>
      <c r="D237" s="4" t="str">
        <f ca="1">IFERROR(_xludf.XLOOKUP(C237,Milestones!$A$2:$A$501,Milestones!$B$2:$B$501),"")</f>
        <v/>
      </c>
      <c r="E237" s="4" t="str">
        <f ca="1">IFERROR(_xludf.XLOOKUP(D237,Projekty!$A$2:$A$501,Projekty!$B$2:$B$501),"")</f>
        <v/>
      </c>
      <c r="F237" s="4" t="str">
        <f ca="1">IFERROR(_xludf.XLOOKUP(C237,Milestones!$A$2:$A$501,Milestones!$C$2:$C$501),"")</f>
        <v/>
      </c>
      <c r="G237" s="4" t="str">
        <f ca="1">IFERROR(_xludf.XLOOKUP(C237,Milestones!$A$2:$A$501,Milestones!$F$2:$F$501),"")</f>
        <v/>
      </c>
      <c r="H237" s="4" t="str">
        <f ca="1">IFERROR(_xludf.XLOOKUP(C237,Milestones!$A$2:$A$501,Milestones!$M$2:$M$501),"")</f>
        <v/>
      </c>
      <c r="I237" s="4" t="str">
        <f t="shared" ca="1" si="12"/>
        <v/>
      </c>
      <c r="J237" s="4"/>
      <c r="K237" s="4" t="str">
        <f ca="1">IFERROR(_xludf.XLOOKUP(A237,Pracownicy!$A$2:$A$501,Pracownicy!$F$2:$F$501),"")</f>
        <v/>
      </c>
      <c r="L237" s="4"/>
      <c r="M237" s="4" t="str">
        <f t="shared" ca="1" si="13"/>
        <v/>
      </c>
      <c r="N237" s="4" t="str">
        <f t="shared" si="14"/>
        <v/>
      </c>
      <c r="O237" s="4" t="str">
        <f t="shared" ca="1" si="15"/>
        <v/>
      </c>
    </row>
    <row r="238" spans="1:15" x14ac:dyDescent="0.25">
      <c r="A238" s="4"/>
      <c r="B238" s="4" t="str">
        <f ca="1">IFERROR(_xludf.XLOOKUP(A238,Pracownicy!$A$2:$A$501,Pracownicy!$B$2:$B$501),"")</f>
        <v/>
      </c>
      <c r="C238" s="4"/>
      <c r="D238" s="4" t="str">
        <f ca="1">IFERROR(_xludf.XLOOKUP(C238,Milestones!$A$2:$A$501,Milestones!$B$2:$B$501),"")</f>
        <v/>
      </c>
      <c r="E238" s="4" t="str">
        <f ca="1">IFERROR(_xludf.XLOOKUP(D238,Projekty!$A$2:$A$501,Projekty!$B$2:$B$501),"")</f>
        <v/>
      </c>
      <c r="F238" s="4" t="str">
        <f ca="1">IFERROR(_xludf.XLOOKUP(C238,Milestones!$A$2:$A$501,Milestones!$C$2:$C$501),"")</f>
        <v/>
      </c>
      <c r="G238" s="4" t="str">
        <f ca="1">IFERROR(_xludf.XLOOKUP(C238,Milestones!$A$2:$A$501,Milestones!$F$2:$F$501),"")</f>
        <v/>
      </c>
      <c r="H238" s="4" t="str">
        <f ca="1">IFERROR(_xludf.XLOOKUP(C238,Milestones!$A$2:$A$501,Milestones!$M$2:$M$501),"")</f>
        <v/>
      </c>
      <c r="I238" s="4" t="str">
        <f t="shared" ca="1" si="12"/>
        <v/>
      </c>
      <c r="J238" s="4"/>
      <c r="K238" s="4" t="str">
        <f ca="1">IFERROR(_xludf.XLOOKUP(A238,Pracownicy!$A$2:$A$501,Pracownicy!$F$2:$F$501),"")</f>
        <v/>
      </c>
      <c r="L238" s="4"/>
      <c r="M238" s="4" t="str">
        <f t="shared" ca="1" si="13"/>
        <v/>
      </c>
      <c r="N238" s="4" t="str">
        <f t="shared" si="14"/>
        <v/>
      </c>
      <c r="O238" s="4" t="str">
        <f t="shared" ca="1" si="15"/>
        <v/>
      </c>
    </row>
    <row r="239" spans="1:15" x14ac:dyDescent="0.25">
      <c r="A239" s="4"/>
      <c r="B239" s="4" t="str">
        <f ca="1">IFERROR(_xludf.XLOOKUP(A239,Pracownicy!$A$2:$A$501,Pracownicy!$B$2:$B$501),"")</f>
        <v/>
      </c>
      <c r="C239" s="4"/>
      <c r="D239" s="4" t="str">
        <f ca="1">IFERROR(_xludf.XLOOKUP(C239,Milestones!$A$2:$A$501,Milestones!$B$2:$B$501),"")</f>
        <v/>
      </c>
      <c r="E239" s="4" t="str">
        <f ca="1">IFERROR(_xludf.XLOOKUP(D239,Projekty!$A$2:$A$501,Projekty!$B$2:$B$501),"")</f>
        <v/>
      </c>
      <c r="F239" s="4" t="str">
        <f ca="1">IFERROR(_xludf.XLOOKUP(C239,Milestones!$A$2:$A$501,Milestones!$C$2:$C$501),"")</f>
        <v/>
      </c>
      <c r="G239" s="4" t="str">
        <f ca="1">IFERROR(_xludf.XLOOKUP(C239,Milestones!$A$2:$A$501,Milestones!$F$2:$F$501),"")</f>
        <v/>
      </c>
      <c r="H239" s="4" t="str">
        <f ca="1">IFERROR(_xludf.XLOOKUP(C239,Milestones!$A$2:$A$501,Milestones!$M$2:$M$501),"")</f>
        <v/>
      </c>
      <c r="I239" s="4" t="str">
        <f t="shared" ca="1" si="12"/>
        <v/>
      </c>
      <c r="J239" s="4"/>
      <c r="K239" s="4" t="str">
        <f ca="1">IFERROR(_xludf.XLOOKUP(A239,Pracownicy!$A$2:$A$501,Pracownicy!$F$2:$F$501),"")</f>
        <v/>
      </c>
      <c r="L239" s="4"/>
      <c r="M239" s="4" t="str">
        <f t="shared" ca="1" si="13"/>
        <v/>
      </c>
      <c r="N239" s="4" t="str">
        <f t="shared" si="14"/>
        <v/>
      </c>
      <c r="O239" s="4" t="str">
        <f t="shared" ca="1" si="15"/>
        <v/>
      </c>
    </row>
    <row r="240" spans="1:15" x14ac:dyDescent="0.25">
      <c r="A240" s="4"/>
      <c r="B240" s="4" t="str">
        <f ca="1">IFERROR(_xludf.XLOOKUP(A240,Pracownicy!$A$2:$A$501,Pracownicy!$B$2:$B$501),"")</f>
        <v/>
      </c>
      <c r="C240" s="4"/>
      <c r="D240" s="4" t="str">
        <f ca="1">IFERROR(_xludf.XLOOKUP(C240,Milestones!$A$2:$A$501,Milestones!$B$2:$B$501),"")</f>
        <v/>
      </c>
      <c r="E240" s="4" t="str">
        <f ca="1">IFERROR(_xludf.XLOOKUP(D240,Projekty!$A$2:$A$501,Projekty!$B$2:$B$501),"")</f>
        <v/>
      </c>
      <c r="F240" s="4" t="str">
        <f ca="1">IFERROR(_xludf.XLOOKUP(C240,Milestones!$A$2:$A$501,Milestones!$C$2:$C$501),"")</f>
        <v/>
      </c>
      <c r="G240" s="4" t="str">
        <f ca="1">IFERROR(_xludf.XLOOKUP(C240,Milestones!$A$2:$A$501,Milestones!$F$2:$F$501),"")</f>
        <v/>
      </c>
      <c r="H240" s="4" t="str">
        <f ca="1">IFERROR(_xludf.XLOOKUP(C240,Milestones!$A$2:$A$501,Milestones!$M$2:$M$501),"")</f>
        <v/>
      </c>
      <c r="I240" s="4" t="str">
        <f t="shared" ca="1" si="12"/>
        <v/>
      </c>
      <c r="J240" s="4"/>
      <c r="K240" s="4" t="str">
        <f ca="1">IFERROR(_xludf.XLOOKUP(A240,Pracownicy!$A$2:$A$501,Pracownicy!$F$2:$F$501),"")</f>
        <v/>
      </c>
      <c r="L240" s="4"/>
      <c r="M240" s="4" t="str">
        <f t="shared" ca="1" si="13"/>
        <v/>
      </c>
      <c r="N240" s="4" t="str">
        <f t="shared" si="14"/>
        <v/>
      </c>
      <c r="O240" s="4" t="str">
        <f t="shared" ca="1" si="15"/>
        <v/>
      </c>
    </row>
    <row r="241" spans="1:15" x14ac:dyDescent="0.25">
      <c r="A241" s="4"/>
      <c r="B241" s="4" t="str">
        <f ca="1">IFERROR(_xludf.XLOOKUP(A241,Pracownicy!$A$2:$A$501,Pracownicy!$B$2:$B$501),"")</f>
        <v/>
      </c>
      <c r="C241" s="4"/>
      <c r="D241" s="4" t="str">
        <f ca="1">IFERROR(_xludf.XLOOKUP(C241,Milestones!$A$2:$A$501,Milestones!$B$2:$B$501),"")</f>
        <v/>
      </c>
      <c r="E241" s="4" t="str">
        <f ca="1">IFERROR(_xludf.XLOOKUP(D241,Projekty!$A$2:$A$501,Projekty!$B$2:$B$501),"")</f>
        <v/>
      </c>
      <c r="F241" s="4" t="str">
        <f ca="1">IFERROR(_xludf.XLOOKUP(C241,Milestones!$A$2:$A$501,Milestones!$C$2:$C$501),"")</f>
        <v/>
      </c>
      <c r="G241" s="4" t="str">
        <f ca="1">IFERROR(_xludf.XLOOKUP(C241,Milestones!$A$2:$A$501,Milestones!$F$2:$F$501),"")</f>
        <v/>
      </c>
      <c r="H241" s="4" t="str">
        <f ca="1">IFERROR(_xludf.XLOOKUP(C241,Milestones!$A$2:$A$501,Milestones!$M$2:$M$501),"")</f>
        <v/>
      </c>
      <c r="I241" s="4" t="str">
        <f t="shared" ca="1" si="12"/>
        <v/>
      </c>
      <c r="J241" s="4"/>
      <c r="K241" s="4" t="str">
        <f ca="1">IFERROR(_xludf.XLOOKUP(A241,Pracownicy!$A$2:$A$501,Pracownicy!$F$2:$F$501),"")</f>
        <v/>
      </c>
      <c r="L241" s="4"/>
      <c r="M241" s="4" t="str">
        <f t="shared" ca="1" si="13"/>
        <v/>
      </c>
      <c r="N241" s="4" t="str">
        <f t="shared" si="14"/>
        <v/>
      </c>
      <c r="O241" s="4" t="str">
        <f t="shared" ca="1" si="15"/>
        <v/>
      </c>
    </row>
    <row r="242" spans="1:15" x14ac:dyDescent="0.25">
      <c r="A242" s="4"/>
      <c r="B242" s="4" t="str">
        <f ca="1">IFERROR(_xludf.XLOOKUP(A242,Pracownicy!$A$2:$A$501,Pracownicy!$B$2:$B$501),"")</f>
        <v/>
      </c>
      <c r="C242" s="4"/>
      <c r="D242" s="4" t="str">
        <f ca="1">IFERROR(_xludf.XLOOKUP(C242,Milestones!$A$2:$A$501,Milestones!$B$2:$B$501),"")</f>
        <v/>
      </c>
      <c r="E242" s="4" t="str">
        <f ca="1">IFERROR(_xludf.XLOOKUP(D242,Projekty!$A$2:$A$501,Projekty!$B$2:$B$501),"")</f>
        <v/>
      </c>
      <c r="F242" s="4" t="str">
        <f ca="1">IFERROR(_xludf.XLOOKUP(C242,Milestones!$A$2:$A$501,Milestones!$C$2:$C$501),"")</f>
        <v/>
      </c>
      <c r="G242" s="4" t="str">
        <f ca="1">IFERROR(_xludf.XLOOKUP(C242,Milestones!$A$2:$A$501,Milestones!$F$2:$F$501),"")</f>
        <v/>
      </c>
      <c r="H242" s="4" t="str">
        <f ca="1">IFERROR(_xludf.XLOOKUP(C242,Milestones!$A$2:$A$501,Milestones!$M$2:$M$501),"")</f>
        <v/>
      </c>
      <c r="I242" s="4" t="str">
        <f t="shared" ca="1" si="12"/>
        <v/>
      </c>
      <c r="J242" s="4"/>
      <c r="K242" s="4" t="str">
        <f ca="1">IFERROR(_xludf.XLOOKUP(A242,Pracownicy!$A$2:$A$501,Pracownicy!$F$2:$F$501),"")</f>
        <v/>
      </c>
      <c r="L242" s="4"/>
      <c r="M242" s="4" t="str">
        <f t="shared" ca="1" si="13"/>
        <v/>
      </c>
      <c r="N242" s="4" t="str">
        <f t="shared" si="14"/>
        <v/>
      </c>
      <c r="O242" s="4" t="str">
        <f t="shared" ca="1" si="15"/>
        <v/>
      </c>
    </row>
    <row r="243" spans="1:15" x14ac:dyDescent="0.25">
      <c r="A243" s="4"/>
      <c r="B243" s="4" t="str">
        <f ca="1">IFERROR(_xludf.XLOOKUP(A243,Pracownicy!$A$2:$A$501,Pracownicy!$B$2:$B$501),"")</f>
        <v/>
      </c>
      <c r="C243" s="4"/>
      <c r="D243" s="4" t="str">
        <f ca="1">IFERROR(_xludf.XLOOKUP(C243,Milestones!$A$2:$A$501,Milestones!$B$2:$B$501),"")</f>
        <v/>
      </c>
      <c r="E243" s="4" t="str">
        <f ca="1">IFERROR(_xludf.XLOOKUP(D243,Projekty!$A$2:$A$501,Projekty!$B$2:$B$501),"")</f>
        <v/>
      </c>
      <c r="F243" s="4" t="str">
        <f ca="1">IFERROR(_xludf.XLOOKUP(C243,Milestones!$A$2:$A$501,Milestones!$C$2:$C$501),"")</f>
        <v/>
      </c>
      <c r="G243" s="4" t="str">
        <f ca="1">IFERROR(_xludf.XLOOKUP(C243,Milestones!$A$2:$A$501,Milestones!$F$2:$F$501),"")</f>
        <v/>
      </c>
      <c r="H243" s="4" t="str">
        <f ca="1">IFERROR(_xludf.XLOOKUP(C243,Milestones!$A$2:$A$501,Milestones!$M$2:$M$501),"")</f>
        <v/>
      </c>
      <c r="I243" s="4" t="str">
        <f t="shared" ca="1" si="12"/>
        <v/>
      </c>
      <c r="J243" s="4"/>
      <c r="K243" s="4" t="str">
        <f ca="1">IFERROR(_xludf.XLOOKUP(A243,Pracownicy!$A$2:$A$501,Pracownicy!$F$2:$F$501),"")</f>
        <v/>
      </c>
      <c r="L243" s="4"/>
      <c r="M243" s="4" t="str">
        <f t="shared" ca="1" si="13"/>
        <v/>
      </c>
      <c r="N243" s="4" t="str">
        <f t="shared" si="14"/>
        <v/>
      </c>
      <c r="O243" s="4" t="str">
        <f t="shared" ca="1" si="15"/>
        <v/>
      </c>
    </row>
    <row r="244" spans="1:15" x14ac:dyDescent="0.25">
      <c r="A244" s="4"/>
      <c r="B244" s="4" t="str">
        <f ca="1">IFERROR(_xludf.XLOOKUP(A244,Pracownicy!$A$2:$A$501,Pracownicy!$B$2:$B$501),"")</f>
        <v/>
      </c>
      <c r="C244" s="4"/>
      <c r="D244" s="4" t="str">
        <f ca="1">IFERROR(_xludf.XLOOKUP(C244,Milestones!$A$2:$A$501,Milestones!$B$2:$B$501),"")</f>
        <v/>
      </c>
      <c r="E244" s="4" t="str">
        <f ca="1">IFERROR(_xludf.XLOOKUP(D244,Projekty!$A$2:$A$501,Projekty!$B$2:$B$501),"")</f>
        <v/>
      </c>
      <c r="F244" s="4" t="str">
        <f ca="1">IFERROR(_xludf.XLOOKUP(C244,Milestones!$A$2:$A$501,Milestones!$C$2:$C$501),"")</f>
        <v/>
      </c>
      <c r="G244" s="4" t="str">
        <f ca="1">IFERROR(_xludf.XLOOKUP(C244,Milestones!$A$2:$A$501,Milestones!$F$2:$F$501),"")</f>
        <v/>
      </c>
      <c r="H244" s="4" t="str">
        <f ca="1">IFERROR(_xludf.XLOOKUP(C244,Milestones!$A$2:$A$501,Milestones!$M$2:$M$501),"")</f>
        <v/>
      </c>
      <c r="I244" s="4" t="str">
        <f t="shared" ca="1" si="12"/>
        <v/>
      </c>
      <c r="J244" s="4"/>
      <c r="K244" s="4" t="str">
        <f ca="1">IFERROR(_xludf.XLOOKUP(A244,Pracownicy!$A$2:$A$501,Pracownicy!$F$2:$F$501),"")</f>
        <v/>
      </c>
      <c r="L244" s="4"/>
      <c r="M244" s="4" t="str">
        <f t="shared" ca="1" si="13"/>
        <v/>
      </c>
      <c r="N244" s="4" t="str">
        <f t="shared" si="14"/>
        <v/>
      </c>
      <c r="O244" s="4" t="str">
        <f t="shared" ca="1" si="15"/>
        <v/>
      </c>
    </row>
    <row r="245" spans="1:15" x14ac:dyDescent="0.25">
      <c r="A245" s="4"/>
      <c r="B245" s="4" t="str">
        <f ca="1">IFERROR(_xludf.XLOOKUP(A245,Pracownicy!$A$2:$A$501,Pracownicy!$B$2:$B$501),"")</f>
        <v/>
      </c>
      <c r="C245" s="4"/>
      <c r="D245" s="4" t="str">
        <f ca="1">IFERROR(_xludf.XLOOKUP(C245,Milestones!$A$2:$A$501,Milestones!$B$2:$B$501),"")</f>
        <v/>
      </c>
      <c r="E245" s="4" t="str">
        <f ca="1">IFERROR(_xludf.XLOOKUP(D245,Projekty!$A$2:$A$501,Projekty!$B$2:$B$501),"")</f>
        <v/>
      </c>
      <c r="F245" s="4" t="str">
        <f ca="1">IFERROR(_xludf.XLOOKUP(C245,Milestones!$A$2:$A$501,Milestones!$C$2:$C$501),"")</f>
        <v/>
      </c>
      <c r="G245" s="4" t="str">
        <f ca="1">IFERROR(_xludf.XLOOKUP(C245,Milestones!$A$2:$A$501,Milestones!$F$2:$F$501),"")</f>
        <v/>
      </c>
      <c r="H245" s="4" t="str">
        <f ca="1">IFERROR(_xludf.XLOOKUP(C245,Milestones!$A$2:$A$501,Milestones!$M$2:$M$501),"")</f>
        <v/>
      </c>
      <c r="I245" s="4" t="str">
        <f t="shared" ca="1" si="12"/>
        <v/>
      </c>
      <c r="J245" s="4"/>
      <c r="K245" s="4" t="str">
        <f ca="1">IFERROR(_xludf.XLOOKUP(A245,Pracownicy!$A$2:$A$501,Pracownicy!$F$2:$F$501),"")</f>
        <v/>
      </c>
      <c r="L245" s="4"/>
      <c r="M245" s="4" t="str">
        <f t="shared" ca="1" si="13"/>
        <v/>
      </c>
      <c r="N245" s="4" t="str">
        <f t="shared" si="14"/>
        <v/>
      </c>
      <c r="O245" s="4" t="str">
        <f t="shared" ca="1" si="15"/>
        <v/>
      </c>
    </row>
    <row r="246" spans="1:15" x14ac:dyDescent="0.25">
      <c r="A246" s="4"/>
      <c r="B246" s="4" t="str">
        <f ca="1">IFERROR(_xludf.XLOOKUP(A246,Pracownicy!$A$2:$A$501,Pracownicy!$B$2:$B$501),"")</f>
        <v/>
      </c>
      <c r="C246" s="4"/>
      <c r="D246" s="4" t="str">
        <f ca="1">IFERROR(_xludf.XLOOKUP(C246,Milestones!$A$2:$A$501,Milestones!$B$2:$B$501),"")</f>
        <v/>
      </c>
      <c r="E246" s="4" t="str">
        <f ca="1">IFERROR(_xludf.XLOOKUP(D246,Projekty!$A$2:$A$501,Projekty!$B$2:$B$501),"")</f>
        <v/>
      </c>
      <c r="F246" s="4" t="str">
        <f ca="1">IFERROR(_xludf.XLOOKUP(C246,Milestones!$A$2:$A$501,Milestones!$C$2:$C$501),"")</f>
        <v/>
      </c>
      <c r="G246" s="4" t="str">
        <f ca="1">IFERROR(_xludf.XLOOKUP(C246,Milestones!$A$2:$A$501,Milestones!$F$2:$F$501),"")</f>
        <v/>
      </c>
      <c r="H246" s="4" t="str">
        <f ca="1">IFERROR(_xludf.XLOOKUP(C246,Milestones!$A$2:$A$501,Milestones!$M$2:$M$501),"")</f>
        <v/>
      </c>
      <c r="I246" s="4" t="str">
        <f t="shared" ca="1" si="12"/>
        <v/>
      </c>
      <c r="J246" s="4"/>
      <c r="K246" s="4" t="str">
        <f ca="1">IFERROR(_xludf.XLOOKUP(A246,Pracownicy!$A$2:$A$501,Pracownicy!$F$2:$F$501),"")</f>
        <v/>
      </c>
      <c r="L246" s="4"/>
      <c r="M246" s="4" t="str">
        <f t="shared" ca="1" si="13"/>
        <v/>
      </c>
      <c r="N246" s="4" t="str">
        <f t="shared" si="14"/>
        <v/>
      </c>
      <c r="O246" s="4" t="str">
        <f t="shared" ca="1" si="15"/>
        <v/>
      </c>
    </row>
    <row r="247" spans="1:15" x14ac:dyDescent="0.25">
      <c r="A247" s="4"/>
      <c r="B247" s="4" t="str">
        <f ca="1">IFERROR(_xludf.XLOOKUP(A247,Pracownicy!$A$2:$A$501,Pracownicy!$B$2:$B$501),"")</f>
        <v/>
      </c>
      <c r="C247" s="4"/>
      <c r="D247" s="4" t="str">
        <f ca="1">IFERROR(_xludf.XLOOKUP(C247,Milestones!$A$2:$A$501,Milestones!$B$2:$B$501),"")</f>
        <v/>
      </c>
      <c r="E247" s="4" t="str">
        <f ca="1">IFERROR(_xludf.XLOOKUP(D247,Projekty!$A$2:$A$501,Projekty!$B$2:$B$501),"")</f>
        <v/>
      </c>
      <c r="F247" s="4" t="str">
        <f ca="1">IFERROR(_xludf.XLOOKUP(C247,Milestones!$A$2:$A$501,Milestones!$C$2:$C$501),"")</f>
        <v/>
      </c>
      <c r="G247" s="4" t="str">
        <f ca="1">IFERROR(_xludf.XLOOKUP(C247,Milestones!$A$2:$A$501,Milestones!$F$2:$F$501),"")</f>
        <v/>
      </c>
      <c r="H247" s="4" t="str">
        <f ca="1">IFERROR(_xludf.XLOOKUP(C247,Milestones!$A$2:$A$501,Milestones!$M$2:$M$501),"")</f>
        <v/>
      </c>
      <c r="I247" s="4" t="str">
        <f t="shared" ca="1" si="12"/>
        <v/>
      </c>
      <c r="J247" s="4"/>
      <c r="K247" s="4" t="str">
        <f ca="1">IFERROR(_xludf.XLOOKUP(A247,Pracownicy!$A$2:$A$501,Pracownicy!$F$2:$F$501),"")</f>
        <v/>
      </c>
      <c r="L247" s="4"/>
      <c r="M247" s="4" t="str">
        <f t="shared" ca="1" si="13"/>
        <v/>
      </c>
      <c r="N247" s="4" t="str">
        <f t="shared" si="14"/>
        <v/>
      </c>
      <c r="O247" s="4" t="str">
        <f t="shared" ca="1" si="15"/>
        <v/>
      </c>
    </row>
    <row r="248" spans="1:15" x14ac:dyDescent="0.25">
      <c r="A248" s="4"/>
      <c r="B248" s="4" t="str">
        <f ca="1">IFERROR(_xludf.XLOOKUP(A248,Pracownicy!$A$2:$A$501,Pracownicy!$B$2:$B$501),"")</f>
        <v/>
      </c>
      <c r="C248" s="4"/>
      <c r="D248" s="4" t="str">
        <f ca="1">IFERROR(_xludf.XLOOKUP(C248,Milestones!$A$2:$A$501,Milestones!$B$2:$B$501),"")</f>
        <v/>
      </c>
      <c r="E248" s="4" t="str">
        <f ca="1">IFERROR(_xludf.XLOOKUP(D248,Projekty!$A$2:$A$501,Projekty!$B$2:$B$501),"")</f>
        <v/>
      </c>
      <c r="F248" s="4" t="str">
        <f ca="1">IFERROR(_xludf.XLOOKUP(C248,Milestones!$A$2:$A$501,Milestones!$C$2:$C$501),"")</f>
        <v/>
      </c>
      <c r="G248" s="4" t="str">
        <f ca="1">IFERROR(_xludf.XLOOKUP(C248,Milestones!$A$2:$A$501,Milestones!$F$2:$F$501),"")</f>
        <v/>
      </c>
      <c r="H248" s="4" t="str">
        <f ca="1">IFERROR(_xludf.XLOOKUP(C248,Milestones!$A$2:$A$501,Milestones!$M$2:$M$501),"")</f>
        <v/>
      </c>
      <c r="I248" s="4" t="str">
        <f t="shared" ca="1" si="12"/>
        <v/>
      </c>
      <c r="J248" s="4"/>
      <c r="K248" s="4" t="str">
        <f ca="1">IFERROR(_xludf.XLOOKUP(A248,Pracownicy!$A$2:$A$501,Pracownicy!$F$2:$F$501),"")</f>
        <v/>
      </c>
      <c r="L248" s="4"/>
      <c r="M248" s="4" t="str">
        <f t="shared" ca="1" si="13"/>
        <v/>
      </c>
      <c r="N248" s="4" t="str">
        <f t="shared" si="14"/>
        <v/>
      </c>
      <c r="O248" s="4" t="str">
        <f t="shared" ca="1" si="15"/>
        <v/>
      </c>
    </row>
    <row r="249" spans="1:15" x14ac:dyDescent="0.25">
      <c r="A249" s="4"/>
      <c r="B249" s="4" t="str">
        <f ca="1">IFERROR(_xludf.XLOOKUP(A249,Pracownicy!$A$2:$A$501,Pracownicy!$B$2:$B$501),"")</f>
        <v/>
      </c>
      <c r="C249" s="4"/>
      <c r="D249" s="4" t="str">
        <f ca="1">IFERROR(_xludf.XLOOKUP(C249,Milestones!$A$2:$A$501,Milestones!$B$2:$B$501),"")</f>
        <v/>
      </c>
      <c r="E249" s="4" t="str">
        <f ca="1">IFERROR(_xludf.XLOOKUP(D249,Projekty!$A$2:$A$501,Projekty!$B$2:$B$501),"")</f>
        <v/>
      </c>
      <c r="F249" s="4" t="str">
        <f ca="1">IFERROR(_xludf.XLOOKUP(C249,Milestones!$A$2:$A$501,Milestones!$C$2:$C$501),"")</f>
        <v/>
      </c>
      <c r="G249" s="4" t="str">
        <f ca="1">IFERROR(_xludf.XLOOKUP(C249,Milestones!$A$2:$A$501,Milestones!$F$2:$F$501),"")</f>
        <v/>
      </c>
      <c r="H249" s="4" t="str">
        <f ca="1">IFERROR(_xludf.XLOOKUP(C249,Milestones!$A$2:$A$501,Milestones!$M$2:$M$501),"")</f>
        <v/>
      </c>
      <c r="I249" s="4" t="str">
        <f t="shared" ca="1" si="12"/>
        <v/>
      </c>
      <c r="J249" s="4"/>
      <c r="K249" s="4" t="str">
        <f ca="1">IFERROR(_xludf.XLOOKUP(A249,Pracownicy!$A$2:$A$501,Pracownicy!$F$2:$F$501),"")</f>
        <v/>
      </c>
      <c r="L249" s="4"/>
      <c r="M249" s="4" t="str">
        <f t="shared" ca="1" si="13"/>
        <v/>
      </c>
      <c r="N249" s="4" t="str">
        <f t="shared" si="14"/>
        <v/>
      </c>
      <c r="O249" s="4" t="str">
        <f t="shared" ca="1" si="15"/>
        <v/>
      </c>
    </row>
    <row r="250" spans="1:15" x14ac:dyDescent="0.25">
      <c r="A250" s="4"/>
      <c r="B250" s="4" t="str">
        <f ca="1">IFERROR(_xludf.XLOOKUP(A250,Pracownicy!$A$2:$A$501,Pracownicy!$B$2:$B$501),"")</f>
        <v/>
      </c>
      <c r="C250" s="4"/>
      <c r="D250" s="4" t="str">
        <f ca="1">IFERROR(_xludf.XLOOKUP(C250,Milestones!$A$2:$A$501,Milestones!$B$2:$B$501),"")</f>
        <v/>
      </c>
      <c r="E250" s="4" t="str">
        <f ca="1">IFERROR(_xludf.XLOOKUP(D250,Projekty!$A$2:$A$501,Projekty!$B$2:$B$501),"")</f>
        <v/>
      </c>
      <c r="F250" s="4" t="str">
        <f ca="1">IFERROR(_xludf.XLOOKUP(C250,Milestones!$A$2:$A$501,Milestones!$C$2:$C$501),"")</f>
        <v/>
      </c>
      <c r="G250" s="4" t="str">
        <f ca="1">IFERROR(_xludf.XLOOKUP(C250,Milestones!$A$2:$A$501,Milestones!$F$2:$F$501),"")</f>
        <v/>
      </c>
      <c r="H250" s="4" t="str">
        <f ca="1">IFERROR(_xludf.XLOOKUP(C250,Milestones!$A$2:$A$501,Milestones!$M$2:$M$501),"")</f>
        <v/>
      </c>
      <c r="I250" s="4" t="str">
        <f t="shared" ca="1" si="12"/>
        <v/>
      </c>
      <c r="J250" s="4"/>
      <c r="K250" s="4" t="str">
        <f ca="1">IFERROR(_xludf.XLOOKUP(A250,Pracownicy!$A$2:$A$501,Pracownicy!$F$2:$F$501),"")</f>
        <v/>
      </c>
      <c r="L250" s="4"/>
      <c r="M250" s="4" t="str">
        <f t="shared" ca="1" si="13"/>
        <v/>
      </c>
      <c r="N250" s="4" t="str">
        <f t="shared" si="14"/>
        <v/>
      </c>
      <c r="O250" s="4" t="str">
        <f t="shared" ca="1" si="15"/>
        <v/>
      </c>
    </row>
    <row r="251" spans="1:15" x14ac:dyDescent="0.25">
      <c r="A251" s="4"/>
      <c r="B251" s="4" t="str">
        <f ca="1">IFERROR(_xludf.XLOOKUP(A251,Pracownicy!$A$2:$A$501,Pracownicy!$B$2:$B$501),"")</f>
        <v/>
      </c>
      <c r="C251" s="4"/>
      <c r="D251" s="4" t="str">
        <f ca="1">IFERROR(_xludf.XLOOKUP(C251,Milestones!$A$2:$A$501,Milestones!$B$2:$B$501),"")</f>
        <v/>
      </c>
      <c r="E251" s="4" t="str">
        <f ca="1">IFERROR(_xludf.XLOOKUP(D251,Projekty!$A$2:$A$501,Projekty!$B$2:$B$501),"")</f>
        <v/>
      </c>
      <c r="F251" s="4" t="str">
        <f ca="1">IFERROR(_xludf.XLOOKUP(C251,Milestones!$A$2:$A$501,Milestones!$C$2:$C$501),"")</f>
        <v/>
      </c>
      <c r="G251" s="4" t="str">
        <f ca="1">IFERROR(_xludf.XLOOKUP(C251,Milestones!$A$2:$A$501,Milestones!$F$2:$F$501),"")</f>
        <v/>
      </c>
      <c r="H251" s="4" t="str">
        <f ca="1">IFERROR(_xludf.XLOOKUP(C251,Milestones!$A$2:$A$501,Milestones!$M$2:$M$501),"")</f>
        <v/>
      </c>
      <c r="I251" s="4" t="str">
        <f t="shared" ca="1" si="12"/>
        <v/>
      </c>
      <c r="J251" s="4"/>
      <c r="K251" s="4" t="str">
        <f ca="1">IFERROR(_xludf.XLOOKUP(A251,Pracownicy!$A$2:$A$501,Pracownicy!$F$2:$F$501),"")</f>
        <v/>
      </c>
      <c r="L251" s="4"/>
      <c r="M251" s="4" t="str">
        <f t="shared" ca="1" si="13"/>
        <v/>
      </c>
      <c r="N251" s="4" t="str">
        <f t="shared" si="14"/>
        <v/>
      </c>
      <c r="O251" s="4" t="str">
        <f t="shared" ca="1" si="15"/>
        <v/>
      </c>
    </row>
    <row r="252" spans="1:15" x14ac:dyDescent="0.25">
      <c r="A252" s="4"/>
      <c r="B252" s="4" t="str">
        <f ca="1">IFERROR(_xludf.XLOOKUP(A252,Pracownicy!$A$2:$A$501,Pracownicy!$B$2:$B$501),"")</f>
        <v/>
      </c>
      <c r="C252" s="4"/>
      <c r="D252" s="4" t="str">
        <f ca="1">IFERROR(_xludf.XLOOKUP(C252,Milestones!$A$2:$A$501,Milestones!$B$2:$B$501),"")</f>
        <v/>
      </c>
      <c r="E252" s="4" t="str">
        <f ca="1">IFERROR(_xludf.XLOOKUP(D252,Projekty!$A$2:$A$501,Projekty!$B$2:$B$501),"")</f>
        <v/>
      </c>
      <c r="F252" s="4" t="str">
        <f ca="1">IFERROR(_xludf.XLOOKUP(C252,Milestones!$A$2:$A$501,Milestones!$C$2:$C$501),"")</f>
        <v/>
      </c>
      <c r="G252" s="4" t="str">
        <f ca="1">IFERROR(_xludf.XLOOKUP(C252,Milestones!$A$2:$A$501,Milestones!$F$2:$F$501),"")</f>
        <v/>
      </c>
      <c r="H252" s="4" t="str">
        <f ca="1">IFERROR(_xludf.XLOOKUP(C252,Milestones!$A$2:$A$501,Milestones!$M$2:$M$501),"")</f>
        <v/>
      </c>
      <c r="I252" s="4" t="str">
        <f t="shared" ca="1" si="12"/>
        <v/>
      </c>
      <c r="J252" s="4"/>
      <c r="K252" s="4" t="str">
        <f ca="1">IFERROR(_xludf.XLOOKUP(A252,Pracownicy!$A$2:$A$501,Pracownicy!$F$2:$F$501),"")</f>
        <v/>
      </c>
      <c r="L252" s="4"/>
      <c r="M252" s="4" t="str">
        <f t="shared" ca="1" si="13"/>
        <v/>
      </c>
      <c r="N252" s="4" t="str">
        <f t="shared" si="14"/>
        <v/>
      </c>
      <c r="O252" s="4" t="str">
        <f t="shared" ca="1" si="15"/>
        <v/>
      </c>
    </row>
    <row r="253" spans="1:15" x14ac:dyDescent="0.25">
      <c r="A253" s="4"/>
      <c r="B253" s="4" t="str">
        <f ca="1">IFERROR(_xludf.XLOOKUP(A253,Pracownicy!$A$2:$A$501,Pracownicy!$B$2:$B$501),"")</f>
        <v/>
      </c>
      <c r="C253" s="4"/>
      <c r="D253" s="4" t="str">
        <f ca="1">IFERROR(_xludf.XLOOKUP(C253,Milestones!$A$2:$A$501,Milestones!$B$2:$B$501),"")</f>
        <v/>
      </c>
      <c r="E253" s="4" t="str">
        <f ca="1">IFERROR(_xludf.XLOOKUP(D253,Projekty!$A$2:$A$501,Projekty!$B$2:$B$501),"")</f>
        <v/>
      </c>
      <c r="F253" s="4" t="str">
        <f ca="1">IFERROR(_xludf.XLOOKUP(C253,Milestones!$A$2:$A$501,Milestones!$C$2:$C$501),"")</f>
        <v/>
      </c>
      <c r="G253" s="4" t="str">
        <f ca="1">IFERROR(_xludf.XLOOKUP(C253,Milestones!$A$2:$A$501,Milestones!$F$2:$F$501),"")</f>
        <v/>
      </c>
      <c r="H253" s="4" t="str">
        <f ca="1">IFERROR(_xludf.XLOOKUP(C253,Milestones!$A$2:$A$501,Milestones!$M$2:$M$501),"")</f>
        <v/>
      </c>
      <c r="I253" s="4" t="str">
        <f t="shared" ca="1" si="12"/>
        <v/>
      </c>
      <c r="J253" s="4"/>
      <c r="K253" s="4" t="str">
        <f ca="1">IFERROR(_xludf.XLOOKUP(A253,Pracownicy!$A$2:$A$501,Pracownicy!$F$2:$F$501),"")</f>
        <v/>
      </c>
      <c r="L253" s="4"/>
      <c r="M253" s="4" t="str">
        <f t="shared" ca="1" si="13"/>
        <v/>
      </c>
      <c r="N253" s="4" t="str">
        <f t="shared" si="14"/>
        <v/>
      </c>
      <c r="O253" s="4" t="str">
        <f t="shared" ca="1" si="15"/>
        <v/>
      </c>
    </row>
    <row r="254" spans="1:15" x14ac:dyDescent="0.25">
      <c r="A254" s="4"/>
      <c r="B254" s="4" t="str">
        <f ca="1">IFERROR(_xludf.XLOOKUP(A254,Pracownicy!$A$2:$A$501,Pracownicy!$B$2:$B$501),"")</f>
        <v/>
      </c>
      <c r="C254" s="4"/>
      <c r="D254" s="4" t="str">
        <f ca="1">IFERROR(_xludf.XLOOKUP(C254,Milestones!$A$2:$A$501,Milestones!$B$2:$B$501),"")</f>
        <v/>
      </c>
      <c r="E254" s="4" t="str">
        <f ca="1">IFERROR(_xludf.XLOOKUP(D254,Projekty!$A$2:$A$501,Projekty!$B$2:$B$501),"")</f>
        <v/>
      </c>
      <c r="F254" s="4" t="str">
        <f ca="1">IFERROR(_xludf.XLOOKUP(C254,Milestones!$A$2:$A$501,Milestones!$C$2:$C$501),"")</f>
        <v/>
      </c>
      <c r="G254" s="4" t="str">
        <f ca="1">IFERROR(_xludf.XLOOKUP(C254,Milestones!$A$2:$A$501,Milestones!$F$2:$F$501),"")</f>
        <v/>
      </c>
      <c r="H254" s="4" t="str">
        <f ca="1">IFERROR(_xludf.XLOOKUP(C254,Milestones!$A$2:$A$501,Milestones!$M$2:$M$501),"")</f>
        <v/>
      </c>
      <c r="I254" s="4" t="str">
        <f t="shared" ca="1" si="12"/>
        <v/>
      </c>
      <c r="J254" s="4"/>
      <c r="K254" s="4" t="str">
        <f ca="1">IFERROR(_xludf.XLOOKUP(A254,Pracownicy!$A$2:$A$501,Pracownicy!$F$2:$F$501),"")</f>
        <v/>
      </c>
      <c r="L254" s="4"/>
      <c r="M254" s="4" t="str">
        <f t="shared" ca="1" si="13"/>
        <v/>
      </c>
      <c r="N254" s="4" t="str">
        <f t="shared" si="14"/>
        <v/>
      </c>
      <c r="O254" s="4" t="str">
        <f t="shared" ca="1" si="15"/>
        <v/>
      </c>
    </row>
    <row r="255" spans="1:15" x14ac:dyDescent="0.25">
      <c r="A255" s="4"/>
      <c r="B255" s="4" t="str">
        <f ca="1">IFERROR(_xludf.XLOOKUP(A255,Pracownicy!$A$2:$A$501,Pracownicy!$B$2:$B$501),"")</f>
        <v/>
      </c>
      <c r="C255" s="4"/>
      <c r="D255" s="4" t="str">
        <f ca="1">IFERROR(_xludf.XLOOKUP(C255,Milestones!$A$2:$A$501,Milestones!$B$2:$B$501),"")</f>
        <v/>
      </c>
      <c r="E255" s="4" t="str">
        <f ca="1">IFERROR(_xludf.XLOOKUP(D255,Projekty!$A$2:$A$501,Projekty!$B$2:$B$501),"")</f>
        <v/>
      </c>
      <c r="F255" s="4" t="str">
        <f ca="1">IFERROR(_xludf.XLOOKUP(C255,Milestones!$A$2:$A$501,Milestones!$C$2:$C$501),"")</f>
        <v/>
      </c>
      <c r="G255" s="4" t="str">
        <f ca="1">IFERROR(_xludf.XLOOKUP(C255,Milestones!$A$2:$A$501,Milestones!$F$2:$F$501),"")</f>
        <v/>
      </c>
      <c r="H255" s="4" t="str">
        <f ca="1">IFERROR(_xludf.XLOOKUP(C255,Milestones!$A$2:$A$501,Milestones!$M$2:$M$501),"")</f>
        <v/>
      </c>
      <c r="I255" s="4" t="str">
        <f t="shared" ca="1" si="12"/>
        <v/>
      </c>
      <c r="J255" s="4"/>
      <c r="K255" s="4" t="str">
        <f ca="1">IFERROR(_xludf.XLOOKUP(A255,Pracownicy!$A$2:$A$501,Pracownicy!$F$2:$F$501),"")</f>
        <v/>
      </c>
      <c r="L255" s="4"/>
      <c r="M255" s="4" t="str">
        <f t="shared" ca="1" si="13"/>
        <v/>
      </c>
      <c r="N255" s="4" t="str">
        <f t="shared" si="14"/>
        <v/>
      </c>
      <c r="O255" s="4" t="str">
        <f t="shared" ca="1" si="15"/>
        <v/>
      </c>
    </row>
    <row r="256" spans="1:15" x14ac:dyDescent="0.25">
      <c r="A256" s="4"/>
      <c r="B256" s="4" t="str">
        <f ca="1">IFERROR(_xludf.XLOOKUP(A256,Pracownicy!$A$2:$A$501,Pracownicy!$B$2:$B$501),"")</f>
        <v/>
      </c>
      <c r="C256" s="4"/>
      <c r="D256" s="4" t="str">
        <f ca="1">IFERROR(_xludf.XLOOKUP(C256,Milestones!$A$2:$A$501,Milestones!$B$2:$B$501),"")</f>
        <v/>
      </c>
      <c r="E256" s="4" t="str">
        <f ca="1">IFERROR(_xludf.XLOOKUP(D256,Projekty!$A$2:$A$501,Projekty!$B$2:$B$501),"")</f>
        <v/>
      </c>
      <c r="F256" s="4" t="str">
        <f ca="1">IFERROR(_xludf.XLOOKUP(C256,Milestones!$A$2:$A$501,Milestones!$C$2:$C$501),"")</f>
        <v/>
      </c>
      <c r="G256" s="4" t="str">
        <f ca="1">IFERROR(_xludf.XLOOKUP(C256,Milestones!$A$2:$A$501,Milestones!$F$2:$F$501),"")</f>
        <v/>
      </c>
      <c r="H256" s="4" t="str">
        <f ca="1">IFERROR(_xludf.XLOOKUP(C256,Milestones!$A$2:$A$501,Milestones!$M$2:$M$501),"")</f>
        <v/>
      </c>
      <c r="I256" s="4" t="str">
        <f t="shared" ca="1" si="12"/>
        <v/>
      </c>
      <c r="J256" s="4"/>
      <c r="K256" s="4" t="str">
        <f ca="1">IFERROR(_xludf.XLOOKUP(A256,Pracownicy!$A$2:$A$501,Pracownicy!$F$2:$F$501),"")</f>
        <v/>
      </c>
      <c r="L256" s="4"/>
      <c r="M256" s="4" t="str">
        <f t="shared" ca="1" si="13"/>
        <v/>
      </c>
      <c r="N256" s="4" t="str">
        <f t="shared" si="14"/>
        <v/>
      </c>
      <c r="O256" s="4" t="str">
        <f t="shared" ca="1" si="15"/>
        <v/>
      </c>
    </row>
    <row r="257" spans="1:15" x14ac:dyDescent="0.25">
      <c r="A257" s="4"/>
      <c r="B257" s="4" t="str">
        <f ca="1">IFERROR(_xludf.XLOOKUP(A257,Pracownicy!$A$2:$A$501,Pracownicy!$B$2:$B$501),"")</f>
        <v/>
      </c>
      <c r="C257" s="4"/>
      <c r="D257" s="4" t="str">
        <f ca="1">IFERROR(_xludf.XLOOKUP(C257,Milestones!$A$2:$A$501,Milestones!$B$2:$B$501),"")</f>
        <v/>
      </c>
      <c r="E257" s="4" t="str">
        <f ca="1">IFERROR(_xludf.XLOOKUP(D257,Projekty!$A$2:$A$501,Projekty!$B$2:$B$501),"")</f>
        <v/>
      </c>
      <c r="F257" s="4" t="str">
        <f ca="1">IFERROR(_xludf.XLOOKUP(C257,Milestones!$A$2:$A$501,Milestones!$C$2:$C$501),"")</f>
        <v/>
      </c>
      <c r="G257" s="4" t="str">
        <f ca="1">IFERROR(_xludf.XLOOKUP(C257,Milestones!$A$2:$A$501,Milestones!$F$2:$F$501),"")</f>
        <v/>
      </c>
      <c r="H257" s="4" t="str">
        <f ca="1">IFERROR(_xludf.XLOOKUP(C257,Milestones!$A$2:$A$501,Milestones!$M$2:$M$501),"")</f>
        <v/>
      </c>
      <c r="I257" s="4" t="str">
        <f t="shared" ca="1" si="12"/>
        <v/>
      </c>
      <c r="J257" s="4"/>
      <c r="K257" s="4" t="str">
        <f ca="1">IFERROR(_xludf.XLOOKUP(A257,Pracownicy!$A$2:$A$501,Pracownicy!$F$2:$F$501),"")</f>
        <v/>
      </c>
      <c r="L257" s="4"/>
      <c r="M257" s="4" t="str">
        <f t="shared" ca="1" si="13"/>
        <v/>
      </c>
      <c r="N257" s="4" t="str">
        <f t="shared" si="14"/>
        <v/>
      </c>
      <c r="O257" s="4" t="str">
        <f t="shared" ca="1" si="15"/>
        <v/>
      </c>
    </row>
    <row r="258" spans="1:15" x14ac:dyDescent="0.25">
      <c r="A258" s="4"/>
      <c r="B258" s="4" t="str">
        <f ca="1">IFERROR(_xludf.XLOOKUP(A258,Pracownicy!$A$2:$A$501,Pracownicy!$B$2:$B$501),"")</f>
        <v/>
      </c>
      <c r="C258" s="4"/>
      <c r="D258" s="4" t="str">
        <f ca="1">IFERROR(_xludf.XLOOKUP(C258,Milestones!$A$2:$A$501,Milestones!$B$2:$B$501),"")</f>
        <v/>
      </c>
      <c r="E258" s="4" t="str">
        <f ca="1">IFERROR(_xludf.XLOOKUP(D258,Projekty!$A$2:$A$501,Projekty!$B$2:$B$501),"")</f>
        <v/>
      </c>
      <c r="F258" s="4" t="str">
        <f ca="1">IFERROR(_xludf.XLOOKUP(C258,Milestones!$A$2:$A$501,Milestones!$C$2:$C$501),"")</f>
        <v/>
      </c>
      <c r="G258" s="4" t="str">
        <f ca="1">IFERROR(_xludf.XLOOKUP(C258,Milestones!$A$2:$A$501,Milestones!$F$2:$F$501),"")</f>
        <v/>
      </c>
      <c r="H258" s="4" t="str">
        <f ca="1">IFERROR(_xludf.XLOOKUP(C258,Milestones!$A$2:$A$501,Milestones!$M$2:$M$501),"")</f>
        <v/>
      </c>
      <c r="I258" s="4" t="str">
        <f t="shared" ref="I258:I321" ca="1" si="16">IF(H258="","",MIN(H258,1))</f>
        <v/>
      </c>
      <c r="J258" s="4"/>
      <c r="K258" s="4" t="str">
        <f ca="1">IFERROR(_xludf.XLOOKUP(A258,Pracownicy!$A$2:$A$501,Pracownicy!$F$2:$F$501),"")</f>
        <v/>
      </c>
      <c r="L258" s="4"/>
      <c r="M258" s="4" t="str">
        <f t="shared" ref="M258:M321" ca="1" si="17">IF(OR(J258="",K258="",L258=""),"",J258*K258*L258)</f>
        <v/>
      </c>
      <c r="N258" s="4" t="str">
        <f t="shared" ref="N258:N321" si="18">IF(C258="","",SUMIF($C$2:$C$501,C258,$M$2:$M$501))</f>
        <v/>
      </c>
      <c r="O258" s="4" t="str">
        <f t="shared" ref="O258:O321" ca="1" si="19">IF(OR(G258="",I258="",M258="",N258="",N258=0),"",ROUNDDOWN(G258*I258*(M258/N258),2))</f>
        <v/>
      </c>
    </row>
    <row r="259" spans="1:15" x14ac:dyDescent="0.25">
      <c r="A259" s="4"/>
      <c r="B259" s="4" t="str">
        <f ca="1">IFERROR(_xludf.XLOOKUP(A259,Pracownicy!$A$2:$A$501,Pracownicy!$B$2:$B$501),"")</f>
        <v/>
      </c>
      <c r="C259" s="4"/>
      <c r="D259" s="4" t="str">
        <f ca="1">IFERROR(_xludf.XLOOKUP(C259,Milestones!$A$2:$A$501,Milestones!$B$2:$B$501),"")</f>
        <v/>
      </c>
      <c r="E259" s="4" t="str">
        <f ca="1">IFERROR(_xludf.XLOOKUP(D259,Projekty!$A$2:$A$501,Projekty!$B$2:$B$501),"")</f>
        <v/>
      </c>
      <c r="F259" s="4" t="str">
        <f ca="1">IFERROR(_xludf.XLOOKUP(C259,Milestones!$A$2:$A$501,Milestones!$C$2:$C$501),"")</f>
        <v/>
      </c>
      <c r="G259" s="4" t="str">
        <f ca="1">IFERROR(_xludf.XLOOKUP(C259,Milestones!$A$2:$A$501,Milestones!$F$2:$F$501),"")</f>
        <v/>
      </c>
      <c r="H259" s="4" t="str">
        <f ca="1">IFERROR(_xludf.XLOOKUP(C259,Milestones!$A$2:$A$501,Milestones!$M$2:$M$501),"")</f>
        <v/>
      </c>
      <c r="I259" s="4" t="str">
        <f t="shared" ca="1" si="16"/>
        <v/>
      </c>
      <c r="J259" s="4"/>
      <c r="K259" s="4" t="str">
        <f ca="1">IFERROR(_xludf.XLOOKUP(A259,Pracownicy!$A$2:$A$501,Pracownicy!$F$2:$F$501),"")</f>
        <v/>
      </c>
      <c r="L259" s="4"/>
      <c r="M259" s="4" t="str">
        <f t="shared" ca="1" si="17"/>
        <v/>
      </c>
      <c r="N259" s="4" t="str">
        <f t="shared" si="18"/>
        <v/>
      </c>
      <c r="O259" s="4" t="str">
        <f t="shared" ca="1" si="19"/>
        <v/>
      </c>
    </row>
    <row r="260" spans="1:15" x14ac:dyDescent="0.25">
      <c r="A260" s="4"/>
      <c r="B260" s="4" t="str">
        <f ca="1">IFERROR(_xludf.XLOOKUP(A260,Pracownicy!$A$2:$A$501,Pracownicy!$B$2:$B$501),"")</f>
        <v/>
      </c>
      <c r="C260" s="4"/>
      <c r="D260" s="4" t="str">
        <f ca="1">IFERROR(_xludf.XLOOKUP(C260,Milestones!$A$2:$A$501,Milestones!$B$2:$B$501),"")</f>
        <v/>
      </c>
      <c r="E260" s="4" t="str">
        <f ca="1">IFERROR(_xludf.XLOOKUP(D260,Projekty!$A$2:$A$501,Projekty!$B$2:$B$501),"")</f>
        <v/>
      </c>
      <c r="F260" s="4" t="str">
        <f ca="1">IFERROR(_xludf.XLOOKUP(C260,Milestones!$A$2:$A$501,Milestones!$C$2:$C$501),"")</f>
        <v/>
      </c>
      <c r="G260" s="4" t="str">
        <f ca="1">IFERROR(_xludf.XLOOKUP(C260,Milestones!$A$2:$A$501,Milestones!$F$2:$F$501),"")</f>
        <v/>
      </c>
      <c r="H260" s="4" t="str">
        <f ca="1">IFERROR(_xludf.XLOOKUP(C260,Milestones!$A$2:$A$501,Milestones!$M$2:$M$501),"")</f>
        <v/>
      </c>
      <c r="I260" s="4" t="str">
        <f t="shared" ca="1" si="16"/>
        <v/>
      </c>
      <c r="J260" s="4"/>
      <c r="K260" s="4" t="str">
        <f ca="1">IFERROR(_xludf.XLOOKUP(A260,Pracownicy!$A$2:$A$501,Pracownicy!$F$2:$F$501),"")</f>
        <v/>
      </c>
      <c r="L260" s="4"/>
      <c r="M260" s="4" t="str">
        <f t="shared" ca="1" si="17"/>
        <v/>
      </c>
      <c r="N260" s="4" t="str">
        <f t="shared" si="18"/>
        <v/>
      </c>
      <c r="O260" s="4" t="str">
        <f t="shared" ca="1" si="19"/>
        <v/>
      </c>
    </row>
    <row r="261" spans="1:15" x14ac:dyDescent="0.25">
      <c r="A261" s="4"/>
      <c r="B261" s="4" t="str">
        <f ca="1">IFERROR(_xludf.XLOOKUP(A261,Pracownicy!$A$2:$A$501,Pracownicy!$B$2:$B$501),"")</f>
        <v/>
      </c>
      <c r="C261" s="4"/>
      <c r="D261" s="4" t="str">
        <f ca="1">IFERROR(_xludf.XLOOKUP(C261,Milestones!$A$2:$A$501,Milestones!$B$2:$B$501),"")</f>
        <v/>
      </c>
      <c r="E261" s="4" t="str">
        <f ca="1">IFERROR(_xludf.XLOOKUP(D261,Projekty!$A$2:$A$501,Projekty!$B$2:$B$501),"")</f>
        <v/>
      </c>
      <c r="F261" s="4" t="str">
        <f ca="1">IFERROR(_xludf.XLOOKUP(C261,Milestones!$A$2:$A$501,Milestones!$C$2:$C$501),"")</f>
        <v/>
      </c>
      <c r="G261" s="4" t="str">
        <f ca="1">IFERROR(_xludf.XLOOKUP(C261,Milestones!$A$2:$A$501,Milestones!$F$2:$F$501),"")</f>
        <v/>
      </c>
      <c r="H261" s="4" t="str">
        <f ca="1">IFERROR(_xludf.XLOOKUP(C261,Milestones!$A$2:$A$501,Milestones!$M$2:$M$501),"")</f>
        <v/>
      </c>
      <c r="I261" s="4" t="str">
        <f t="shared" ca="1" si="16"/>
        <v/>
      </c>
      <c r="J261" s="4"/>
      <c r="K261" s="4" t="str">
        <f ca="1">IFERROR(_xludf.XLOOKUP(A261,Pracownicy!$A$2:$A$501,Pracownicy!$F$2:$F$501),"")</f>
        <v/>
      </c>
      <c r="L261" s="4"/>
      <c r="M261" s="4" t="str">
        <f t="shared" ca="1" si="17"/>
        <v/>
      </c>
      <c r="N261" s="4" t="str">
        <f t="shared" si="18"/>
        <v/>
      </c>
      <c r="O261" s="4" t="str">
        <f t="shared" ca="1" si="19"/>
        <v/>
      </c>
    </row>
    <row r="262" spans="1:15" x14ac:dyDescent="0.25">
      <c r="A262" s="4"/>
      <c r="B262" s="4" t="str">
        <f ca="1">IFERROR(_xludf.XLOOKUP(A262,Pracownicy!$A$2:$A$501,Pracownicy!$B$2:$B$501),"")</f>
        <v/>
      </c>
      <c r="C262" s="4"/>
      <c r="D262" s="4" t="str">
        <f ca="1">IFERROR(_xludf.XLOOKUP(C262,Milestones!$A$2:$A$501,Milestones!$B$2:$B$501),"")</f>
        <v/>
      </c>
      <c r="E262" s="4" t="str">
        <f ca="1">IFERROR(_xludf.XLOOKUP(D262,Projekty!$A$2:$A$501,Projekty!$B$2:$B$501),"")</f>
        <v/>
      </c>
      <c r="F262" s="4" t="str">
        <f ca="1">IFERROR(_xludf.XLOOKUP(C262,Milestones!$A$2:$A$501,Milestones!$C$2:$C$501),"")</f>
        <v/>
      </c>
      <c r="G262" s="4" t="str">
        <f ca="1">IFERROR(_xludf.XLOOKUP(C262,Milestones!$A$2:$A$501,Milestones!$F$2:$F$501),"")</f>
        <v/>
      </c>
      <c r="H262" s="4" t="str">
        <f ca="1">IFERROR(_xludf.XLOOKUP(C262,Milestones!$A$2:$A$501,Milestones!$M$2:$M$501),"")</f>
        <v/>
      </c>
      <c r="I262" s="4" t="str">
        <f t="shared" ca="1" si="16"/>
        <v/>
      </c>
      <c r="J262" s="4"/>
      <c r="K262" s="4" t="str">
        <f ca="1">IFERROR(_xludf.XLOOKUP(A262,Pracownicy!$A$2:$A$501,Pracownicy!$F$2:$F$501),"")</f>
        <v/>
      </c>
      <c r="L262" s="4"/>
      <c r="M262" s="4" t="str">
        <f t="shared" ca="1" si="17"/>
        <v/>
      </c>
      <c r="N262" s="4" t="str">
        <f t="shared" si="18"/>
        <v/>
      </c>
      <c r="O262" s="4" t="str">
        <f t="shared" ca="1" si="19"/>
        <v/>
      </c>
    </row>
    <row r="263" spans="1:15" x14ac:dyDescent="0.25">
      <c r="A263" s="4"/>
      <c r="B263" s="4" t="str">
        <f ca="1">IFERROR(_xludf.XLOOKUP(A263,Pracownicy!$A$2:$A$501,Pracownicy!$B$2:$B$501),"")</f>
        <v/>
      </c>
      <c r="C263" s="4"/>
      <c r="D263" s="4" t="str">
        <f ca="1">IFERROR(_xludf.XLOOKUP(C263,Milestones!$A$2:$A$501,Milestones!$B$2:$B$501),"")</f>
        <v/>
      </c>
      <c r="E263" s="4" t="str">
        <f ca="1">IFERROR(_xludf.XLOOKUP(D263,Projekty!$A$2:$A$501,Projekty!$B$2:$B$501),"")</f>
        <v/>
      </c>
      <c r="F263" s="4" t="str">
        <f ca="1">IFERROR(_xludf.XLOOKUP(C263,Milestones!$A$2:$A$501,Milestones!$C$2:$C$501),"")</f>
        <v/>
      </c>
      <c r="G263" s="4" t="str">
        <f ca="1">IFERROR(_xludf.XLOOKUP(C263,Milestones!$A$2:$A$501,Milestones!$F$2:$F$501),"")</f>
        <v/>
      </c>
      <c r="H263" s="4" t="str">
        <f ca="1">IFERROR(_xludf.XLOOKUP(C263,Milestones!$A$2:$A$501,Milestones!$M$2:$M$501),"")</f>
        <v/>
      </c>
      <c r="I263" s="4" t="str">
        <f t="shared" ca="1" si="16"/>
        <v/>
      </c>
      <c r="J263" s="4"/>
      <c r="K263" s="4" t="str">
        <f ca="1">IFERROR(_xludf.XLOOKUP(A263,Pracownicy!$A$2:$A$501,Pracownicy!$F$2:$F$501),"")</f>
        <v/>
      </c>
      <c r="L263" s="4"/>
      <c r="M263" s="4" t="str">
        <f t="shared" ca="1" si="17"/>
        <v/>
      </c>
      <c r="N263" s="4" t="str">
        <f t="shared" si="18"/>
        <v/>
      </c>
      <c r="O263" s="4" t="str">
        <f t="shared" ca="1" si="19"/>
        <v/>
      </c>
    </row>
    <row r="264" spans="1:15" x14ac:dyDescent="0.25">
      <c r="A264" s="4"/>
      <c r="B264" s="4" t="str">
        <f ca="1">IFERROR(_xludf.XLOOKUP(A264,Pracownicy!$A$2:$A$501,Pracownicy!$B$2:$B$501),"")</f>
        <v/>
      </c>
      <c r="C264" s="4"/>
      <c r="D264" s="4" t="str">
        <f ca="1">IFERROR(_xludf.XLOOKUP(C264,Milestones!$A$2:$A$501,Milestones!$B$2:$B$501),"")</f>
        <v/>
      </c>
      <c r="E264" s="4" t="str">
        <f ca="1">IFERROR(_xludf.XLOOKUP(D264,Projekty!$A$2:$A$501,Projekty!$B$2:$B$501),"")</f>
        <v/>
      </c>
      <c r="F264" s="4" t="str">
        <f ca="1">IFERROR(_xludf.XLOOKUP(C264,Milestones!$A$2:$A$501,Milestones!$C$2:$C$501),"")</f>
        <v/>
      </c>
      <c r="G264" s="4" t="str">
        <f ca="1">IFERROR(_xludf.XLOOKUP(C264,Milestones!$A$2:$A$501,Milestones!$F$2:$F$501),"")</f>
        <v/>
      </c>
      <c r="H264" s="4" t="str">
        <f ca="1">IFERROR(_xludf.XLOOKUP(C264,Milestones!$A$2:$A$501,Milestones!$M$2:$M$501),"")</f>
        <v/>
      </c>
      <c r="I264" s="4" t="str">
        <f t="shared" ca="1" si="16"/>
        <v/>
      </c>
      <c r="J264" s="4"/>
      <c r="K264" s="4" t="str">
        <f ca="1">IFERROR(_xludf.XLOOKUP(A264,Pracownicy!$A$2:$A$501,Pracownicy!$F$2:$F$501),"")</f>
        <v/>
      </c>
      <c r="L264" s="4"/>
      <c r="M264" s="4" t="str">
        <f t="shared" ca="1" si="17"/>
        <v/>
      </c>
      <c r="N264" s="4" t="str">
        <f t="shared" si="18"/>
        <v/>
      </c>
      <c r="O264" s="4" t="str">
        <f t="shared" ca="1" si="19"/>
        <v/>
      </c>
    </row>
    <row r="265" spans="1:15" x14ac:dyDescent="0.25">
      <c r="A265" s="4"/>
      <c r="B265" s="4" t="str">
        <f ca="1">IFERROR(_xludf.XLOOKUP(A265,Pracownicy!$A$2:$A$501,Pracownicy!$B$2:$B$501),"")</f>
        <v/>
      </c>
      <c r="C265" s="4"/>
      <c r="D265" s="4" t="str">
        <f ca="1">IFERROR(_xludf.XLOOKUP(C265,Milestones!$A$2:$A$501,Milestones!$B$2:$B$501),"")</f>
        <v/>
      </c>
      <c r="E265" s="4" t="str">
        <f ca="1">IFERROR(_xludf.XLOOKUP(D265,Projekty!$A$2:$A$501,Projekty!$B$2:$B$501),"")</f>
        <v/>
      </c>
      <c r="F265" s="4" t="str">
        <f ca="1">IFERROR(_xludf.XLOOKUP(C265,Milestones!$A$2:$A$501,Milestones!$C$2:$C$501),"")</f>
        <v/>
      </c>
      <c r="G265" s="4" t="str">
        <f ca="1">IFERROR(_xludf.XLOOKUP(C265,Milestones!$A$2:$A$501,Milestones!$F$2:$F$501),"")</f>
        <v/>
      </c>
      <c r="H265" s="4" t="str">
        <f ca="1">IFERROR(_xludf.XLOOKUP(C265,Milestones!$A$2:$A$501,Milestones!$M$2:$M$501),"")</f>
        <v/>
      </c>
      <c r="I265" s="4" t="str">
        <f t="shared" ca="1" si="16"/>
        <v/>
      </c>
      <c r="J265" s="4"/>
      <c r="K265" s="4" t="str">
        <f ca="1">IFERROR(_xludf.XLOOKUP(A265,Pracownicy!$A$2:$A$501,Pracownicy!$F$2:$F$501),"")</f>
        <v/>
      </c>
      <c r="L265" s="4"/>
      <c r="M265" s="4" t="str">
        <f t="shared" ca="1" si="17"/>
        <v/>
      </c>
      <c r="N265" s="4" t="str">
        <f t="shared" si="18"/>
        <v/>
      </c>
      <c r="O265" s="4" t="str">
        <f t="shared" ca="1" si="19"/>
        <v/>
      </c>
    </row>
    <row r="266" spans="1:15" x14ac:dyDescent="0.25">
      <c r="A266" s="4"/>
      <c r="B266" s="4" t="str">
        <f ca="1">IFERROR(_xludf.XLOOKUP(A266,Pracownicy!$A$2:$A$501,Pracownicy!$B$2:$B$501),"")</f>
        <v/>
      </c>
      <c r="C266" s="4"/>
      <c r="D266" s="4" t="str">
        <f ca="1">IFERROR(_xludf.XLOOKUP(C266,Milestones!$A$2:$A$501,Milestones!$B$2:$B$501),"")</f>
        <v/>
      </c>
      <c r="E266" s="4" t="str">
        <f ca="1">IFERROR(_xludf.XLOOKUP(D266,Projekty!$A$2:$A$501,Projekty!$B$2:$B$501),"")</f>
        <v/>
      </c>
      <c r="F266" s="4" t="str">
        <f ca="1">IFERROR(_xludf.XLOOKUP(C266,Milestones!$A$2:$A$501,Milestones!$C$2:$C$501),"")</f>
        <v/>
      </c>
      <c r="G266" s="4" t="str">
        <f ca="1">IFERROR(_xludf.XLOOKUP(C266,Milestones!$A$2:$A$501,Milestones!$F$2:$F$501),"")</f>
        <v/>
      </c>
      <c r="H266" s="4" t="str">
        <f ca="1">IFERROR(_xludf.XLOOKUP(C266,Milestones!$A$2:$A$501,Milestones!$M$2:$M$501),"")</f>
        <v/>
      </c>
      <c r="I266" s="4" t="str">
        <f t="shared" ca="1" si="16"/>
        <v/>
      </c>
      <c r="J266" s="4"/>
      <c r="K266" s="4" t="str">
        <f ca="1">IFERROR(_xludf.XLOOKUP(A266,Pracownicy!$A$2:$A$501,Pracownicy!$F$2:$F$501),"")</f>
        <v/>
      </c>
      <c r="L266" s="4"/>
      <c r="M266" s="4" t="str">
        <f t="shared" ca="1" si="17"/>
        <v/>
      </c>
      <c r="N266" s="4" t="str">
        <f t="shared" si="18"/>
        <v/>
      </c>
      <c r="O266" s="4" t="str">
        <f t="shared" ca="1" si="19"/>
        <v/>
      </c>
    </row>
    <row r="267" spans="1:15" x14ac:dyDescent="0.25">
      <c r="A267" s="4"/>
      <c r="B267" s="4" t="str">
        <f ca="1">IFERROR(_xludf.XLOOKUP(A267,Pracownicy!$A$2:$A$501,Pracownicy!$B$2:$B$501),"")</f>
        <v/>
      </c>
      <c r="C267" s="4"/>
      <c r="D267" s="4" t="str">
        <f ca="1">IFERROR(_xludf.XLOOKUP(C267,Milestones!$A$2:$A$501,Milestones!$B$2:$B$501),"")</f>
        <v/>
      </c>
      <c r="E267" s="4" t="str">
        <f ca="1">IFERROR(_xludf.XLOOKUP(D267,Projekty!$A$2:$A$501,Projekty!$B$2:$B$501),"")</f>
        <v/>
      </c>
      <c r="F267" s="4" t="str">
        <f ca="1">IFERROR(_xludf.XLOOKUP(C267,Milestones!$A$2:$A$501,Milestones!$C$2:$C$501),"")</f>
        <v/>
      </c>
      <c r="G267" s="4" t="str">
        <f ca="1">IFERROR(_xludf.XLOOKUP(C267,Milestones!$A$2:$A$501,Milestones!$F$2:$F$501),"")</f>
        <v/>
      </c>
      <c r="H267" s="4" t="str">
        <f ca="1">IFERROR(_xludf.XLOOKUP(C267,Milestones!$A$2:$A$501,Milestones!$M$2:$M$501),"")</f>
        <v/>
      </c>
      <c r="I267" s="4" t="str">
        <f t="shared" ca="1" si="16"/>
        <v/>
      </c>
      <c r="J267" s="4"/>
      <c r="K267" s="4" t="str">
        <f ca="1">IFERROR(_xludf.XLOOKUP(A267,Pracownicy!$A$2:$A$501,Pracownicy!$F$2:$F$501),"")</f>
        <v/>
      </c>
      <c r="L267" s="4"/>
      <c r="M267" s="4" t="str">
        <f t="shared" ca="1" si="17"/>
        <v/>
      </c>
      <c r="N267" s="4" t="str">
        <f t="shared" si="18"/>
        <v/>
      </c>
      <c r="O267" s="4" t="str">
        <f t="shared" ca="1" si="19"/>
        <v/>
      </c>
    </row>
    <row r="268" spans="1:15" x14ac:dyDescent="0.25">
      <c r="A268" s="4"/>
      <c r="B268" s="4" t="str">
        <f ca="1">IFERROR(_xludf.XLOOKUP(A268,Pracownicy!$A$2:$A$501,Pracownicy!$B$2:$B$501),"")</f>
        <v/>
      </c>
      <c r="C268" s="4"/>
      <c r="D268" s="4" t="str">
        <f ca="1">IFERROR(_xludf.XLOOKUP(C268,Milestones!$A$2:$A$501,Milestones!$B$2:$B$501),"")</f>
        <v/>
      </c>
      <c r="E268" s="4" t="str">
        <f ca="1">IFERROR(_xludf.XLOOKUP(D268,Projekty!$A$2:$A$501,Projekty!$B$2:$B$501),"")</f>
        <v/>
      </c>
      <c r="F268" s="4" t="str">
        <f ca="1">IFERROR(_xludf.XLOOKUP(C268,Milestones!$A$2:$A$501,Milestones!$C$2:$C$501),"")</f>
        <v/>
      </c>
      <c r="G268" s="4" t="str">
        <f ca="1">IFERROR(_xludf.XLOOKUP(C268,Milestones!$A$2:$A$501,Milestones!$F$2:$F$501),"")</f>
        <v/>
      </c>
      <c r="H268" s="4" t="str">
        <f ca="1">IFERROR(_xludf.XLOOKUP(C268,Milestones!$A$2:$A$501,Milestones!$M$2:$M$501),"")</f>
        <v/>
      </c>
      <c r="I268" s="4" t="str">
        <f t="shared" ca="1" si="16"/>
        <v/>
      </c>
      <c r="J268" s="4"/>
      <c r="K268" s="4" t="str">
        <f ca="1">IFERROR(_xludf.XLOOKUP(A268,Pracownicy!$A$2:$A$501,Pracownicy!$F$2:$F$501),"")</f>
        <v/>
      </c>
      <c r="L268" s="4"/>
      <c r="M268" s="4" t="str">
        <f t="shared" ca="1" si="17"/>
        <v/>
      </c>
      <c r="N268" s="4" t="str">
        <f t="shared" si="18"/>
        <v/>
      </c>
      <c r="O268" s="4" t="str">
        <f t="shared" ca="1" si="19"/>
        <v/>
      </c>
    </row>
    <row r="269" spans="1:15" x14ac:dyDescent="0.25">
      <c r="A269" s="4"/>
      <c r="B269" s="4" t="str">
        <f ca="1">IFERROR(_xludf.XLOOKUP(A269,Pracownicy!$A$2:$A$501,Pracownicy!$B$2:$B$501),"")</f>
        <v/>
      </c>
      <c r="C269" s="4"/>
      <c r="D269" s="4" t="str">
        <f ca="1">IFERROR(_xludf.XLOOKUP(C269,Milestones!$A$2:$A$501,Milestones!$B$2:$B$501),"")</f>
        <v/>
      </c>
      <c r="E269" s="4" t="str">
        <f ca="1">IFERROR(_xludf.XLOOKUP(D269,Projekty!$A$2:$A$501,Projekty!$B$2:$B$501),"")</f>
        <v/>
      </c>
      <c r="F269" s="4" t="str">
        <f ca="1">IFERROR(_xludf.XLOOKUP(C269,Milestones!$A$2:$A$501,Milestones!$C$2:$C$501),"")</f>
        <v/>
      </c>
      <c r="G269" s="4" t="str">
        <f ca="1">IFERROR(_xludf.XLOOKUP(C269,Milestones!$A$2:$A$501,Milestones!$F$2:$F$501),"")</f>
        <v/>
      </c>
      <c r="H269" s="4" t="str">
        <f ca="1">IFERROR(_xludf.XLOOKUP(C269,Milestones!$A$2:$A$501,Milestones!$M$2:$M$501),"")</f>
        <v/>
      </c>
      <c r="I269" s="4" t="str">
        <f t="shared" ca="1" si="16"/>
        <v/>
      </c>
      <c r="J269" s="4"/>
      <c r="K269" s="4" t="str">
        <f ca="1">IFERROR(_xludf.XLOOKUP(A269,Pracownicy!$A$2:$A$501,Pracownicy!$F$2:$F$501),"")</f>
        <v/>
      </c>
      <c r="L269" s="4"/>
      <c r="M269" s="4" t="str">
        <f t="shared" ca="1" si="17"/>
        <v/>
      </c>
      <c r="N269" s="4" t="str">
        <f t="shared" si="18"/>
        <v/>
      </c>
      <c r="O269" s="4" t="str">
        <f t="shared" ca="1" si="19"/>
        <v/>
      </c>
    </row>
    <row r="270" spans="1:15" x14ac:dyDescent="0.25">
      <c r="A270" s="4"/>
      <c r="B270" s="4" t="str">
        <f ca="1">IFERROR(_xludf.XLOOKUP(A270,Pracownicy!$A$2:$A$501,Pracownicy!$B$2:$B$501),"")</f>
        <v/>
      </c>
      <c r="C270" s="4"/>
      <c r="D270" s="4" t="str">
        <f ca="1">IFERROR(_xludf.XLOOKUP(C270,Milestones!$A$2:$A$501,Milestones!$B$2:$B$501),"")</f>
        <v/>
      </c>
      <c r="E270" s="4" t="str">
        <f ca="1">IFERROR(_xludf.XLOOKUP(D270,Projekty!$A$2:$A$501,Projekty!$B$2:$B$501),"")</f>
        <v/>
      </c>
      <c r="F270" s="4" t="str">
        <f ca="1">IFERROR(_xludf.XLOOKUP(C270,Milestones!$A$2:$A$501,Milestones!$C$2:$C$501),"")</f>
        <v/>
      </c>
      <c r="G270" s="4" t="str">
        <f ca="1">IFERROR(_xludf.XLOOKUP(C270,Milestones!$A$2:$A$501,Milestones!$F$2:$F$501),"")</f>
        <v/>
      </c>
      <c r="H270" s="4" t="str">
        <f ca="1">IFERROR(_xludf.XLOOKUP(C270,Milestones!$A$2:$A$501,Milestones!$M$2:$M$501),"")</f>
        <v/>
      </c>
      <c r="I270" s="4" t="str">
        <f t="shared" ca="1" si="16"/>
        <v/>
      </c>
      <c r="J270" s="4"/>
      <c r="K270" s="4" t="str">
        <f ca="1">IFERROR(_xludf.XLOOKUP(A270,Pracownicy!$A$2:$A$501,Pracownicy!$F$2:$F$501),"")</f>
        <v/>
      </c>
      <c r="L270" s="4"/>
      <c r="M270" s="4" t="str">
        <f t="shared" ca="1" si="17"/>
        <v/>
      </c>
      <c r="N270" s="4" t="str">
        <f t="shared" si="18"/>
        <v/>
      </c>
      <c r="O270" s="4" t="str">
        <f t="shared" ca="1" si="19"/>
        <v/>
      </c>
    </row>
    <row r="271" spans="1:15" x14ac:dyDescent="0.25">
      <c r="A271" s="4"/>
      <c r="B271" s="4" t="str">
        <f ca="1">IFERROR(_xludf.XLOOKUP(A271,Pracownicy!$A$2:$A$501,Pracownicy!$B$2:$B$501),"")</f>
        <v/>
      </c>
      <c r="C271" s="4"/>
      <c r="D271" s="4" t="str">
        <f ca="1">IFERROR(_xludf.XLOOKUP(C271,Milestones!$A$2:$A$501,Milestones!$B$2:$B$501),"")</f>
        <v/>
      </c>
      <c r="E271" s="4" t="str">
        <f ca="1">IFERROR(_xludf.XLOOKUP(D271,Projekty!$A$2:$A$501,Projekty!$B$2:$B$501),"")</f>
        <v/>
      </c>
      <c r="F271" s="4" t="str">
        <f ca="1">IFERROR(_xludf.XLOOKUP(C271,Milestones!$A$2:$A$501,Milestones!$C$2:$C$501),"")</f>
        <v/>
      </c>
      <c r="G271" s="4" t="str">
        <f ca="1">IFERROR(_xludf.XLOOKUP(C271,Milestones!$A$2:$A$501,Milestones!$F$2:$F$501),"")</f>
        <v/>
      </c>
      <c r="H271" s="4" t="str">
        <f ca="1">IFERROR(_xludf.XLOOKUP(C271,Milestones!$A$2:$A$501,Milestones!$M$2:$M$501),"")</f>
        <v/>
      </c>
      <c r="I271" s="4" t="str">
        <f t="shared" ca="1" si="16"/>
        <v/>
      </c>
      <c r="J271" s="4"/>
      <c r="K271" s="4" t="str">
        <f ca="1">IFERROR(_xludf.XLOOKUP(A271,Pracownicy!$A$2:$A$501,Pracownicy!$F$2:$F$501),"")</f>
        <v/>
      </c>
      <c r="L271" s="4"/>
      <c r="M271" s="4" t="str">
        <f t="shared" ca="1" si="17"/>
        <v/>
      </c>
      <c r="N271" s="4" t="str">
        <f t="shared" si="18"/>
        <v/>
      </c>
      <c r="O271" s="4" t="str">
        <f t="shared" ca="1" si="19"/>
        <v/>
      </c>
    </row>
    <row r="272" spans="1:15" x14ac:dyDescent="0.25">
      <c r="A272" s="4"/>
      <c r="B272" s="4" t="str">
        <f ca="1">IFERROR(_xludf.XLOOKUP(A272,Pracownicy!$A$2:$A$501,Pracownicy!$B$2:$B$501),"")</f>
        <v/>
      </c>
      <c r="C272" s="4"/>
      <c r="D272" s="4" t="str">
        <f ca="1">IFERROR(_xludf.XLOOKUP(C272,Milestones!$A$2:$A$501,Milestones!$B$2:$B$501),"")</f>
        <v/>
      </c>
      <c r="E272" s="4" t="str">
        <f ca="1">IFERROR(_xludf.XLOOKUP(D272,Projekty!$A$2:$A$501,Projekty!$B$2:$B$501),"")</f>
        <v/>
      </c>
      <c r="F272" s="4" t="str">
        <f ca="1">IFERROR(_xludf.XLOOKUP(C272,Milestones!$A$2:$A$501,Milestones!$C$2:$C$501),"")</f>
        <v/>
      </c>
      <c r="G272" s="4" t="str">
        <f ca="1">IFERROR(_xludf.XLOOKUP(C272,Milestones!$A$2:$A$501,Milestones!$F$2:$F$501),"")</f>
        <v/>
      </c>
      <c r="H272" s="4" t="str">
        <f ca="1">IFERROR(_xludf.XLOOKUP(C272,Milestones!$A$2:$A$501,Milestones!$M$2:$M$501),"")</f>
        <v/>
      </c>
      <c r="I272" s="4" t="str">
        <f t="shared" ca="1" si="16"/>
        <v/>
      </c>
      <c r="J272" s="4"/>
      <c r="K272" s="4" t="str">
        <f ca="1">IFERROR(_xludf.XLOOKUP(A272,Pracownicy!$A$2:$A$501,Pracownicy!$F$2:$F$501),"")</f>
        <v/>
      </c>
      <c r="L272" s="4"/>
      <c r="M272" s="4" t="str">
        <f t="shared" ca="1" si="17"/>
        <v/>
      </c>
      <c r="N272" s="4" t="str">
        <f t="shared" si="18"/>
        <v/>
      </c>
      <c r="O272" s="4" t="str">
        <f t="shared" ca="1" si="19"/>
        <v/>
      </c>
    </row>
    <row r="273" spans="1:15" x14ac:dyDescent="0.25">
      <c r="A273" s="4"/>
      <c r="B273" s="4" t="str">
        <f ca="1">IFERROR(_xludf.XLOOKUP(A273,Pracownicy!$A$2:$A$501,Pracownicy!$B$2:$B$501),"")</f>
        <v/>
      </c>
      <c r="C273" s="4"/>
      <c r="D273" s="4" t="str">
        <f ca="1">IFERROR(_xludf.XLOOKUP(C273,Milestones!$A$2:$A$501,Milestones!$B$2:$B$501),"")</f>
        <v/>
      </c>
      <c r="E273" s="4" t="str">
        <f ca="1">IFERROR(_xludf.XLOOKUP(D273,Projekty!$A$2:$A$501,Projekty!$B$2:$B$501),"")</f>
        <v/>
      </c>
      <c r="F273" s="4" t="str">
        <f ca="1">IFERROR(_xludf.XLOOKUP(C273,Milestones!$A$2:$A$501,Milestones!$C$2:$C$501),"")</f>
        <v/>
      </c>
      <c r="G273" s="4" t="str">
        <f ca="1">IFERROR(_xludf.XLOOKUP(C273,Milestones!$A$2:$A$501,Milestones!$F$2:$F$501),"")</f>
        <v/>
      </c>
      <c r="H273" s="4" t="str">
        <f ca="1">IFERROR(_xludf.XLOOKUP(C273,Milestones!$A$2:$A$501,Milestones!$M$2:$M$501),"")</f>
        <v/>
      </c>
      <c r="I273" s="4" t="str">
        <f t="shared" ca="1" si="16"/>
        <v/>
      </c>
      <c r="J273" s="4"/>
      <c r="K273" s="4" t="str">
        <f ca="1">IFERROR(_xludf.XLOOKUP(A273,Pracownicy!$A$2:$A$501,Pracownicy!$F$2:$F$501),"")</f>
        <v/>
      </c>
      <c r="L273" s="4"/>
      <c r="M273" s="4" t="str">
        <f t="shared" ca="1" si="17"/>
        <v/>
      </c>
      <c r="N273" s="4" t="str">
        <f t="shared" si="18"/>
        <v/>
      </c>
      <c r="O273" s="4" t="str">
        <f t="shared" ca="1" si="19"/>
        <v/>
      </c>
    </row>
    <row r="274" spans="1:15" x14ac:dyDescent="0.25">
      <c r="A274" s="4"/>
      <c r="B274" s="4" t="str">
        <f ca="1">IFERROR(_xludf.XLOOKUP(A274,Pracownicy!$A$2:$A$501,Pracownicy!$B$2:$B$501),"")</f>
        <v/>
      </c>
      <c r="C274" s="4"/>
      <c r="D274" s="4" t="str">
        <f ca="1">IFERROR(_xludf.XLOOKUP(C274,Milestones!$A$2:$A$501,Milestones!$B$2:$B$501),"")</f>
        <v/>
      </c>
      <c r="E274" s="4" t="str">
        <f ca="1">IFERROR(_xludf.XLOOKUP(D274,Projekty!$A$2:$A$501,Projekty!$B$2:$B$501),"")</f>
        <v/>
      </c>
      <c r="F274" s="4" t="str">
        <f ca="1">IFERROR(_xludf.XLOOKUP(C274,Milestones!$A$2:$A$501,Milestones!$C$2:$C$501),"")</f>
        <v/>
      </c>
      <c r="G274" s="4" t="str">
        <f ca="1">IFERROR(_xludf.XLOOKUP(C274,Milestones!$A$2:$A$501,Milestones!$F$2:$F$501),"")</f>
        <v/>
      </c>
      <c r="H274" s="4" t="str">
        <f ca="1">IFERROR(_xludf.XLOOKUP(C274,Milestones!$A$2:$A$501,Milestones!$M$2:$M$501),"")</f>
        <v/>
      </c>
      <c r="I274" s="4" t="str">
        <f t="shared" ca="1" si="16"/>
        <v/>
      </c>
      <c r="J274" s="4"/>
      <c r="K274" s="4" t="str">
        <f ca="1">IFERROR(_xludf.XLOOKUP(A274,Pracownicy!$A$2:$A$501,Pracownicy!$F$2:$F$501),"")</f>
        <v/>
      </c>
      <c r="L274" s="4"/>
      <c r="M274" s="4" t="str">
        <f t="shared" ca="1" si="17"/>
        <v/>
      </c>
      <c r="N274" s="4" t="str">
        <f t="shared" si="18"/>
        <v/>
      </c>
      <c r="O274" s="4" t="str">
        <f t="shared" ca="1" si="19"/>
        <v/>
      </c>
    </row>
    <row r="275" spans="1:15" x14ac:dyDescent="0.25">
      <c r="A275" s="4"/>
      <c r="B275" s="4" t="str">
        <f ca="1">IFERROR(_xludf.XLOOKUP(A275,Pracownicy!$A$2:$A$501,Pracownicy!$B$2:$B$501),"")</f>
        <v/>
      </c>
      <c r="C275" s="4"/>
      <c r="D275" s="4" t="str">
        <f ca="1">IFERROR(_xludf.XLOOKUP(C275,Milestones!$A$2:$A$501,Milestones!$B$2:$B$501),"")</f>
        <v/>
      </c>
      <c r="E275" s="4" t="str">
        <f ca="1">IFERROR(_xludf.XLOOKUP(D275,Projekty!$A$2:$A$501,Projekty!$B$2:$B$501),"")</f>
        <v/>
      </c>
      <c r="F275" s="4" t="str">
        <f ca="1">IFERROR(_xludf.XLOOKUP(C275,Milestones!$A$2:$A$501,Milestones!$C$2:$C$501),"")</f>
        <v/>
      </c>
      <c r="G275" s="4" t="str">
        <f ca="1">IFERROR(_xludf.XLOOKUP(C275,Milestones!$A$2:$A$501,Milestones!$F$2:$F$501),"")</f>
        <v/>
      </c>
      <c r="H275" s="4" t="str">
        <f ca="1">IFERROR(_xludf.XLOOKUP(C275,Milestones!$A$2:$A$501,Milestones!$M$2:$M$501),"")</f>
        <v/>
      </c>
      <c r="I275" s="4" t="str">
        <f t="shared" ca="1" si="16"/>
        <v/>
      </c>
      <c r="J275" s="4"/>
      <c r="K275" s="4" t="str">
        <f ca="1">IFERROR(_xludf.XLOOKUP(A275,Pracownicy!$A$2:$A$501,Pracownicy!$F$2:$F$501),"")</f>
        <v/>
      </c>
      <c r="L275" s="4"/>
      <c r="M275" s="4" t="str">
        <f t="shared" ca="1" si="17"/>
        <v/>
      </c>
      <c r="N275" s="4" t="str">
        <f t="shared" si="18"/>
        <v/>
      </c>
      <c r="O275" s="4" t="str">
        <f t="shared" ca="1" si="19"/>
        <v/>
      </c>
    </row>
    <row r="276" spans="1:15" x14ac:dyDescent="0.25">
      <c r="A276" s="4"/>
      <c r="B276" s="4" t="str">
        <f ca="1">IFERROR(_xludf.XLOOKUP(A276,Pracownicy!$A$2:$A$501,Pracownicy!$B$2:$B$501),"")</f>
        <v/>
      </c>
      <c r="C276" s="4"/>
      <c r="D276" s="4" t="str">
        <f ca="1">IFERROR(_xludf.XLOOKUP(C276,Milestones!$A$2:$A$501,Milestones!$B$2:$B$501),"")</f>
        <v/>
      </c>
      <c r="E276" s="4" t="str">
        <f ca="1">IFERROR(_xludf.XLOOKUP(D276,Projekty!$A$2:$A$501,Projekty!$B$2:$B$501),"")</f>
        <v/>
      </c>
      <c r="F276" s="4" t="str">
        <f ca="1">IFERROR(_xludf.XLOOKUP(C276,Milestones!$A$2:$A$501,Milestones!$C$2:$C$501),"")</f>
        <v/>
      </c>
      <c r="G276" s="4" t="str">
        <f ca="1">IFERROR(_xludf.XLOOKUP(C276,Milestones!$A$2:$A$501,Milestones!$F$2:$F$501),"")</f>
        <v/>
      </c>
      <c r="H276" s="4" t="str">
        <f ca="1">IFERROR(_xludf.XLOOKUP(C276,Milestones!$A$2:$A$501,Milestones!$M$2:$M$501),"")</f>
        <v/>
      </c>
      <c r="I276" s="4" t="str">
        <f t="shared" ca="1" si="16"/>
        <v/>
      </c>
      <c r="J276" s="4"/>
      <c r="K276" s="4" t="str">
        <f ca="1">IFERROR(_xludf.XLOOKUP(A276,Pracownicy!$A$2:$A$501,Pracownicy!$F$2:$F$501),"")</f>
        <v/>
      </c>
      <c r="L276" s="4"/>
      <c r="M276" s="4" t="str">
        <f t="shared" ca="1" si="17"/>
        <v/>
      </c>
      <c r="N276" s="4" t="str">
        <f t="shared" si="18"/>
        <v/>
      </c>
      <c r="O276" s="4" t="str">
        <f t="shared" ca="1" si="19"/>
        <v/>
      </c>
    </row>
    <row r="277" spans="1:15" x14ac:dyDescent="0.25">
      <c r="A277" s="4"/>
      <c r="B277" s="4" t="str">
        <f ca="1">IFERROR(_xludf.XLOOKUP(A277,Pracownicy!$A$2:$A$501,Pracownicy!$B$2:$B$501),"")</f>
        <v/>
      </c>
      <c r="C277" s="4"/>
      <c r="D277" s="4" t="str">
        <f ca="1">IFERROR(_xludf.XLOOKUP(C277,Milestones!$A$2:$A$501,Milestones!$B$2:$B$501),"")</f>
        <v/>
      </c>
      <c r="E277" s="4" t="str">
        <f ca="1">IFERROR(_xludf.XLOOKUP(D277,Projekty!$A$2:$A$501,Projekty!$B$2:$B$501),"")</f>
        <v/>
      </c>
      <c r="F277" s="4" t="str">
        <f ca="1">IFERROR(_xludf.XLOOKUP(C277,Milestones!$A$2:$A$501,Milestones!$C$2:$C$501),"")</f>
        <v/>
      </c>
      <c r="G277" s="4" t="str">
        <f ca="1">IFERROR(_xludf.XLOOKUP(C277,Milestones!$A$2:$A$501,Milestones!$F$2:$F$501),"")</f>
        <v/>
      </c>
      <c r="H277" s="4" t="str">
        <f ca="1">IFERROR(_xludf.XLOOKUP(C277,Milestones!$A$2:$A$501,Milestones!$M$2:$M$501),"")</f>
        <v/>
      </c>
      <c r="I277" s="4" t="str">
        <f t="shared" ca="1" si="16"/>
        <v/>
      </c>
      <c r="J277" s="4"/>
      <c r="K277" s="4" t="str">
        <f ca="1">IFERROR(_xludf.XLOOKUP(A277,Pracownicy!$A$2:$A$501,Pracownicy!$F$2:$F$501),"")</f>
        <v/>
      </c>
      <c r="L277" s="4"/>
      <c r="M277" s="4" t="str">
        <f t="shared" ca="1" si="17"/>
        <v/>
      </c>
      <c r="N277" s="4" t="str">
        <f t="shared" si="18"/>
        <v/>
      </c>
      <c r="O277" s="4" t="str">
        <f t="shared" ca="1" si="19"/>
        <v/>
      </c>
    </row>
    <row r="278" spans="1:15" x14ac:dyDescent="0.25">
      <c r="A278" s="4"/>
      <c r="B278" s="4" t="str">
        <f ca="1">IFERROR(_xludf.XLOOKUP(A278,Pracownicy!$A$2:$A$501,Pracownicy!$B$2:$B$501),"")</f>
        <v/>
      </c>
      <c r="C278" s="4"/>
      <c r="D278" s="4" t="str">
        <f ca="1">IFERROR(_xludf.XLOOKUP(C278,Milestones!$A$2:$A$501,Milestones!$B$2:$B$501),"")</f>
        <v/>
      </c>
      <c r="E278" s="4" t="str">
        <f ca="1">IFERROR(_xludf.XLOOKUP(D278,Projekty!$A$2:$A$501,Projekty!$B$2:$B$501),"")</f>
        <v/>
      </c>
      <c r="F278" s="4" t="str">
        <f ca="1">IFERROR(_xludf.XLOOKUP(C278,Milestones!$A$2:$A$501,Milestones!$C$2:$C$501),"")</f>
        <v/>
      </c>
      <c r="G278" s="4" t="str">
        <f ca="1">IFERROR(_xludf.XLOOKUP(C278,Milestones!$A$2:$A$501,Milestones!$F$2:$F$501),"")</f>
        <v/>
      </c>
      <c r="H278" s="4" t="str">
        <f ca="1">IFERROR(_xludf.XLOOKUP(C278,Milestones!$A$2:$A$501,Milestones!$M$2:$M$501),"")</f>
        <v/>
      </c>
      <c r="I278" s="4" t="str">
        <f t="shared" ca="1" si="16"/>
        <v/>
      </c>
      <c r="J278" s="4"/>
      <c r="K278" s="4" t="str">
        <f ca="1">IFERROR(_xludf.XLOOKUP(A278,Pracownicy!$A$2:$A$501,Pracownicy!$F$2:$F$501),"")</f>
        <v/>
      </c>
      <c r="L278" s="4"/>
      <c r="M278" s="4" t="str">
        <f t="shared" ca="1" si="17"/>
        <v/>
      </c>
      <c r="N278" s="4" t="str">
        <f t="shared" si="18"/>
        <v/>
      </c>
      <c r="O278" s="4" t="str">
        <f t="shared" ca="1" si="19"/>
        <v/>
      </c>
    </row>
    <row r="279" spans="1:15" x14ac:dyDescent="0.25">
      <c r="A279" s="4"/>
      <c r="B279" s="4" t="str">
        <f ca="1">IFERROR(_xludf.XLOOKUP(A279,Pracownicy!$A$2:$A$501,Pracownicy!$B$2:$B$501),"")</f>
        <v/>
      </c>
      <c r="C279" s="4"/>
      <c r="D279" s="4" t="str">
        <f ca="1">IFERROR(_xludf.XLOOKUP(C279,Milestones!$A$2:$A$501,Milestones!$B$2:$B$501),"")</f>
        <v/>
      </c>
      <c r="E279" s="4" t="str">
        <f ca="1">IFERROR(_xludf.XLOOKUP(D279,Projekty!$A$2:$A$501,Projekty!$B$2:$B$501),"")</f>
        <v/>
      </c>
      <c r="F279" s="4" t="str">
        <f ca="1">IFERROR(_xludf.XLOOKUP(C279,Milestones!$A$2:$A$501,Milestones!$C$2:$C$501),"")</f>
        <v/>
      </c>
      <c r="G279" s="4" t="str">
        <f ca="1">IFERROR(_xludf.XLOOKUP(C279,Milestones!$A$2:$A$501,Milestones!$F$2:$F$501),"")</f>
        <v/>
      </c>
      <c r="H279" s="4" t="str">
        <f ca="1">IFERROR(_xludf.XLOOKUP(C279,Milestones!$A$2:$A$501,Milestones!$M$2:$M$501),"")</f>
        <v/>
      </c>
      <c r="I279" s="4" t="str">
        <f t="shared" ca="1" si="16"/>
        <v/>
      </c>
      <c r="J279" s="4"/>
      <c r="K279" s="4" t="str">
        <f ca="1">IFERROR(_xludf.XLOOKUP(A279,Pracownicy!$A$2:$A$501,Pracownicy!$F$2:$F$501),"")</f>
        <v/>
      </c>
      <c r="L279" s="4"/>
      <c r="M279" s="4" t="str">
        <f t="shared" ca="1" si="17"/>
        <v/>
      </c>
      <c r="N279" s="4" t="str">
        <f t="shared" si="18"/>
        <v/>
      </c>
      <c r="O279" s="4" t="str">
        <f t="shared" ca="1" si="19"/>
        <v/>
      </c>
    </row>
    <row r="280" spans="1:15" x14ac:dyDescent="0.25">
      <c r="A280" s="4"/>
      <c r="B280" s="4" t="str">
        <f ca="1">IFERROR(_xludf.XLOOKUP(A280,Pracownicy!$A$2:$A$501,Pracownicy!$B$2:$B$501),"")</f>
        <v/>
      </c>
      <c r="C280" s="4"/>
      <c r="D280" s="4" t="str">
        <f ca="1">IFERROR(_xludf.XLOOKUP(C280,Milestones!$A$2:$A$501,Milestones!$B$2:$B$501),"")</f>
        <v/>
      </c>
      <c r="E280" s="4" t="str">
        <f ca="1">IFERROR(_xludf.XLOOKUP(D280,Projekty!$A$2:$A$501,Projekty!$B$2:$B$501),"")</f>
        <v/>
      </c>
      <c r="F280" s="4" t="str">
        <f ca="1">IFERROR(_xludf.XLOOKUP(C280,Milestones!$A$2:$A$501,Milestones!$C$2:$C$501),"")</f>
        <v/>
      </c>
      <c r="G280" s="4" t="str">
        <f ca="1">IFERROR(_xludf.XLOOKUP(C280,Milestones!$A$2:$A$501,Milestones!$F$2:$F$501),"")</f>
        <v/>
      </c>
      <c r="H280" s="4" t="str">
        <f ca="1">IFERROR(_xludf.XLOOKUP(C280,Milestones!$A$2:$A$501,Milestones!$M$2:$M$501),"")</f>
        <v/>
      </c>
      <c r="I280" s="4" t="str">
        <f t="shared" ca="1" si="16"/>
        <v/>
      </c>
      <c r="J280" s="4"/>
      <c r="K280" s="4" t="str">
        <f ca="1">IFERROR(_xludf.XLOOKUP(A280,Pracownicy!$A$2:$A$501,Pracownicy!$F$2:$F$501),"")</f>
        <v/>
      </c>
      <c r="L280" s="4"/>
      <c r="M280" s="4" t="str">
        <f t="shared" ca="1" si="17"/>
        <v/>
      </c>
      <c r="N280" s="4" t="str">
        <f t="shared" si="18"/>
        <v/>
      </c>
      <c r="O280" s="4" t="str">
        <f t="shared" ca="1" si="19"/>
        <v/>
      </c>
    </row>
    <row r="281" spans="1:15" x14ac:dyDescent="0.25">
      <c r="A281" s="4"/>
      <c r="B281" s="4" t="str">
        <f ca="1">IFERROR(_xludf.XLOOKUP(A281,Pracownicy!$A$2:$A$501,Pracownicy!$B$2:$B$501),"")</f>
        <v/>
      </c>
      <c r="C281" s="4"/>
      <c r="D281" s="4" t="str">
        <f ca="1">IFERROR(_xludf.XLOOKUP(C281,Milestones!$A$2:$A$501,Milestones!$B$2:$B$501),"")</f>
        <v/>
      </c>
      <c r="E281" s="4" t="str">
        <f ca="1">IFERROR(_xludf.XLOOKUP(D281,Projekty!$A$2:$A$501,Projekty!$B$2:$B$501),"")</f>
        <v/>
      </c>
      <c r="F281" s="4" t="str">
        <f ca="1">IFERROR(_xludf.XLOOKUP(C281,Milestones!$A$2:$A$501,Milestones!$C$2:$C$501),"")</f>
        <v/>
      </c>
      <c r="G281" s="4" t="str">
        <f ca="1">IFERROR(_xludf.XLOOKUP(C281,Milestones!$A$2:$A$501,Milestones!$F$2:$F$501),"")</f>
        <v/>
      </c>
      <c r="H281" s="4" t="str">
        <f ca="1">IFERROR(_xludf.XLOOKUP(C281,Milestones!$A$2:$A$501,Milestones!$M$2:$M$501),"")</f>
        <v/>
      </c>
      <c r="I281" s="4" t="str">
        <f t="shared" ca="1" si="16"/>
        <v/>
      </c>
      <c r="J281" s="4"/>
      <c r="K281" s="4" t="str">
        <f ca="1">IFERROR(_xludf.XLOOKUP(A281,Pracownicy!$A$2:$A$501,Pracownicy!$F$2:$F$501),"")</f>
        <v/>
      </c>
      <c r="L281" s="4"/>
      <c r="M281" s="4" t="str">
        <f t="shared" ca="1" si="17"/>
        <v/>
      </c>
      <c r="N281" s="4" t="str">
        <f t="shared" si="18"/>
        <v/>
      </c>
      <c r="O281" s="4" t="str">
        <f t="shared" ca="1" si="19"/>
        <v/>
      </c>
    </row>
    <row r="282" spans="1:15" x14ac:dyDescent="0.25">
      <c r="A282" s="4"/>
      <c r="B282" s="4" t="str">
        <f ca="1">IFERROR(_xludf.XLOOKUP(A282,Pracownicy!$A$2:$A$501,Pracownicy!$B$2:$B$501),"")</f>
        <v/>
      </c>
      <c r="C282" s="4"/>
      <c r="D282" s="4" t="str">
        <f ca="1">IFERROR(_xludf.XLOOKUP(C282,Milestones!$A$2:$A$501,Milestones!$B$2:$B$501),"")</f>
        <v/>
      </c>
      <c r="E282" s="4" t="str">
        <f ca="1">IFERROR(_xludf.XLOOKUP(D282,Projekty!$A$2:$A$501,Projekty!$B$2:$B$501),"")</f>
        <v/>
      </c>
      <c r="F282" s="4" t="str">
        <f ca="1">IFERROR(_xludf.XLOOKUP(C282,Milestones!$A$2:$A$501,Milestones!$C$2:$C$501),"")</f>
        <v/>
      </c>
      <c r="G282" s="4" t="str">
        <f ca="1">IFERROR(_xludf.XLOOKUP(C282,Milestones!$A$2:$A$501,Milestones!$F$2:$F$501),"")</f>
        <v/>
      </c>
      <c r="H282" s="4" t="str">
        <f ca="1">IFERROR(_xludf.XLOOKUP(C282,Milestones!$A$2:$A$501,Milestones!$M$2:$M$501),"")</f>
        <v/>
      </c>
      <c r="I282" s="4" t="str">
        <f t="shared" ca="1" si="16"/>
        <v/>
      </c>
      <c r="J282" s="4"/>
      <c r="K282" s="4" t="str">
        <f ca="1">IFERROR(_xludf.XLOOKUP(A282,Pracownicy!$A$2:$A$501,Pracownicy!$F$2:$F$501),"")</f>
        <v/>
      </c>
      <c r="L282" s="4"/>
      <c r="M282" s="4" t="str">
        <f t="shared" ca="1" si="17"/>
        <v/>
      </c>
      <c r="N282" s="4" t="str">
        <f t="shared" si="18"/>
        <v/>
      </c>
      <c r="O282" s="4" t="str">
        <f t="shared" ca="1" si="19"/>
        <v/>
      </c>
    </row>
    <row r="283" spans="1:15" x14ac:dyDescent="0.25">
      <c r="A283" s="4"/>
      <c r="B283" s="4" t="str">
        <f ca="1">IFERROR(_xludf.XLOOKUP(A283,Pracownicy!$A$2:$A$501,Pracownicy!$B$2:$B$501),"")</f>
        <v/>
      </c>
      <c r="C283" s="4"/>
      <c r="D283" s="4" t="str">
        <f ca="1">IFERROR(_xludf.XLOOKUP(C283,Milestones!$A$2:$A$501,Milestones!$B$2:$B$501),"")</f>
        <v/>
      </c>
      <c r="E283" s="4" t="str">
        <f ca="1">IFERROR(_xludf.XLOOKUP(D283,Projekty!$A$2:$A$501,Projekty!$B$2:$B$501),"")</f>
        <v/>
      </c>
      <c r="F283" s="4" t="str">
        <f ca="1">IFERROR(_xludf.XLOOKUP(C283,Milestones!$A$2:$A$501,Milestones!$C$2:$C$501),"")</f>
        <v/>
      </c>
      <c r="G283" s="4" t="str">
        <f ca="1">IFERROR(_xludf.XLOOKUP(C283,Milestones!$A$2:$A$501,Milestones!$F$2:$F$501),"")</f>
        <v/>
      </c>
      <c r="H283" s="4" t="str">
        <f ca="1">IFERROR(_xludf.XLOOKUP(C283,Milestones!$A$2:$A$501,Milestones!$M$2:$M$501),"")</f>
        <v/>
      </c>
      <c r="I283" s="4" t="str">
        <f t="shared" ca="1" si="16"/>
        <v/>
      </c>
      <c r="J283" s="4"/>
      <c r="K283" s="4" t="str">
        <f ca="1">IFERROR(_xludf.XLOOKUP(A283,Pracownicy!$A$2:$A$501,Pracownicy!$F$2:$F$501),"")</f>
        <v/>
      </c>
      <c r="L283" s="4"/>
      <c r="M283" s="4" t="str">
        <f t="shared" ca="1" si="17"/>
        <v/>
      </c>
      <c r="N283" s="4" t="str">
        <f t="shared" si="18"/>
        <v/>
      </c>
      <c r="O283" s="4" t="str">
        <f t="shared" ca="1" si="19"/>
        <v/>
      </c>
    </row>
    <row r="284" spans="1:15" x14ac:dyDescent="0.25">
      <c r="A284" s="4"/>
      <c r="B284" s="4" t="str">
        <f ca="1">IFERROR(_xludf.XLOOKUP(A284,Pracownicy!$A$2:$A$501,Pracownicy!$B$2:$B$501),"")</f>
        <v/>
      </c>
      <c r="C284" s="4"/>
      <c r="D284" s="4" t="str">
        <f ca="1">IFERROR(_xludf.XLOOKUP(C284,Milestones!$A$2:$A$501,Milestones!$B$2:$B$501),"")</f>
        <v/>
      </c>
      <c r="E284" s="4" t="str">
        <f ca="1">IFERROR(_xludf.XLOOKUP(D284,Projekty!$A$2:$A$501,Projekty!$B$2:$B$501),"")</f>
        <v/>
      </c>
      <c r="F284" s="4" t="str">
        <f ca="1">IFERROR(_xludf.XLOOKUP(C284,Milestones!$A$2:$A$501,Milestones!$C$2:$C$501),"")</f>
        <v/>
      </c>
      <c r="G284" s="4" t="str">
        <f ca="1">IFERROR(_xludf.XLOOKUP(C284,Milestones!$A$2:$A$501,Milestones!$F$2:$F$501),"")</f>
        <v/>
      </c>
      <c r="H284" s="4" t="str">
        <f ca="1">IFERROR(_xludf.XLOOKUP(C284,Milestones!$A$2:$A$501,Milestones!$M$2:$M$501),"")</f>
        <v/>
      </c>
      <c r="I284" s="4" t="str">
        <f t="shared" ca="1" si="16"/>
        <v/>
      </c>
      <c r="J284" s="4"/>
      <c r="K284" s="4" t="str">
        <f ca="1">IFERROR(_xludf.XLOOKUP(A284,Pracownicy!$A$2:$A$501,Pracownicy!$F$2:$F$501),"")</f>
        <v/>
      </c>
      <c r="L284" s="4"/>
      <c r="M284" s="4" t="str">
        <f t="shared" ca="1" si="17"/>
        <v/>
      </c>
      <c r="N284" s="4" t="str">
        <f t="shared" si="18"/>
        <v/>
      </c>
      <c r="O284" s="4" t="str">
        <f t="shared" ca="1" si="19"/>
        <v/>
      </c>
    </row>
    <row r="285" spans="1:15" x14ac:dyDescent="0.25">
      <c r="A285" s="4"/>
      <c r="B285" s="4" t="str">
        <f ca="1">IFERROR(_xludf.XLOOKUP(A285,Pracownicy!$A$2:$A$501,Pracownicy!$B$2:$B$501),"")</f>
        <v/>
      </c>
      <c r="C285" s="4"/>
      <c r="D285" s="4" t="str">
        <f ca="1">IFERROR(_xludf.XLOOKUP(C285,Milestones!$A$2:$A$501,Milestones!$B$2:$B$501),"")</f>
        <v/>
      </c>
      <c r="E285" s="4" t="str">
        <f ca="1">IFERROR(_xludf.XLOOKUP(D285,Projekty!$A$2:$A$501,Projekty!$B$2:$B$501),"")</f>
        <v/>
      </c>
      <c r="F285" s="4" t="str">
        <f ca="1">IFERROR(_xludf.XLOOKUP(C285,Milestones!$A$2:$A$501,Milestones!$C$2:$C$501),"")</f>
        <v/>
      </c>
      <c r="G285" s="4" t="str">
        <f ca="1">IFERROR(_xludf.XLOOKUP(C285,Milestones!$A$2:$A$501,Milestones!$F$2:$F$501),"")</f>
        <v/>
      </c>
      <c r="H285" s="4" t="str">
        <f ca="1">IFERROR(_xludf.XLOOKUP(C285,Milestones!$A$2:$A$501,Milestones!$M$2:$M$501),"")</f>
        <v/>
      </c>
      <c r="I285" s="4" t="str">
        <f t="shared" ca="1" si="16"/>
        <v/>
      </c>
      <c r="J285" s="4"/>
      <c r="K285" s="4" t="str">
        <f ca="1">IFERROR(_xludf.XLOOKUP(A285,Pracownicy!$A$2:$A$501,Pracownicy!$F$2:$F$501),"")</f>
        <v/>
      </c>
      <c r="L285" s="4"/>
      <c r="M285" s="4" t="str">
        <f t="shared" ca="1" si="17"/>
        <v/>
      </c>
      <c r="N285" s="4" t="str">
        <f t="shared" si="18"/>
        <v/>
      </c>
      <c r="O285" s="4" t="str">
        <f t="shared" ca="1" si="19"/>
        <v/>
      </c>
    </row>
    <row r="286" spans="1:15" x14ac:dyDescent="0.25">
      <c r="A286" s="4"/>
      <c r="B286" s="4" t="str">
        <f ca="1">IFERROR(_xludf.XLOOKUP(A286,Pracownicy!$A$2:$A$501,Pracownicy!$B$2:$B$501),"")</f>
        <v/>
      </c>
      <c r="C286" s="4"/>
      <c r="D286" s="4" t="str">
        <f ca="1">IFERROR(_xludf.XLOOKUP(C286,Milestones!$A$2:$A$501,Milestones!$B$2:$B$501),"")</f>
        <v/>
      </c>
      <c r="E286" s="4" t="str">
        <f ca="1">IFERROR(_xludf.XLOOKUP(D286,Projekty!$A$2:$A$501,Projekty!$B$2:$B$501),"")</f>
        <v/>
      </c>
      <c r="F286" s="4" t="str">
        <f ca="1">IFERROR(_xludf.XLOOKUP(C286,Milestones!$A$2:$A$501,Milestones!$C$2:$C$501),"")</f>
        <v/>
      </c>
      <c r="G286" s="4" t="str">
        <f ca="1">IFERROR(_xludf.XLOOKUP(C286,Milestones!$A$2:$A$501,Milestones!$F$2:$F$501),"")</f>
        <v/>
      </c>
      <c r="H286" s="4" t="str">
        <f ca="1">IFERROR(_xludf.XLOOKUP(C286,Milestones!$A$2:$A$501,Milestones!$M$2:$M$501),"")</f>
        <v/>
      </c>
      <c r="I286" s="4" t="str">
        <f t="shared" ca="1" si="16"/>
        <v/>
      </c>
      <c r="J286" s="4"/>
      <c r="K286" s="4" t="str">
        <f ca="1">IFERROR(_xludf.XLOOKUP(A286,Pracownicy!$A$2:$A$501,Pracownicy!$F$2:$F$501),"")</f>
        <v/>
      </c>
      <c r="L286" s="4"/>
      <c r="M286" s="4" t="str">
        <f t="shared" ca="1" si="17"/>
        <v/>
      </c>
      <c r="N286" s="4" t="str">
        <f t="shared" si="18"/>
        <v/>
      </c>
      <c r="O286" s="4" t="str">
        <f t="shared" ca="1" si="19"/>
        <v/>
      </c>
    </row>
    <row r="287" spans="1:15" x14ac:dyDescent="0.25">
      <c r="A287" s="4"/>
      <c r="B287" s="4" t="str">
        <f ca="1">IFERROR(_xludf.XLOOKUP(A287,Pracownicy!$A$2:$A$501,Pracownicy!$B$2:$B$501),"")</f>
        <v/>
      </c>
      <c r="C287" s="4"/>
      <c r="D287" s="4" t="str">
        <f ca="1">IFERROR(_xludf.XLOOKUP(C287,Milestones!$A$2:$A$501,Milestones!$B$2:$B$501),"")</f>
        <v/>
      </c>
      <c r="E287" s="4" t="str">
        <f ca="1">IFERROR(_xludf.XLOOKUP(D287,Projekty!$A$2:$A$501,Projekty!$B$2:$B$501),"")</f>
        <v/>
      </c>
      <c r="F287" s="4" t="str">
        <f ca="1">IFERROR(_xludf.XLOOKUP(C287,Milestones!$A$2:$A$501,Milestones!$C$2:$C$501),"")</f>
        <v/>
      </c>
      <c r="G287" s="4" t="str">
        <f ca="1">IFERROR(_xludf.XLOOKUP(C287,Milestones!$A$2:$A$501,Milestones!$F$2:$F$501),"")</f>
        <v/>
      </c>
      <c r="H287" s="4" t="str">
        <f ca="1">IFERROR(_xludf.XLOOKUP(C287,Milestones!$A$2:$A$501,Milestones!$M$2:$M$501),"")</f>
        <v/>
      </c>
      <c r="I287" s="4" t="str">
        <f t="shared" ca="1" si="16"/>
        <v/>
      </c>
      <c r="J287" s="4"/>
      <c r="K287" s="4" t="str">
        <f ca="1">IFERROR(_xludf.XLOOKUP(A287,Pracownicy!$A$2:$A$501,Pracownicy!$F$2:$F$501),"")</f>
        <v/>
      </c>
      <c r="L287" s="4"/>
      <c r="M287" s="4" t="str">
        <f t="shared" ca="1" si="17"/>
        <v/>
      </c>
      <c r="N287" s="4" t="str">
        <f t="shared" si="18"/>
        <v/>
      </c>
      <c r="O287" s="4" t="str">
        <f t="shared" ca="1" si="19"/>
        <v/>
      </c>
    </row>
    <row r="288" spans="1:15" x14ac:dyDescent="0.25">
      <c r="A288" s="4"/>
      <c r="B288" s="4" t="str">
        <f ca="1">IFERROR(_xludf.XLOOKUP(A288,Pracownicy!$A$2:$A$501,Pracownicy!$B$2:$B$501),"")</f>
        <v/>
      </c>
      <c r="C288" s="4"/>
      <c r="D288" s="4" t="str">
        <f ca="1">IFERROR(_xludf.XLOOKUP(C288,Milestones!$A$2:$A$501,Milestones!$B$2:$B$501),"")</f>
        <v/>
      </c>
      <c r="E288" s="4" t="str">
        <f ca="1">IFERROR(_xludf.XLOOKUP(D288,Projekty!$A$2:$A$501,Projekty!$B$2:$B$501),"")</f>
        <v/>
      </c>
      <c r="F288" s="4" t="str">
        <f ca="1">IFERROR(_xludf.XLOOKUP(C288,Milestones!$A$2:$A$501,Milestones!$C$2:$C$501),"")</f>
        <v/>
      </c>
      <c r="G288" s="4" t="str">
        <f ca="1">IFERROR(_xludf.XLOOKUP(C288,Milestones!$A$2:$A$501,Milestones!$F$2:$F$501),"")</f>
        <v/>
      </c>
      <c r="H288" s="4" t="str">
        <f ca="1">IFERROR(_xludf.XLOOKUP(C288,Milestones!$A$2:$A$501,Milestones!$M$2:$M$501),"")</f>
        <v/>
      </c>
      <c r="I288" s="4" t="str">
        <f t="shared" ca="1" si="16"/>
        <v/>
      </c>
      <c r="J288" s="4"/>
      <c r="K288" s="4" t="str">
        <f ca="1">IFERROR(_xludf.XLOOKUP(A288,Pracownicy!$A$2:$A$501,Pracownicy!$F$2:$F$501),"")</f>
        <v/>
      </c>
      <c r="L288" s="4"/>
      <c r="M288" s="4" t="str">
        <f t="shared" ca="1" si="17"/>
        <v/>
      </c>
      <c r="N288" s="4" t="str">
        <f t="shared" si="18"/>
        <v/>
      </c>
      <c r="O288" s="4" t="str">
        <f t="shared" ca="1" si="19"/>
        <v/>
      </c>
    </row>
    <row r="289" spans="1:15" x14ac:dyDescent="0.25">
      <c r="A289" s="4"/>
      <c r="B289" s="4" t="str">
        <f ca="1">IFERROR(_xludf.XLOOKUP(A289,Pracownicy!$A$2:$A$501,Pracownicy!$B$2:$B$501),"")</f>
        <v/>
      </c>
      <c r="C289" s="4"/>
      <c r="D289" s="4" t="str">
        <f ca="1">IFERROR(_xludf.XLOOKUP(C289,Milestones!$A$2:$A$501,Milestones!$B$2:$B$501),"")</f>
        <v/>
      </c>
      <c r="E289" s="4" t="str">
        <f ca="1">IFERROR(_xludf.XLOOKUP(D289,Projekty!$A$2:$A$501,Projekty!$B$2:$B$501),"")</f>
        <v/>
      </c>
      <c r="F289" s="4" t="str">
        <f ca="1">IFERROR(_xludf.XLOOKUP(C289,Milestones!$A$2:$A$501,Milestones!$C$2:$C$501),"")</f>
        <v/>
      </c>
      <c r="G289" s="4" t="str">
        <f ca="1">IFERROR(_xludf.XLOOKUP(C289,Milestones!$A$2:$A$501,Milestones!$F$2:$F$501),"")</f>
        <v/>
      </c>
      <c r="H289" s="4" t="str">
        <f ca="1">IFERROR(_xludf.XLOOKUP(C289,Milestones!$A$2:$A$501,Milestones!$M$2:$M$501),"")</f>
        <v/>
      </c>
      <c r="I289" s="4" t="str">
        <f t="shared" ca="1" si="16"/>
        <v/>
      </c>
      <c r="J289" s="4"/>
      <c r="K289" s="4" t="str">
        <f ca="1">IFERROR(_xludf.XLOOKUP(A289,Pracownicy!$A$2:$A$501,Pracownicy!$F$2:$F$501),"")</f>
        <v/>
      </c>
      <c r="L289" s="4"/>
      <c r="M289" s="4" t="str">
        <f t="shared" ca="1" si="17"/>
        <v/>
      </c>
      <c r="N289" s="4" t="str">
        <f t="shared" si="18"/>
        <v/>
      </c>
      <c r="O289" s="4" t="str">
        <f t="shared" ca="1" si="19"/>
        <v/>
      </c>
    </row>
    <row r="290" spans="1:15" x14ac:dyDescent="0.25">
      <c r="A290" s="4"/>
      <c r="B290" s="4" t="str">
        <f ca="1">IFERROR(_xludf.XLOOKUP(A290,Pracownicy!$A$2:$A$501,Pracownicy!$B$2:$B$501),"")</f>
        <v/>
      </c>
      <c r="C290" s="4"/>
      <c r="D290" s="4" t="str">
        <f ca="1">IFERROR(_xludf.XLOOKUP(C290,Milestones!$A$2:$A$501,Milestones!$B$2:$B$501),"")</f>
        <v/>
      </c>
      <c r="E290" s="4" t="str">
        <f ca="1">IFERROR(_xludf.XLOOKUP(D290,Projekty!$A$2:$A$501,Projekty!$B$2:$B$501),"")</f>
        <v/>
      </c>
      <c r="F290" s="4" t="str">
        <f ca="1">IFERROR(_xludf.XLOOKUP(C290,Milestones!$A$2:$A$501,Milestones!$C$2:$C$501),"")</f>
        <v/>
      </c>
      <c r="G290" s="4" t="str">
        <f ca="1">IFERROR(_xludf.XLOOKUP(C290,Milestones!$A$2:$A$501,Milestones!$F$2:$F$501),"")</f>
        <v/>
      </c>
      <c r="H290" s="4" t="str">
        <f ca="1">IFERROR(_xludf.XLOOKUP(C290,Milestones!$A$2:$A$501,Milestones!$M$2:$M$501),"")</f>
        <v/>
      </c>
      <c r="I290" s="4" t="str">
        <f t="shared" ca="1" si="16"/>
        <v/>
      </c>
      <c r="J290" s="4"/>
      <c r="K290" s="4" t="str">
        <f ca="1">IFERROR(_xludf.XLOOKUP(A290,Pracownicy!$A$2:$A$501,Pracownicy!$F$2:$F$501),"")</f>
        <v/>
      </c>
      <c r="L290" s="4"/>
      <c r="M290" s="4" t="str">
        <f t="shared" ca="1" si="17"/>
        <v/>
      </c>
      <c r="N290" s="4" t="str">
        <f t="shared" si="18"/>
        <v/>
      </c>
      <c r="O290" s="4" t="str">
        <f t="shared" ca="1" si="19"/>
        <v/>
      </c>
    </row>
    <row r="291" spans="1:15" x14ac:dyDescent="0.25">
      <c r="A291" s="4"/>
      <c r="B291" s="4" t="str">
        <f ca="1">IFERROR(_xludf.XLOOKUP(A291,Pracownicy!$A$2:$A$501,Pracownicy!$B$2:$B$501),"")</f>
        <v/>
      </c>
      <c r="C291" s="4"/>
      <c r="D291" s="4" t="str">
        <f ca="1">IFERROR(_xludf.XLOOKUP(C291,Milestones!$A$2:$A$501,Milestones!$B$2:$B$501),"")</f>
        <v/>
      </c>
      <c r="E291" s="4" t="str">
        <f ca="1">IFERROR(_xludf.XLOOKUP(D291,Projekty!$A$2:$A$501,Projekty!$B$2:$B$501),"")</f>
        <v/>
      </c>
      <c r="F291" s="4" t="str">
        <f ca="1">IFERROR(_xludf.XLOOKUP(C291,Milestones!$A$2:$A$501,Milestones!$C$2:$C$501),"")</f>
        <v/>
      </c>
      <c r="G291" s="4" t="str">
        <f ca="1">IFERROR(_xludf.XLOOKUP(C291,Milestones!$A$2:$A$501,Milestones!$F$2:$F$501),"")</f>
        <v/>
      </c>
      <c r="H291" s="4" t="str">
        <f ca="1">IFERROR(_xludf.XLOOKUP(C291,Milestones!$A$2:$A$501,Milestones!$M$2:$M$501),"")</f>
        <v/>
      </c>
      <c r="I291" s="4" t="str">
        <f t="shared" ca="1" si="16"/>
        <v/>
      </c>
      <c r="J291" s="4"/>
      <c r="K291" s="4" t="str">
        <f ca="1">IFERROR(_xludf.XLOOKUP(A291,Pracownicy!$A$2:$A$501,Pracownicy!$F$2:$F$501),"")</f>
        <v/>
      </c>
      <c r="L291" s="4"/>
      <c r="M291" s="4" t="str">
        <f t="shared" ca="1" si="17"/>
        <v/>
      </c>
      <c r="N291" s="4" t="str">
        <f t="shared" si="18"/>
        <v/>
      </c>
      <c r="O291" s="4" t="str">
        <f t="shared" ca="1" si="19"/>
        <v/>
      </c>
    </row>
    <row r="292" spans="1:15" x14ac:dyDescent="0.25">
      <c r="A292" s="4"/>
      <c r="B292" s="4" t="str">
        <f ca="1">IFERROR(_xludf.XLOOKUP(A292,Pracownicy!$A$2:$A$501,Pracownicy!$B$2:$B$501),"")</f>
        <v/>
      </c>
      <c r="C292" s="4"/>
      <c r="D292" s="4" t="str">
        <f ca="1">IFERROR(_xludf.XLOOKUP(C292,Milestones!$A$2:$A$501,Milestones!$B$2:$B$501),"")</f>
        <v/>
      </c>
      <c r="E292" s="4" t="str">
        <f ca="1">IFERROR(_xludf.XLOOKUP(D292,Projekty!$A$2:$A$501,Projekty!$B$2:$B$501),"")</f>
        <v/>
      </c>
      <c r="F292" s="4" t="str">
        <f ca="1">IFERROR(_xludf.XLOOKUP(C292,Milestones!$A$2:$A$501,Milestones!$C$2:$C$501),"")</f>
        <v/>
      </c>
      <c r="G292" s="4" t="str">
        <f ca="1">IFERROR(_xludf.XLOOKUP(C292,Milestones!$A$2:$A$501,Milestones!$F$2:$F$501),"")</f>
        <v/>
      </c>
      <c r="H292" s="4" t="str">
        <f ca="1">IFERROR(_xludf.XLOOKUP(C292,Milestones!$A$2:$A$501,Milestones!$M$2:$M$501),"")</f>
        <v/>
      </c>
      <c r="I292" s="4" t="str">
        <f t="shared" ca="1" si="16"/>
        <v/>
      </c>
      <c r="J292" s="4"/>
      <c r="K292" s="4" t="str">
        <f ca="1">IFERROR(_xludf.XLOOKUP(A292,Pracownicy!$A$2:$A$501,Pracownicy!$F$2:$F$501),"")</f>
        <v/>
      </c>
      <c r="L292" s="4"/>
      <c r="M292" s="4" t="str">
        <f t="shared" ca="1" si="17"/>
        <v/>
      </c>
      <c r="N292" s="4" t="str">
        <f t="shared" si="18"/>
        <v/>
      </c>
      <c r="O292" s="4" t="str">
        <f t="shared" ca="1" si="19"/>
        <v/>
      </c>
    </row>
    <row r="293" spans="1:15" x14ac:dyDescent="0.25">
      <c r="A293" s="4"/>
      <c r="B293" s="4" t="str">
        <f ca="1">IFERROR(_xludf.XLOOKUP(A293,Pracownicy!$A$2:$A$501,Pracownicy!$B$2:$B$501),"")</f>
        <v/>
      </c>
      <c r="C293" s="4"/>
      <c r="D293" s="4" t="str">
        <f ca="1">IFERROR(_xludf.XLOOKUP(C293,Milestones!$A$2:$A$501,Milestones!$B$2:$B$501),"")</f>
        <v/>
      </c>
      <c r="E293" s="4" t="str">
        <f ca="1">IFERROR(_xludf.XLOOKUP(D293,Projekty!$A$2:$A$501,Projekty!$B$2:$B$501),"")</f>
        <v/>
      </c>
      <c r="F293" s="4" t="str">
        <f ca="1">IFERROR(_xludf.XLOOKUP(C293,Milestones!$A$2:$A$501,Milestones!$C$2:$C$501),"")</f>
        <v/>
      </c>
      <c r="G293" s="4" t="str">
        <f ca="1">IFERROR(_xludf.XLOOKUP(C293,Milestones!$A$2:$A$501,Milestones!$F$2:$F$501),"")</f>
        <v/>
      </c>
      <c r="H293" s="4" t="str">
        <f ca="1">IFERROR(_xludf.XLOOKUP(C293,Milestones!$A$2:$A$501,Milestones!$M$2:$M$501),"")</f>
        <v/>
      </c>
      <c r="I293" s="4" t="str">
        <f t="shared" ca="1" si="16"/>
        <v/>
      </c>
      <c r="J293" s="4"/>
      <c r="K293" s="4" t="str">
        <f ca="1">IFERROR(_xludf.XLOOKUP(A293,Pracownicy!$A$2:$A$501,Pracownicy!$F$2:$F$501),"")</f>
        <v/>
      </c>
      <c r="L293" s="4"/>
      <c r="M293" s="4" t="str">
        <f t="shared" ca="1" si="17"/>
        <v/>
      </c>
      <c r="N293" s="4" t="str">
        <f t="shared" si="18"/>
        <v/>
      </c>
      <c r="O293" s="4" t="str">
        <f t="shared" ca="1" si="19"/>
        <v/>
      </c>
    </row>
    <row r="294" spans="1:15" x14ac:dyDescent="0.25">
      <c r="A294" s="4"/>
      <c r="B294" s="4" t="str">
        <f ca="1">IFERROR(_xludf.XLOOKUP(A294,Pracownicy!$A$2:$A$501,Pracownicy!$B$2:$B$501),"")</f>
        <v/>
      </c>
      <c r="C294" s="4"/>
      <c r="D294" s="4" t="str">
        <f ca="1">IFERROR(_xludf.XLOOKUP(C294,Milestones!$A$2:$A$501,Milestones!$B$2:$B$501),"")</f>
        <v/>
      </c>
      <c r="E294" s="4" t="str">
        <f ca="1">IFERROR(_xludf.XLOOKUP(D294,Projekty!$A$2:$A$501,Projekty!$B$2:$B$501),"")</f>
        <v/>
      </c>
      <c r="F294" s="4" t="str">
        <f ca="1">IFERROR(_xludf.XLOOKUP(C294,Milestones!$A$2:$A$501,Milestones!$C$2:$C$501),"")</f>
        <v/>
      </c>
      <c r="G294" s="4" t="str">
        <f ca="1">IFERROR(_xludf.XLOOKUP(C294,Milestones!$A$2:$A$501,Milestones!$F$2:$F$501),"")</f>
        <v/>
      </c>
      <c r="H294" s="4" t="str">
        <f ca="1">IFERROR(_xludf.XLOOKUP(C294,Milestones!$A$2:$A$501,Milestones!$M$2:$M$501),"")</f>
        <v/>
      </c>
      <c r="I294" s="4" t="str">
        <f t="shared" ca="1" si="16"/>
        <v/>
      </c>
      <c r="J294" s="4"/>
      <c r="K294" s="4" t="str">
        <f ca="1">IFERROR(_xludf.XLOOKUP(A294,Pracownicy!$A$2:$A$501,Pracownicy!$F$2:$F$501),"")</f>
        <v/>
      </c>
      <c r="L294" s="4"/>
      <c r="M294" s="4" t="str">
        <f t="shared" ca="1" si="17"/>
        <v/>
      </c>
      <c r="N294" s="4" t="str">
        <f t="shared" si="18"/>
        <v/>
      </c>
      <c r="O294" s="4" t="str">
        <f t="shared" ca="1" si="19"/>
        <v/>
      </c>
    </row>
    <row r="295" spans="1:15" x14ac:dyDescent="0.25">
      <c r="A295" s="4"/>
      <c r="B295" s="4" t="str">
        <f ca="1">IFERROR(_xludf.XLOOKUP(A295,Pracownicy!$A$2:$A$501,Pracownicy!$B$2:$B$501),"")</f>
        <v/>
      </c>
      <c r="C295" s="4"/>
      <c r="D295" s="4" t="str">
        <f ca="1">IFERROR(_xludf.XLOOKUP(C295,Milestones!$A$2:$A$501,Milestones!$B$2:$B$501),"")</f>
        <v/>
      </c>
      <c r="E295" s="4" t="str">
        <f ca="1">IFERROR(_xludf.XLOOKUP(D295,Projekty!$A$2:$A$501,Projekty!$B$2:$B$501),"")</f>
        <v/>
      </c>
      <c r="F295" s="4" t="str">
        <f ca="1">IFERROR(_xludf.XLOOKUP(C295,Milestones!$A$2:$A$501,Milestones!$C$2:$C$501),"")</f>
        <v/>
      </c>
      <c r="G295" s="4" t="str">
        <f ca="1">IFERROR(_xludf.XLOOKUP(C295,Milestones!$A$2:$A$501,Milestones!$F$2:$F$501),"")</f>
        <v/>
      </c>
      <c r="H295" s="4" t="str">
        <f ca="1">IFERROR(_xludf.XLOOKUP(C295,Milestones!$A$2:$A$501,Milestones!$M$2:$M$501),"")</f>
        <v/>
      </c>
      <c r="I295" s="4" t="str">
        <f t="shared" ca="1" si="16"/>
        <v/>
      </c>
      <c r="J295" s="4"/>
      <c r="K295" s="4" t="str">
        <f ca="1">IFERROR(_xludf.XLOOKUP(A295,Pracownicy!$A$2:$A$501,Pracownicy!$F$2:$F$501),"")</f>
        <v/>
      </c>
      <c r="L295" s="4"/>
      <c r="M295" s="4" t="str">
        <f t="shared" ca="1" si="17"/>
        <v/>
      </c>
      <c r="N295" s="4" t="str">
        <f t="shared" si="18"/>
        <v/>
      </c>
      <c r="O295" s="4" t="str">
        <f t="shared" ca="1" si="19"/>
        <v/>
      </c>
    </row>
    <row r="296" spans="1:15" x14ac:dyDescent="0.25">
      <c r="A296" s="4"/>
      <c r="B296" s="4" t="str">
        <f ca="1">IFERROR(_xludf.XLOOKUP(A296,Pracownicy!$A$2:$A$501,Pracownicy!$B$2:$B$501),"")</f>
        <v/>
      </c>
      <c r="C296" s="4"/>
      <c r="D296" s="4" t="str">
        <f ca="1">IFERROR(_xludf.XLOOKUP(C296,Milestones!$A$2:$A$501,Milestones!$B$2:$B$501),"")</f>
        <v/>
      </c>
      <c r="E296" s="4" t="str">
        <f ca="1">IFERROR(_xludf.XLOOKUP(D296,Projekty!$A$2:$A$501,Projekty!$B$2:$B$501),"")</f>
        <v/>
      </c>
      <c r="F296" s="4" t="str">
        <f ca="1">IFERROR(_xludf.XLOOKUP(C296,Milestones!$A$2:$A$501,Milestones!$C$2:$C$501),"")</f>
        <v/>
      </c>
      <c r="G296" s="4" t="str">
        <f ca="1">IFERROR(_xludf.XLOOKUP(C296,Milestones!$A$2:$A$501,Milestones!$F$2:$F$501),"")</f>
        <v/>
      </c>
      <c r="H296" s="4" t="str">
        <f ca="1">IFERROR(_xludf.XLOOKUP(C296,Milestones!$A$2:$A$501,Milestones!$M$2:$M$501),"")</f>
        <v/>
      </c>
      <c r="I296" s="4" t="str">
        <f t="shared" ca="1" si="16"/>
        <v/>
      </c>
      <c r="J296" s="4"/>
      <c r="K296" s="4" t="str">
        <f ca="1">IFERROR(_xludf.XLOOKUP(A296,Pracownicy!$A$2:$A$501,Pracownicy!$F$2:$F$501),"")</f>
        <v/>
      </c>
      <c r="L296" s="4"/>
      <c r="M296" s="4" t="str">
        <f t="shared" ca="1" si="17"/>
        <v/>
      </c>
      <c r="N296" s="4" t="str">
        <f t="shared" si="18"/>
        <v/>
      </c>
      <c r="O296" s="4" t="str">
        <f t="shared" ca="1" si="19"/>
        <v/>
      </c>
    </row>
    <row r="297" spans="1:15" x14ac:dyDescent="0.25">
      <c r="A297" s="4"/>
      <c r="B297" s="4" t="str">
        <f ca="1">IFERROR(_xludf.XLOOKUP(A297,Pracownicy!$A$2:$A$501,Pracownicy!$B$2:$B$501),"")</f>
        <v/>
      </c>
      <c r="C297" s="4"/>
      <c r="D297" s="4" t="str">
        <f ca="1">IFERROR(_xludf.XLOOKUP(C297,Milestones!$A$2:$A$501,Milestones!$B$2:$B$501),"")</f>
        <v/>
      </c>
      <c r="E297" s="4" t="str">
        <f ca="1">IFERROR(_xludf.XLOOKUP(D297,Projekty!$A$2:$A$501,Projekty!$B$2:$B$501),"")</f>
        <v/>
      </c>
      <c r="F297" s="4" t="str">
        <f ca="1">IFERROR(_xludf.XLOOKUP(C297,Milestones!$A$2:$A$501,Milestones!$C$2:$C$501),"")</f>
        <v/>
      </c>
      <c r="G297" s="4" t="str">
        <f ca="1">IFERROR(_xludf.XLOOKUP(C297,Milestones!$A$2:$A$501,Milestones!$F$2:$F$501),"")</f>
        <v/>
      </c>
      <c r="H297" s="4" t="str">
        <f ca="1">IFERROR(_xludf.XLOOKUP(C297,Milestones!$A$2:$A$501,Milestones!$M$2:$M$501),"")</f>
        <v/>
      </c>
      <c r="I297" s="4" t="str">
        <f t="shared" ca="1" si="16"/>
        <v/>
      </c>
      <c r="J297" s="4"/>
      <c r="K297" s="4" t="str">
        <f ca="1">IFERROR(_xludf.XLOOKUP(A297,Pracownicy!$A$2:$A$501,Pracownicy!$F$2:$F$501),"")</f>
        <v/>
      </c>
      <c r="L297" s="4"/>
      <c r="M297" s="4" t="str">
        <f t="shared" ca="1" si="17"/>
        <v/>
      </c>
      <c r="N297" s="4" t="str">
        <f t="shared" si="18"/>
        <v/>
      </c>
      <c r="O297" s="4" t="str">
        <f t="shared" ca="1" si="19"/>
        <v/>
      </c>
    </row>
    <row r="298" spans="1:15" x14ac:dyDescent="0.25">
      <c r="A298" s="4"/>
      <c r="B298" s="4" t="str">
        <f ca="1">IFERROR(_xludf.XLOOKUP(A298,Pracownicy!$A$2:$A$501,Pracownicy!$B$2:$B$501),"")</f>
        <v/>
      </c>
      <c r="C298" s="4"/>
      <c r="D298" s="4" t="str">
        <f ca="1">IFERROR(_xludf.XLOOKUP(C298,Milestones!$A$2:$A$501,Milestones!$B$2:$B$501),"")</f>
        <v/>
      </c>
      <c r="E298" s="4" t="str">
        <f ca="1">IFERROR(_xludf.XLOOKUP(D298,Projekty!$A$2:$A$501,Projekty!$B$2:$B$501),"")</f>
        <v/>
      </c>
      <c r="F298" s="4" t="str">
        <f ca="1">IFERROR(_xludf.XLOOKUP(C298,Milestones!$A$2:$A$501,Milestones!$C$2:$C$501),"")</f>
        <v/>
      </c>
      <c r="G298" s="4" t="str">
        <f ca="1">IFERROR(_xludf.XLOOKUP(C298,Milestones!$A$2:$A$501,Milestones!$F$2:$F$501),"")</f>
        <v/>
      </c>
      <c r="H298" s="4" t="str">
        <f ca="1">IFERROR(_xludf.XLOOKUP(C298,Milestones!$A$2:$A$501,Milestones!$M$2:$M$501),"")</f>
        <v/>
      </c>
      <c r="I298" s="4" t="str">
        <f t="shared" ca="1" si="16"/>
        <v/>
      </c>
      <c r="J298" s="4"/>
      <c r="K298" s="4" t="str">
        <f ca="1">IFERROR(_xludf.XLOOKUP(A298,Pracownicy!$A$2:$A$501,Pracownicy!$F$2:$F$501),"")</f>
        <v/>
      </c>
      <c r="L298" s="4"/>
      <c r="M298" s="4" t="str">
        <f t="shared" ca="1" si="17"/>
        <v/>
      </c>
      <c r="N298" s="4" t="str">
        <f t="shared" si="18"/>
        <v/>
      </c>
      <c r="O298" s="4" t="str">
        <f t="shared" ca="1" si="19"/>
        <v/>
      </c>
    </row>
    <row r="299" spans="1:15" x14ac:dyDescent="0.25">
      <c r="A299" s="4"/>
      <c r="B299" s="4" t="str">
        <f ca="1">IFERROR(_xludf.XLOOKUP(A299,Pracownicy!$A$2:$A$501,Pracownicy!$B$2:$B$501),"")</f>
        <v/>
      </c>
      <c r="C299" s="4"/>
      <c r="D299" s="4" t="str">
        <f ca="1">IFERROR(_xludf.XLOOKUP(C299,Milestones!$A$2:$A$501,Milestones!$B$2:$B$501),"")</f>
        <v/>
      </c>
      <c r="E299" s="4" t="str">
        <f ca="1">IFERROR(_xludf.XLOOKUP(D299,Projekty!$A$2:$A$501,Projekty!$B$2:$B$501),"")</f>
        <v/>
      </c>
      <c r="F299" s="4" t="str">
        <f ca="1">IFERROR(_xludf.XLOOKUP(C299,Milestones!$A$2:$A$501,Milestones!$C$2:$C$501),"")</f>
        <v/>
      </c>
      <c r="G299" s="4" t="str">
        <f ca="1">IFERROR(_xludf.XLOOKUP(C299,Milestones!$A$2:$A$501,Milestones!$F$2:$F$501),"")</f>
        <v/>
      </c>
      <c r="H299" s="4" t="str">
        <f ca="1">IFERROR(_xludf.XLOOKUP(C299,Milestones!$A$2:$A$501,Milestones!$M$2:$M$501),"")</f>
        <v/>
      </c>
      <c r="I299" s="4" t="str">
        <f t="shared" ca="1" si="16"/>
        <v/>
      </c>
      <c r="J299" s="4"/>
      <c r="K299" s="4" t="str">
        <f ca="1">IFERROR(_xludf.XLOOKUP(A299,Pracownicy!$A$2:$A$501,Pracownicy!$F$2:$F$501),"")</f>
        <v/>
      </c>
      <c r="L299" s="4"/>
      <c r="M299" s="4" t="str">
        <f t="shared" ca="1" si="17"/>
        <v/>
      </c>
      <c r="N299" s="4" t="str">
        <f t="shared" si="18"/>
        <v/>
      </c>
      <c r="O299" s="4" t="str">
        <f t="shared" ca="1" si="19"/>
        <v/>
      </c>
    </row>
    <row r="300" spans="1:15" x14ac:dyDescent="0.25">
      <c r="A300" s="4"/>
      <c r="B300" s="4" t="str">
        <f ca="1">IFERROR(_xludf.XLOOKUP(A300,Pracownicy!$A$2:$A$501,Pracownicy!$B$2:$B$501),"")</f>
        <v/>
      </c>
      <c r="C300" s="4"/>
      <c r="D300" s="4" t="str">
        <f ca="1">IFERROR(_xludf.XLOOKUP(C300,Milestones!$A$2:$A$501,Milestones!$B$2:$B$501),"")</f>
        <v/>
      </c>
      <c r="E300" s="4" t="str">
        <f ca="1">IFERROR(_xludf.XLOOKUP(D300,Projekty!$A$2:$A$501,Projekty!$B$2:$B$501),"")</f>
        <v/>
      </c>
      <c r="F300" s="4" t="str">
        <f ca="1">IFERROR(_xludf.XLOOKUP(C300,Milestones!$A$2:$A$501,Milestones!$C$2:$C$501),"")</f>
        <v/>
      </c>
      <c r="G300" s="4" t="str">
        <f ca="1">IFERROR(_xludf.XLOOKUP(C300,Milestones!$A$2:$A$501,Milestones!$F$2:$F$501),"")</f>
        <v/>
      </c>
      <c r="H300" s="4" t="str">
        <f ca="1">IFERROR(_xludf.XLOOKUP(C300,Milestones!$A$2:$A$501,Milestones!$M$2:$M$501),"")</f>
        <v/>
      </c>
      <c r="I300" s="4" t="str">
        <f t="shared" ca="1" si="16"/>
        <v/>
      </c>
      <c r="J300" s="4"/>
      <c r="K300" s="4" t="str">
        <f ca="1">IFERROR(_xludf.XLOOKUP(A300,Pracownicy!$A$2:$A$501,Pracownicy!$F$2:$F$501),"")</f>
        <v/>
      </c>
      <c r="L300" s="4"/>
      <c r="M300" s="4" t="str">
        <f t="shared" ca="1" si="17"/>
        <v/>
      </c>
      <c r="N300" s="4" t="str">
        <f t="shared" si="18"/>
        <v/>
      </c>
      <c r="O300" s="4" t="str">
        <f t="shared" ca="1" si="19"/>
        <v/>
      </c>
    </row>
    <row r="301" spans="1:15" x14ac:dyDescent="0.25">
      <c r="A301" s="4"/>
      <c r="B301" s="4" t="str">
        <f ca="1">IFERROR(_xludf.XLOOKUP(A301,Pracownicy!$A$2:$A$501,Pracownicy!$B$2:$B$501),"")</f>
        <v/>
      </c>
      <c r="C301" s="4"/>
      <c r="D301" s="4" t="str">
        <f ca="1">IFERROR(_xludf.XLOOKUP(C301,Milestones!$A$2:$A$501,Milestones!$B$2:$B$501),"")</f>
        <v/>
      </c>
      <c r="E301" s="4" t="str">
        <f ca="1">IFERROR(_xludf.XLOOKUP(D301,Projekty!$A$2:$A$501,Projekty!$B$2:$B$501),"")</f>
        <v/>
      </c>
      <c r="F301" s="4" t="str">
        <f ca="1">IFERROR(_xludf.XLOOKUP(C301,Milestones!$A$2:$A$501,Milestones!$C$2:$C$501),"")</f>
        <v/>
      </c>
      <c r="G301" s="4" t="str">
        <f ca="1">IFERROR(_xludf.XLOOKUP(C301,Milestones!$A$2:$A$501,Milestones!$F$2:$F$501),"")</f>
        <v/>
      </c>
      <c r="H301" s="4" t="str">
        <f ca="1">IFERROR(_xludf.XLOOKUP(C301,Milestones!$A$2:$A$501,Milestones!$M$2:$M$501),"")</f>
        <v/>
      </c>
      <c r="I301" s="4" t="str">
        <f t="shared" ca="1" si="16"/>
        <v/>
      </c>
      <c r="J301" s="4"/>
      <c r="K301" s="4" t="str">
        <f ca="1">IFERROR(_xludf.XLOOKUP(A301,Pracownicy!$A$2:$A$501,Pracownicy!$F$2:$F$501),"")</f>
        <v/>
      </c>
      <c r="L301" s="4"/>
      <c r="M301" s="4" t="str">
        <f t="shared" ca="1" si="17"/>
        <v/>
      </c>
      <c r="N301" s="4" t="str">
        <f t="shared" si="18"/>
        <v/>
      </c>
      <c r="O301" s="4" t="str">
        <f t="shared" ca="1" si="19"/>
        <v/>
      </c>
    </row>
    <row r="302" spans="1:15" x14ac:dyDescent="0.25">
      <c r="A302" s="4"/>
      <c r="B302" s="4" t="str">
        <f ca="1">IFERROR(_xludf.XLOOKUP(A302,Pracownicy!$A$2:$A$501,Pracownicy!$B$2:$B$501),"")</f>
        <v/>
      </c>
      <c r="C302" s="4"/>
      <c r="D302" s="4" t="str">
        <f ca="1">IFERROR(_xludf.XLOOKUP(C302,Milestones!$A$2:$A$501,Milestones!$B$2:$B$501),"")</f>
        <v/>
      </c>
      <c r="E302" s="4" t="str">
        <f ca="1">IFERROR(_xludf.XLOOKUP(D302,Projekty!$A$2:$A$501,Projekty!$B$2:$B$501),"")</f>
        <v/>
      </c>
      <c r="F302" s="4" t="str">
        <f ca="1">IFERROR(_xludf.XLOOKUP(C302,Milestones!$A$2:$A$501,Milestones!$C$2:$C$501),"")</f>
        <v/>
      </c>
      <c r="G302" s="4" t="str">
        <f ca="1">IFERROR(_xludf.XLOOKUP(C302,Milestones!$A$2:$A$501,Milestones!$F$2:$F$501),"")</f>
        <v/>
      </c>
      <c r="H302" s="4" t="str">
        <f ca="1">IFERROR(_xludf.XLOOKUP(C302,Milestones!$A$2:$A$501,Milestones!$M$2:$M$501),"")</f>
        <v/>
      </c>
      <c r="I302" s="4" t="str">
        <f t="shared" ca="1" si="16"/>
        <v/>
      </c>
      <c r="J302" s="4"/>
      <c r="K302" s="4" t="str">
        <f ca="1">IFERROR(_xludf.XLOOKUP(A302,Pracownicy!$A$2:$A$501,Pracownicy!$F$2:$F$501),"")</f>
        <v/>
      </c>
      <c r="L302" s="4"/>
      <c r="M302" s="4" t="str">
        <f t="shared" ca="1" si="17"/>
        <v/>
      </c>
      <c r="N302" s="4" t="str">
        <f t="shared" si="18"/>
        <v/>
      </c>
      <c r="O302" s="4" t="str">
        <f t="shared" ca="1" si="19"/>
        <v/>
      </c>
    </row>
    <row r="303" spans="1:15" x14ac:dyDescent="0.25">
      <c r="A303" s="4"/>
      <c r="B303" s="4" t="str">
        <f ca="1">IFERROR(_xludf.XLOOKUP(A303,Pracownicy!$A$2:$A$501,Pracownicy!$B$2:$B$501),"")</f>
        <v/>
      </c>
      <c r="C303" s="4"/>
      <c r="D303" s="4" t="str">
        <f ca="1">IFERROR(_xludf.XLOOKUP(C303,Milestones!$A$2:$A$501,Milestones!$B$2:$B$501),"")</f>
        <v/>
      </c>
      <c r="E303" s="4" t="str">
        <f ca="1">IFERROR(_xludf.XLOOKUP(D303,Projekty!$A$2:$A$501,Projekty!$B$2:$B$501),"")</f>
        <v/>
      </c>
      <c r="F303" s="4" t="str">
        <f ca="1">IFERROR(_xludf.XLOOKUP(C303,Milestones!$A$2:$A$501,Milestones!$C$2:$C$501),"")</f>
        <v/>
      </c>
      <c r="G303" s="4" t="str">
        <f ca="1">IFERROR(_xludf.XLOOKUP(C303,Milestones!$A$2:$A$501,Milestones!$F$2:$F$501),"")</f>
        <v/>
      </c>
      <c r="H303" s="4" t="str">
        <f ca="1">IFERROR(_xludf.XLOOKUP(C303,Milestones!$A$2:$A$501,Milestones!$M$2:$M$501),"")</f>
        <v/>
      </c>
      <c r="I303" s="4" t="str">
        <f t="shared" ca="1" si="16"/>
        <v/>
      </c>
      <c r="J303" s="4"/>
      <c r="K303" s="4" t="str">
        <f ca="1">IFERROR(_xludf.XLOOKUP(A303,Pracownicy!$A$2:$A$501,Pracownicy!$F$2:$F$501),"")</f>
        <v/>
      </c>
      <c r="L303" s="4"/>
      <c r="M303" s="4" t="str">
        <f t="shared" ca="1" si="17"/>
        <v/>
      </c>
      <c r="N303" s="4" t="str">
        <f t="shared" si="18"/>
        <v/>
      </c>
      <c r="O303" s="4" t="str">
        <f t="shared" ca="1" si="19"/>
        <v/>
      </c>
    </row>
    <row r="304" spans="1:15" x14ac:dyDescent="0.25">
      <c r="A304" s="4"/>
      <c r="B304" s="4" t="str">
        <f ca="1">IFERROR(_xludf.XLOOKUP(A304,Pracownicy!$A$2:$A$501,Pracownicy!$B$2:$B$501),"")</f>
        <v/>
      </c>
      <c r="C304" s="4"/>
      <c r="D304" s="4" t="str">
        <f ca="1">IFERROR(_xludf.XLOOKUP(C304,Milestones!$A$2:$A$501,Milestones!$B$2:$B$501),"")</f>
        <v/>
      </c>
      <c r="E304" s="4" t="str">
        <f ca="1">IFERROR(_xludf.XLOOKUP(D304,Projekty!$A$2:$A$501,Projekty!$B$2:$B$501),"")</f>
        <v/>
      </c>
      <c r="F304" s="4" t="str">
        <f ca="1">IFERROR(_xludf.XLOOKUP(C304,Milestones!$A$2:$A$501,Milestones!$C$2:$C$501),"")</f>
        <v/>
      </c>
      <c r="G304" s="4" t="str">
        <f ca="1">IFERROR(_xludf.XLOOKUP(C304,Milestones!$A$2:$A$501,Milestones!$F$2:$F$501),"")</f>
        <v/>
      </c>
      <c r="H304" s="4" t="str">
        <f ca="1">IFERROR(_xludf.XLOOKUP(C304,Milestones!$A$2:$A$501,Milestones!$M$2:$M$501),"")</f>
        <v/>
      </c>
      <c r="I304" s="4" t="str">
        <f t="shared" ca="1" si="16"/>
        <v/>
      </c>
      <c r="J304" s="4"/>
      <c r="K304" s="4" t="str">
        <f ca="1">IFERROR(_xludf.XLOOKUP(A304,Pracownicy!$A$2:$A$501,Pracownicy!$F$2:$F$501),"")</f>
        <v/>
      </c>
      <c r="L304" s="4"/>
      <c r="M304" s="4" t="str">
        <f t="shared" ca="1" si="17"/>
        <v/>
      </c>
      <c r="N304" s="4" t="str">
        <f t="shared" si="18"/>
        <v/>
      </c>
      <c r="O304" s="4" t="str">
        <f t="shared" ca="1" si="19"/>
        <v/>
      </c>
    </row>
    <row r="305" spans="1:15" x14ac:dyDescent="0.25">
      <c r="A305" s="4"/>
      <c r="B305" s="4" t="str">
        <f ca="1">IFERROR(_xludf.XLOOKUP(A305,Pracownicy!$A$2:$A$501,Pracownicy!$B$2:$B$501),"")</f>
        <v/>
      </c>
      <c r="C305" s="4"/>
      <c r="D305" s="4" t="str">
        <f ca="1">IFERROR(_xludf.XLOOKUP(C305,Milestones!$A$2:$A$501,Milestones!$B$2:$B$501),"")</f>
        <v/>
      </c>
      <c r="E305" s="4" t="str">
        <f ca="1">IFERROR(_xludf.XLOOKUP(D305,Projekty!$A$2:$A$501,Projekty!$B$2:$B$501),"")</f>
        <v/>
      </c>
      <c r="F305" s="4" t="str">
        <f ca="1">IFERROR(_xludf.XLOOKUP(C305,Milestones!$A$2:$A$501,Milestones!$C$2:$C$501),"")</f>
        <v/>
      </c>
      <c r="G305" s="4" t="str">
        <f ca="1">IFERROR(_xludf.XLOOKUP(C305,Milestones!$A$2:$A$501,Milestones!$F$2:$F$501),"")</f>
        <v/>
      </c>
      <c r="H305" s="4" t="str">
        <f ca="1">IFERROR(_xludf.XLOOKUP(C305,Milestones!$A$2:$A$501,Milestones!$M$2:$M$501),"")</f>
        <v/>
      </c>
      <c r="I305" s="4" t="str">
        <f t="shared" ca="1" si="16"/>
        <v/>
      </c>
      <c r="J305" s="4"/>
      <c r="K305" s="4" t="str">
        <f ca="1">IFERROR(_xludf.XLOOKUP(A305,Pracownicy!$A$2:$A$501,Pracownicy!$F$2:$F$501),"")</f>
        <v/>
      </c>
      <c r="L305" s="4"/>
      <c r="M305" s="4" t="str">
        <f t="shared" ca="1" si="17"/>
        <v/>
      </c>
      <c r="N305" s="4" t="str">
        <f t="shared" si="18"/>
        <v/>
      </c>
      <c r="O305" s="4" t="str">
        <f t="shared" ca="1" si="19"/>
        <v/>
      </c>
    </row>
    <row r="306" spans="1:15" x14ac:dyDescent="0.25">
      <c r="A306" s="4"/>
      <c r="B306" s="4" t="str">
        <f ca="1">IFERROR(_xludf.XLOOKUP(A306,Pracownicy!$A$2:$A$501,Pracownicy!$B$2:$B$501),"")</f>
        <v/>
      </c>
      <c r="C306" s="4"/>
      <c r="D306" s="4" t="str">
        <f ca="1">IFERROR(_xludf.XLOOKUP(C306,Milestones!$A$2:$A$501,Milestones!$B$2:$B$501),"")</f>
        <v/>
      </c>
      <c r="E306" s="4" t="str">
        <f ca="1">IFERROR(_xludf.XLOOKUP(D306,Projekty!$A$2:$A$501,Projekty!$B$2:$B$501),"")</f>
        <v/>
      </c>
      <c r="F306" s="4" t="str">
        <f ca="1">IFERROR(_xludf.XLOOKUP(C306,Milestones!$A$2:$A$501,Milestones!$C$2:$C$501),"")</f>
        <v/>
      </c>
      <c r="G306" s="4" t="str">
        <f ca="1">IFERROR(_xludf.XLOOKUP(C306,Milestones!$A$2:$A$501,Milestones!$F$2:$F$501),"")</f>
        <v/>
      </c>
      <c r="H306" s="4" t="str">
        <f ca="1">IFERROR(_xludf.XLOOKUP(C306,Milestones!$A$2:$A$501,Milestones!$M$2:$M$501),"")</f>
        <v/>
      </c>
      <c r="I306" s="4" t="str">
        <f t="shared" ca="1" si="16"/>
        <v/>
      </c>
      <c r="J306" s="4"/>
      <c r="K306" s="4" t="str">
        <f ca="1">IFERROR(_xludf.XLOOKUP(A306,Pracownicy!$A$2:$A$501,Pracownicy!$F$2:$F$501),"")</f>
        <v/>
      </c>
      <c r="L306" s="4"/>
      <c r="M306" s="4" t="str">
        <f t="shared" ca="1" si="17"/>
        <v/>
      </c>
      <c r="N306" s="4" t="str">
        <f t="shared" si="18"/>
        <v/>
      </c>
      <c r="O306" s="4" t="str">
        <f t="shared" ca="1" si="19"/>
        <v/>
      </c>
    </row>
    <row r="307" spans="1:15" x14ac:dyDescent="0.25">
      <c r="A307" s="4"/>
      <c r="B307" s="4" t="str">
        <f ca="1">IFERROR(_xludf.XLOOKUP(A307,Pracownicy!$A$2:$A$501,Pracownicy!$B$2:$B$501),"")</f>
        <v/>
      </c>
      <c r="C307" s="4"/>
      <c r="D307" s="4" t="str">
        <f ca="1">IFERROR(_xludf.XLOOKUP(C307,Milestones!$A$2:$A$501,Milestones!$B$2:$B$501),"")</f>
        <v/>
      </c>
      <c r="E307" s="4" t="str">
        <f ca="1">IFERROR(_xludf.XLOOKUP(D307,Projekty!$A$2:$A$501,Projekty!$B$2:$B$501),"")</f>
        <v/>
      </c>
      <c r="F307" s="4" t="str">
        <f ca="1">IFERROR(_xludf.XLOOKUP(C307,Milestones!$A$2:$A$501,Milestones!$C$2:$C$501),"")</f>
        <v/>
      </c>
      <c r="G307" s="4" t="str">
        <f ca="1">IFERROR(_xludf.XLOOKUP(C307,Milestones!$A$2:$A$501,Milestones!$F$2:$F$501),"")</f>
        <v/>
      </c>
      <c r="H307" s="4" t="str">
        <f ca="1">IFERROR(_xludf.XLOOKUP(C307,Milestones!$A$2:$A$501,Milestones!$M$2:$M$501),"")</f>
        <v/>
      </c>
      <c r="I307" s="4" t="str">
        <f t="shared" ca="1" si="16"/>
        <v/>
      </c>
      <c r="J307" s="4"/>
      <c r="K307" s="4" t="str">
        <f ca="1">IFERROR(_xludf.XLOOKUP(A307,Pracownicy!$A$2:$A$501,Pracownicy!$F$2:$F$501),"")</f>
        <v/>
      </c>
      <c r="L307" s="4"/>
      <c r="M307" s="4" t="str">
        <f t="shared" ca="1" si="17"/>
        <v/>
      </c>
      <c r="N307" s="4" t="str">
        <f t="shared" si="18"/>
        <v/>
      </c>
      <c r="O307" s="4" t="str">
        <f t="shared" ca="1" si="19"/>
        <v/>
      </c>
    </row>
    <row r="308" spans="1:15" x14ac:dyDescent="0.25">
      <c r="A308" s="4"/>
      <c r="B308" s="4" t="str">
        <f ca="1">IFERROR(_xludf.XLOOKUP(A308,Pracownicy!$A$2:$A$501,Pracownicy!$B$2:$B$501),"")</f>
        <v/>
      </c>
      <c r="C308" s="4"/>
      <c r="D308" s="4" t="str">
        <f ca="1">IFERROR(_xludf.XLOOKUP(C308,Milestones!$A$2:$A$501,Milestones!$B$2:$B$501),"")</f>
        <v/>
      </c>
      <c r="E308" s="4" t="str">
        <f ca="1">IFERROR(_xludf.XLOOKUP(D308,Projekty!$A$2:$A$501,Projekty!$B$2:$B$501),"")</f>
        <v/>
      </c>
      <c r="F308" s="4" t="str">
        <f ca="1">IFERROR(_xludf.XLOOKUP(C308,Milestones!$A$2:$A$501,Milestones!$C$2:$C$501),"")</f>
        <v/>
      </c>
      <c r="G308" s="4" t="str">
        <f ca="1">IFERROR(_xludf.XLOOKUP(C308,Milestones!$A$2:$A$501,Milestones!$F$2:$F$501),"")</f>
        <v/>
      </c>
      <c r="H308" s="4" t="str">
        <f ca="1">IFERROR(_xludf.XLOOKUP(C308,Milestones!$A$2:$A$501,Milestones!$M$2:$M$501),"")</f>
        <v/>
      </c>
      <c r="I308" s="4" t="str">
        <f t="shared" ca="1" si="16"/>
        <v/>
      </c>
      <c r="J308" s="4"/>
      <c r="K308" s="4" t="str">
        <f ca="1">IFERROR(_xludf.XLOOKUP(A308,Pracownicy!$A$2:$A$501,Pracownicy!$F$2:$F$501),"")</f>
        <v/>
      </c>
      <c r="L308" s="4"/>
      <c r="M308" s="4" t="str">
        <f t="shared" ca="1" si="17"/>
        <v/>
      </c>
      <c r="N308" s="4" t="str">
        <f t="shared" si="18"/>
        <v/>
      </c>
      <c r="O308" s="4" t="str">
        <f t="shared" ca="1" si="19"/>
        <v/>
      </c>
    </row>
    <row r="309" spans="1:15" x14ac:dyDescent="0.25">
      <c r="A309" s="4"/>
      <c r="B309" s="4" t="str">
        <f ca="1">IFERROR(_xludf.XLOOKUP(A309,Pracownicy!$A$2:$A$501,Pracownicy!$B$2:$B$501),"")</f>
        <v/>
      </c>
      <c r="C309" s="4"/>
      <c r="D309" s="4" t="str">
        <f ca="1">IFERROR(_xludf.XLOOKUP(C309,Milestones!$A$2:$A$501,Milestones!$B$2:$B$501),"")</f>
        <v/>
      </c>
      <c r="E309" s="4" t="str">
        <f ca="1">IFERROR(_xludf.XLOOKUP(D309,Projekty!$A$2:$A$501,Projekty!$B$2:$B$501),"")</f>
        <v/>
      </c>
      <c r="F309" s="4" t="str">
        <f ca="1">IFERROR(_xludf.XLOOKUP(C309,Milestones!$A$2:$A$501,Milestones!$C$2:$C$501),"")</f>
        <v/>
      </c>
      <c r="G309" s="4" t="str">
        <f ca="1">IFERROR(_xludf.XLOOKUP(C309,Milestones!$A$2:$A$501,Milestones!$F$2:$F$501),"")</f>
        <v/>
      </c>
      <c r="H309" s="4" t="str">
        <f ca="1">IFERROR(_xludf.XLOOKUP(C309,Milestones!$A$2:$A$501,Milestones!$M$2:$M$501),"")</f>
        <v/>
      </c>
      <c r="I309" s="4" t="str">
        <f t="shared" ca="1" si="16"/>
        <v/>
      </c>
      <c r="J309" s="4"/>
      <c r="K309" s="4" t="str">
        <f ca="1">IFERROR(_xludf.XLOOKUP(A309,Pracownicy!$A$2:$A$501,Pracownicy!$F$2:$F$501),"")</f>
        <v/>
      </c>
      <c r="L309" s="4"/>
      <c r="M309" s="4" t="str">
        <f t="shared" ca="1" si="17"/>
        <v/>
      </c>
      <c r="N309" s="4" t="str">
        <f t="shared" si="18"/>
        <v/>
      </c>
      <c r="O309" s="4" t="str">
        <f t="shared" ca="1" si="19"/>
        <v/>
      </c>
    </row>
    <row r="310" spans="1:15" x14ac:dyDescent="0.25">
      <c r="A310" s="4"/>
      <c r="B310" s="4" t="str">
        <f ca="1">IFERROR(_xludf.XLOOKUP(A310,Pracownicy!$A$2:$A$501,Pracownicy!$B$2:$B$501),"")</f>
        <v/>
      </c>
      <c r="C310" s="4"/>
      <c r="D310" s="4" t="str">
        <f ca="1">IFERROR(_xludf.XLOOKUP(C310,Milestones!$A$2:$A$501,Milestones!$B$2:$B$501),"")</f>
        <v/>
      </c>
      <c r="E310" s="4" t="str">
        <f ca="1">IFERROR(_xludf.XLOOKUP(D310,Projekty!$A$2:$A$501,Projekty!$B$2:$B$501),"")</f>
        <v/>
      </c>
      <c r="F310" s="4" t="str">
        <f ca="1">IFERROR(_xludf.XLOOKUP(C310,Milestones!$A$2:$A$501,Milestones!$C$2:$C$501),"")</f>
        <v/>
      </c>
      <c r="G310" s="4" t="str">
        <f ca="1">IFERROR(_xludf.XLOOKUP(C310,Milestones!$A$2:$A$501,Milestones!$F$2:$F$501),"")</f>
        <v/>
      </c>
      <c r="H310" s="4" t="str">
        <f ca="1">IFERROR(_xludf.XLOOKUP(C310,Milestones!$A$2:$A$501,Milestones!$M$2:$M$501),"")</f>
        <v/>
      </c>
      <c r="I310" s="4" t="str">
        <f t="shared" ca="1" si="16"/>
        <v/>
      </c>
      <c r="J310" s="4"/>
      <c r="K310" s="4" t="str">
        <f ca="1">IFERROR(_xludf.XLOOKUP(A310,Pracownicy!$A$2:$A$501,Pracownicy!$F$2:$F$501),"")</f>
        <v/>
      </c>
      <c r="L310" s="4"/>
      <c r="M310" s="4" t="str">
        <f t="shared" ca="1" si="17"/>
        <v/>
      </c>
      <c r="N310" s="4" t="str">
        <f t="shared" si="18"/>
        <v/>
      </c>
      <c r="O310" s="4" t="str">
        <f t="shared" ca="1" si="19"/>
        <v/>
      </c>
    </row>
    <row r="311" spans="1:15" x14ac:dyDescent="0.25">
      <c r="A311" s="4"/>
      <c r="B311" s="4" t="str">
        <f ca="1">IFERROR(_xludf.XLOOKUP(A311,Pracownicy!$A$2:$A$501,Pracownicy!$B$2:$B$501),"")</f>
        <v/>
      </c>
      <c r="C311" s="4"/>
      <c r="D311" s="4" t="str">
        <f ca="1">IFERROR(_xludf.XLOOKUP(C311,Milestones!$A$2:$A$501,Milestones!$B$2:$B$501),"")</f>
        <v/>
      </c>
      <c r="E311" s="4" t="str">
        <f ca="1">IFERROR(_xludf.XLOOKUP(D311,Projekty!$A$2:$A$501,Projekty!$B$2:$B$501),"")</f>
        <v/>
      </c>
      <c r="F311" s="4" t="str">
        <f ca="1">IFERROR(_xludf.XLOOKUP(C311,Milestones!$A$2:$A$501,Milestones!$C$2:$C$501),"")</f>
        <v/>
      </c>
      <c r="G311" s="4" t="str">
        <f ca="1">IFERROR(_xludf.XLOOKUP(C311,Milestones!$A$2:$A$501,Milestones!$F$2:$F$501),"")</f>
        <v/>
      </c>
      <c r="H311" s="4" t="str">
        <f ca="1">IFERROR(_xludf.XLOOKUP(C311,Milestones!$A$2:$A$501,Milestones!$M$2:$M$501),"")</f>
        <v/>
      </c>
      <c r="I311" s="4" t="str">
        <f t="shared" ca="1" si="16"/>
        <v/>
      </c>
      <c r="J311" s="4"/>
      <c r="K311" s="4" t="str">
        <f ca="1">IFERROR(_xludf.XLOOKUP(A311,Pracownicy!$A$2:$A$501,Pracownicy!$F$2:$F$501),"")</f>
        <v/>
      </c>
      <c r="L311" s="4"/>
      <c r="M311" s="4" t="str">
        <f t="shared" ca="1" si="17"/>
        <v/>
      </c>
      <c r="N311" s="4" t="str">
        <f t="shared" si="18"/>
        <v/>
      </c>
      <c r="O311" s="4" t="str">
        <f t="shared" ca="1" si="19"/>
        <v/>
      </c>
    </row>
    <row r="312" spans="1:15" x14ac:dyDescent="0.25">
      <c r="A312" s="4"/>
      <c r="B312" s="4" t="str">
        <f ca="1">IFERROR(_xludf.XLOOKUP(A312,Pracownicy!$A$2:$A$501,Pracownicy!$B$2:$B$501),"")</f>
        <v/>
      </c>
      <c r="C312" s="4"/>
      <c r="D312" s="4" t="str">
        <f ca="1">IFERROR(_xludf.XLOOKUP(C312,Milestones!$A$2:$A$501,Milestones!$B$2:$B$501),"")</f>
        <v/>
      </c>
      <c r="E312" s="4" t="str">
        <f ca="1">IFERROR(_xludf.XLOOKUP(D312,Projekty!$A$2:$A$501,Projekty!$B$2:$B$501),"")</f>
        <v/>
      </c>
      <c r="F312" s="4" t="str">
        <f ca="1">IFERROR(_xludf.XLOOKUP(C312,Milestones!$A$2:$A$501,Milestones!$C$2:$C$501),"")</f>
        <v/>
      </c>
      <c r="G312" s="4" t="str">
        <f ca="1">IFERROR(_xludf.XLOOKUP(C312,Milestones!$A$2:$A$501,Milestones!$F$2:$F$501),"")</f>
        <v/>
      </c>
      <c r="H312" s="4" t="str">
        <f ca="1">IFERROR(_xludf.XLOOKUP(C312,Milestones!$A$2:$A$501,Milestones!$M$2:$M$501),"")</f>
        <v/>
      </c>
      <c r="I312" s="4" t="str">
        <f t="shared" ca="1" si="16"/>
        <v/>
      </c>
      <c r="J312" s="4"/>
      <c r="K312" s="4" t="str">
        <f ca="1">IFERROR(_xludf.XLOOKUP(A312,Pracownicy!$A$2:$A$501,Pracownicy!$F$2:$F$501),"")</f>
        <v/>
      </c>
      <c r="L312" s="4"/>
      <c r="M312" s="4" t="str">
        <f t="shared" ca="1" si="17"/>
        <v/>
      </c>
      <c r="N312" s="4" t="str">
        <f t="shared" si="18"/>
        <v/>
      </c>
      <c r="O312" s="4" t="str">
        <f t="shared" ca="1" si="19"/>
        <v/>
      </c>
    </row>
    <row r="313" spans="1:15" x14ac:dyDescent="0.25">
      <c r="A313" s="4"/>
      <c r="B313" s="4" t="str">
        <f ca="1">IFERROR(_xludf.XLOOKUP(A313,Pracownicy!$A$2:$A$501,Pracownicy!$B$2:$B$501),"")</f>
        <v/>
      </c>
      <c r="C313" s="4"/>
      <c r="D313" s="4" t="str">
        <f ca="1">IFERROR(_xludf.XLOOKUP(C313,Milestones!$A$2:$A$501,Milestones!$B$2:$B$501),"")</f>
        <v/>
      </c>
      <c r="E313" s="4" t="str">
        <f ca="1">IFERROR(_xludf.XLOOKUP(D313,Projekty!$A$2:$A$501,Projekty!$B$2:$B$501),"")</f>
        <v/>
      </c>
      <c r="F313" s="4" t="str">
        <f ca="1">IFERROR(_xludf.XLOOKUP(C313,Milestones!$A$2:$A$501,Milestones!$C$2:$C$501),"")</f>
        <v/>
      </c>
      <c r="G313" s="4" t="str">
        <f ca="1">IFERROR(_xludf.XLOOKUP(C313,Milestones!$A$2:$A$501,Milestones!$F$2:$F$501),"")</f>
        <v/>
      </c>
      <c r="H313" s="4" t="str">
        <f ca="1">IFERROR(_xludf.XLOOKUP(C313,Milestones!$A$2:$A$501,Milestones!$M$2:$M$501),"")</f>
        <v/>
      </c>
      <c r="I313" s="4" t="str">
        <f t="shared" ca="1" si="16"/>
        <v/>
      </c>
      <c r="J313" s="4"/>
      <c r="K313" s="4" t="str">
        <f ca="1">IFERROR(_xludf.XLOOKUP(A313,Pracownicy!$A$2:$A$501,Pracownicy!$F$2:$F$501),"")</f>
        <v/>
      </c>
      <c r="L313" s="4"/>
      <c r="M313" s="4" t="str">
        <f t="shared" ca="1" si="17"/>
        <v/>
      </c>
      <c r="N313" s="4" t="str">
        <f t="shared" si="18"/>
        <v/>
      </c>
      <c r="O313" s="4" t="str">
        <f t="shared" ca="1" si="19"/>
        <v/>
      </c>
    </row>
    <row r="314" spans="1:15" x14ac:dyDescent="0.25">
      <c r="A314" s="4"/>
      <c r="B314" s="4" t="str">
        <f ca="1">IFERROR(_xludf.XLOOKUP(A314,Pracownicy!$A$2:$A$501,Pracownicy!$B$2:$B$501),"")</f>
        <v/>
      </c>
      <c r="C314" s="4"/>
      <c r="D314" s="4" t="str">
        <f ca="1">IFERROR(_xludf.XLOOKUP(C314,Milestones!$A$2:$A$501,Milestones!$B$2:$B$501),"")</f>
        <v/>
      </c>
      <c r="E314" s="4" t="str">
        <f ca="1">IFERROR(_xludf.XLOOKUP(D314,Projekty!$A$2:$A$501,Projekty!$B$2:$B$501),"")</f>
        <v/>
      </c>
      <c r="F314" s="4" t="str">
        <f ca="1">IFERROR(_xludf.XLOOKUP(C314,Milestones!$A$2:$A$501,Milestones!$C$2:$C$501),"")</f>
        <v/>
      </c>
      <c r="G314" s="4" t="str">
        <f ca="1">IFERROR(_xludf.XLOOKUP(C314,Milestones!$A$2:$A$501,Milestones!$F$2:$F$501),"")</f>
        <v/>
      </c>
      <c r="H314" s="4" t="str">
        <f ca="1">IFERROR(_xludf.XLOOKUP(C314,Milestones!$A$2:$A$501,Milestones!$M$2:$M$501),"")</f>
        <v/>
      </c>
      <c r="I314" s="4" t="str">
        <f t="shared" ca="1" si="16"/>
        <v/>
      </c>
      <c r="J314" s="4"/>
      <c r="K314" s="4" t="str">
        <f ca="1">IFERROR(_xludf.XLOOKUP(A314,Pracownicy!$A$2:$A$501,Pracownicy!$F$2:$F$501),"")</f>
        <v/>
      </c>
      <c r="L314" s="4"/>
      <c r="M314" s="4" t="str">
        <f t="shared" ca="1" si="17"/>
        <v/>
      </c>
      <c r="N314" s="4" t="str">
        <f t="shared" si="18"/>
        <v/>
      </c>
      <c r="O314" s="4" t="str">
        <f t="shared" ca="1" si="19"/>
        <v/>
      </c>
    </row>
    <row r="315" spans="1:15" x14ac:dyDescent="0.25">
      <c r="A315" s="4"/>
      <c r="B315" s="4" t="str">
        <f ca="1">IFERROR(_xludf.XLOOKUP(A315,Pracownicy!$A$2:$A$501,Pracownicy!$B$2:$B$501),"")</f>
        <v/>
      </c>
      <c r="C315" s="4"/>
      <c r="D315" s="4" t="str">
        <f ca="1">IFERROR(_xludf.XLOOKUP(C315,Milestones!$A$2:$A$501,Milestones!$B$2:$B$501),"")</f>
        <v/>
      </c>
      <c r="E315" s="4" t="str">
        <f ca="1">IFERROR(_xludf.XLOOKUP(D315,Projekty!$A$2:$A$501,Projekty!$B$2:$B$501),"")</f>
        <v/>
      </c>
      <c r="F315" s="4" t="str">
        <f ca="1">IFERROR(_xludf.XLOOKUP(C315,Milestones!$A$2:$A$501,Milestones!$C$2:$C$501),"")</f>
        <v/>
      </c>
      <c r="G315" s="4" t="str">
        <f ca="1">IFERROR(_xludf.XLOOKUP(C315,Milestones!$A$2:$A$501,Milestones!$F$2:$F$501),"")</f>
        <v/>
      </c>
      <c r="H315" s="4" t="str">
        <f ca="1">IFERROR(_xludf.XLOOKUP(C315,Milestones!$A$2:$A$501,Milestones!$M$2:$M$501),"")</f>
        <v/>
      </c>
      <c r="I315" s="4" t="str">
        <f t="shared" ca="1" si="16"/>
        <v/>
      </c>
      <c r="J315" s="4"/>
      <c r="K315" s="4" t="str">
        <f ca="1">IFERROR(_xludf.XLOOKUP(A315,Pracownicy!$A$2:$A$501,Pracownicy!$F$2:$F$501),"")</f>
        <v/>
      </c>
      <c r="L315" s="4"/>
      <c r="M315" s="4" t="str">
        <f t="shared" ca="1" si="17"/>
        <v/>
      </c>
      <c r="N315" s="4" t="str">
        <f t="shared" si="18"/>
        <v/>
      </c>
      <c r="O315" s="4" t="str">
        <f t="shared" ca="1" si="19"/>
        <v/>
      </c>
    </row>
    <row r="316" spans="1:15" x14ac:dyDescent="0.25">
      <c r="A316" s="4"/>
      <c r="B316" s="4" t="str">
        <f ca="1">IFERROR(_xludf.XLOOKUP(A316,Pracownicy!$A$2:$A$501,Pracownicy!$B$2:$B$501),"")</f>
        <v/>
      </c>
      <c r="C316" s="4"/>
      <c r="D316" s="4" t="str">
        <f ca="1">IFERROR(_xludf.XLOOKUP(C316,Milestones!$A$2:$A$501,Milestones!$B$2:$B$501),"")</f>
        <v/>
      </c>
      <c r="E316" s="4" t="str">
        <f ca="1">IFERROR(_xludf.XLOOKUP(D316,Projekty!$A$2:$A$501,Projekty!$B$2:$B$501),"")</f>
        <v/>
      </c>
      <c r="F316" s="4" t="str">
        <f ca="1">IFERROR(_xludf.XLOOKUP(C316,Milestones!$A$2:$A$501,Milestones!$C$2:$C$501),"")</f>
        <v/>
      </c>
      <c r="G316" s="4" t="str">
        <f ca="1">IFERROR(_xludf.XLOOKUP(C316,Milestones!$A$2:$A$501,Milestones!$F$2:$F$501),"")</f>
        <v/>
      </c>
      <c r="H316" s="4" t="str">
        <f ca="1">IFERROR(_xludf.XLOOKUP(C316,Milestones!$A$2:$A$501,Milestones!$M$2:$M$501),"")</f>
        <v/>
      </c>
      <c r="I316" s="4" t="str">
        <f t="shared" ca="1" si="16"/>
        <v/>
      </c>
      <c r="J316" s="4"/>
      <c r="K316" s="4" t="str">
        <f ca="1">IFERROR(_xludf.XLOOKUP(A316,Pracownicy!$A$2:$A$501,Pracownicy!$F$2:$F$501),"")</f>
        <v/>
      </c>
      <c r="L316" s="4"/>
      <c r="M316" s="4" t="str">
        <f t="shared" ca="1" si="17"/>
        <v/>
      </c>
      <c r="N316" s="4" t="str">
        <f t="shared" si="18"/>
        <v/>
      </c>
      <c r="O316" s="4" t="str">
        <f t="shared" ca="1" si="19"/>
        <v/>
      </c>
    </row>
    <row r="317" spans="1:15" x14ac:dyDescent="0.25">
      <c r="A317" s="4"/>
      <c r="B317" s="4" t="str">
        <f ca="1">IFERROR(_xludf.XLOOKUP(A317,Pracownicy!$A$2:$A$501,Pracownicy!$B$2:$B$501),"")</f>
        <v/>
      </c>
      <c r="C317" s="4"/>
      <c r="D317" s="4" t="str">
        <f ca="1">IFERROR(_xludf.XLOOKUP(C317,Milestones!$A$2:$A$501,Milestones!$B$2:$B$501),"")</f>
        <v/>
      </c>
      <c r="E317" s="4" t="str">
        <f ca="1">IFERROR(_xludf.XLOOKUP(D317,Projekty!$A$2:$A$501,Projekty!$B$2:$B$501),"")</f>
        <v/>
      </c>
      <c r="F317" s="4" t="str">
        <f ca="1">IFERROR(_xludf.XLOOKUP(C317,Milestones!$A$2:$A$501,Milestones!$C$2:$C$501),"")</f>
        <v/>
      </c>
      <c r="G317" s="4" t="str">
        <f ca="1">IFERROR(_xludf.XLOOKUP(C317,Milestones!$A$2:$A$501,Milestones!$F$2:$F$501),"")</f>
        <v/>
      </c>
      <c r="H317" s="4" t="str">
        <f ca="1">IFERROR(_xludf.XLOOKUP(C317,Milestones!$A$2:$A$501,Milestones!$M$2:$M$501),"")</f>
        <v/>
      </c>
      <c r="I317" s="4" t="str">
        <f t="shared" ca="1" si="16"/>
        <v/>
      </c>
      <c r="J317" s="4"/>
      <c r="K317" s="4" t="str">
        <f ca="1">IFERROR(_xludf.XLOOKUP(A317,Pracownicy!$A$2:$A$501,Pracownicy!$F$2:$F$501),"")</f>
        <v/>
      </c>
      <c r="L317" s="4"/>
      <c r="M317" s="4" t="str">
        <f t="shared" ca="1" si="17"/>
        <v/>
      </c>
      <c r="N317" s="4" t="str">
        <f t="shared" si="18"/>
        <v/>
      </c>
      <c r="O317" s="4" t="str">
        <f t="shared" ca="1" si="19"/>
        <v/>
      </c>
    </row>
    <row r="318" spans="1:15" x14ac:dyDescent="0.25">
      <c r="A318" s="4"/>
      <c r="B318" s="4" t="str">
        <f ca="1">IFERROR(_xludf.XLOOKUP(A318,Pracownicy!$A$2:$A$501,Pracownicy!$B$2:$B$501),"")</f>
        <v/>
      </c>
      <c r="C318" s="4"/>
      <c r="D318" s="4" t="str">
        <f ca="1">IFERROR(_xludf.XLOOKUP(C318,Milestones!$A$2:$A$501,Milestones!$B$2:$B$501),"")</f>
        <v/>
      </c>
      <c r="E318" s="4" t="str">
        <f ca="1">IFERROR(_xludf.XLOOKUP(D318,Projekty!$A$2:$A$501,Projekty!$B$2:$B$501),"")</f>
        <v/>
      </c>
      <c r="F318" s="4" t="str">
        <f ca="1">IFERROR(_xludf.XLOOKUP(C318,Milestones!$A$2:$A$501,Milestones!$C$2:$C$501),"")</f>
        <v/>
      </c>
      <c r="G318" s="4" t="str">
        <f ca="1">IFERROR(_xludf.XLOOKUP(C318,Milestones!$A$2:$A$501,Milestones!$F$2:$F$501),"")</f>
        <v/>
      </c>
      <c r="H318" s="4" t="str">
        <f ca="1">IFERROR(_xludf.XLOOKUP(C318,Milestones!$A$2:$A$501,Milestones!$M$2:$M$501),"")</f>
        <v/>
      </c>
      <c r="I318" s="4" t="str">
        <f t="shared" ca="1" si="16"/>
        <v/>
      </c>
      <c r="J318" s="4"/>
      <c r="K318" s="4" t="str">
        <f ca="1">IFERROR(_xludf.XLOOKUP(A318,Pracownicy!$A$2:$A$501,Pracownicy!$F$2:$F$501),"")</f>
        <v/>
      </c>
      <c r="L318" s="4"/>
      <c r="M318" s="4" t="str">
        <f t="shared" ca="1" si="17"/>
        <v/>
      </c>
      <c r="N318" s="4" t="str">
        <f t="shared" si="18"/>
        <v/>
      </c>
      <c r="O318" s="4" t="str">
        <f t="shared" ca="1" si="19"/>
        <v/>
      </c>
    </row>
    <row r="319" spans="1:15" x14ac:dyDescent="0.25">
      <c r="A319" s="4"/>
      <c r="B319" s="4" t="str">
        <f ca="1">IFERROR(_xludf.XLOOKUP(A319,Pracownicy!$A$2:$A$501,Pracownicy!$B$2:$B$501),"")</f>
        <v/>
      </c>
      <c r="C319" s="4"/>
      <c r="D319" s="4" t="str">
        <f ca="1">IFERROR(_xludf.XLOOKUP(C319,Milestones!$A$2:$A$501,Milestones!$B$2:$B$501),"")</f>
        <v/>
      </c>
      <c r="E319" s="4" t="str">
        <f ca="1">IFERROR(_xludf.XLOOKUP(D319,Projekty!$A$2:$A$501,Projekty!$B$2:$B$501),"")</f>
        <v/>
      </c>
      <c r="F319" s="4" t="str">
        <f ca="1">IFERROR(_xludf.XLOOKUP(C319,Milestones!$A$2:$A$501,Milestones!$C$2:$C$501),"")</f>
        <v/>
      </c>
      <c r="G319" s="4" t="str">
        <f ca="1">IFERROR(_xludf.XLOOKUP(C319,Milestones!$A$2:$A$501,Milestones!$F$2:$F$501),"")</f>
        <v/>
      </c>
      <c r="H319" s="4" t="str">
        <f ca="1">IFERROR(_xludf.XLOOKUP(C319,Milestones!$A$2:$A$501,Milestones!$M$2:$M$501),"")</f>
        <v/>
      </c>
      <c r="I319" s="4" t="str">
        <f t="shared" ca="1" si="16"/>
        <v/>
      </c>
      <c r="J319" s="4"/>
      <c r="K319" s="4" t="str">
        <f ca="1">IFERROR(_xludf.XLOOKUP(A319,Pracownicy!$A$2:$A$501,Pracownicy!$F$2:$F$501),"")</f>
        <v/>
      </c>
      <c r="L319" s="4"/>
      <c r="M319" s="4" t="str">
        <f t="shared" ca="1" si="17"/>
        <v/>
      </c>
      <c r="N319" s="4" t="str">
        <f t="shared" si="18"/>
        <v/>
      </c>
      <c r="O319" s="4" t="str">
        <f t="shared" ca="1" si="19"/>
        <v/>
      </c>
    </row>
    <row r="320" spans="1:15" x14ac:dyDescent="0.25">
      <c r="A320" s="4"/>
      <c r="B320" s="4" t="str">
        <f ca="1">IFERROR(_xludf.XLOOKUP(A320,Pracownicy!$A$2:$A$501,Pracownicy!$B$2:$B$501),"")</f>
        <v/>
      </c>
      <c r="C320" s="4"/>
      <c r="D320" s="4" t="str">
        <f ca="1">IFERROR(_xludf.XLOOKUP(C320,Milestones!$A$2:$A$501,Milestones!$B$2:$B$501),"")</f>
        <v/>
      </c>
      <c r="E320" s="4" t="str">
        <f ca="1">IFERROR(_xludf.XLOOKUP(D320,Projekty!$A$2:$A$501,Projekty!$B$2:$B$501),"")</f>
        <v/>
      </c>
      <c r="F320" s="4" t="str">
        <f ca="1">IFERROR(_xludf.XLOOKUP(C320,Milestones!$A$2:$A$501,Milestones!$C$2:$C$501),"")</f>
        <v/>
      </c>
      <c r="G320" s="4" t="str">
        <f ca="1">IFERROR(_xludf.XLOOKUP(C320,Milestones!$A$2:$A$501,Milestones!$F$2:$F$501),"")</f>
        <v/>
      </c>
      <c r="H320" s="4" t="str">
        <f ca="1">IFERROR(_xludf.XLOOKUP(C320,Milestones!$A$2:$A$501,Milestones!$M$2:$M$501),"")</f>
        <v/>
      </c>
      <c r="I320" s="4" t="str">
        <f t="shared" ca="1" si="16"/>
        <v/>
      </c>
      <c r="J320" s="4"/>
      <c r="K320" s="4" t="str">
        <f ca="1">IFERROR(_xludf.XLOOKUP(A320,Pracownicy!$A$2:$A$501,Pracownicy!$F$2:$F$501),"")</f>
        <v/>
      </c>
      <c r="L320" s="4"/>
      <c r="M320" s="4" t="str">
        <f t="shared" ca="1" si="17"/>
        <v/>
      </c>
      <c r="N320" s="4" t="str">
        <f t="shared" si="18"/>
        <v/>
      </c>
      <c r="O320" s="4" t="str">
        <f t="shared" ca="1" si="19"/>
        <v/>
      </c>
    </row>
    <row r="321" spans="1:15" x14ac:dyDescent="0.25">
      <c r="A321" s="4"/>
      <c r="B321" s="4" t="str">
        <f ca="1">IFERROR(_xludf.XLOOKUP(A321,Pracownicy!$A$2:$A$501,Pracownicy!$B$2:$B$501),"")</f>
        <v/>
      </c>
      <c r="C321" s="4"/>
      <c r="D321" s="4" t="str">
        <f ca="1">IFERROR(_xludf.XLOOKUP(C321,Milestones!$A$2:$A$501,Milestones!$B$2:$B$501),"")</f>
        <v/>
      </c>
      <c r="E321" s="4" t="str">
        <f ca="1">IFERROR(_xludf.XLOOKUP(D321,Projekty!$A$2:$A$501,Projekty!$B$2:$B$501),"")</f>
        <v/>
      </c>
      <c r="F321" s="4" t="str">
        <f ca="1">IFERROR(_xludf.XLOOKUP(C321,Milestones!$A$2:$A$501,Milestones!$C$2:$C$501),"")</f>
        <v/>
      </c>
      <c r="G321" s="4" t="str">
        <f ca="1">IFERROR(_xludf.XLOOKUP(C321,Milestones!$A$2:$A$501,Milestones!$F$2:$F$501),"")</f>
        <v/>
      </c>
      <c r="H321" s="4" t="str">
        <f ca="1">IFERROR(_xludf.XLOOKUP(C321,Milestones!$A$2:$A$501,Milestones!$M$2:$M$501),"")</f>
        <v/>
      </c>
      <c r="I321" s="4" t="str">
        <f t="shared" ca="1" si="16"/>
        <v/>
      </c>
      <c r="J321" s="4"/>
      <c r="K321" s="4" t="str">
        <f ca="1">IFERROR(_xludf.XLOOKUP(A321,Pracownicy!$A$2:$A$501,Pracownicy!$F$2:$F$501),"")</f>
        <v/>
      </c>
      <c r="L321" s="4"/>
      <c r="M321" s="4" t="str">
        <f t="shared" ca="1" si="17"/>
        <v/>
      </c>
      <c r="N321" s="4" t="str">
        <f t="shared" si="18"/>
        <v/>
      </c>
      <c r="O321" s="4" t="str">
        <f t="shared" ca="1" si="19"/>
        <v/>
      </c>
    </row>
    <row r="322" spans="1:15" x14ac:dyDescent="0.25">
      <c r="A322" s="4"/>
      <c r="B322" s="4" t="str">
        <f ca="1">IFERROR(_xludf.XLOOKUP(A322,Pracownicy!$A$2:$A$501,Pracownicy!$B$2:$B$501),"")</f>
        <v/>
      </c>
      <c r="C322" s="4"/>
      <c r="D322" s="4" t="str">
        <f ca="1">IFERROR(_xludf.XLOOKUP(C322,Milestones!$A$2:$A$501,Milestones!$B$2:$B$501),"")</f>
        <v/>
      </c>
      <c r="E322" s="4" t="str">
        <f ca="1">IFERROR(_xludf.XLOOKUP(D322,Projekty!$A$2:$A$501,Projekty!$B$2:$B$501),"")</f>
        <v/>
      </c>
      <c r="F322" s="4" t="str">
        <f ca="1">IFERROR(_xludf.XLOOKUP(C322,Milestones!$A$2:$A$501,Milestones!$C$2:$C$501),"")</f>
        <v/>
      </c>
      <c r="G322" s="4" t="str">
        <f ca="1">IFERROR(_xludf.XLOOKUP(C322,Milestones!$A$2:$A$501,Milestones!$F$2:$F$501),"")</f>
        <v/>
      </c>
      <c r="H322" s="4" t="str">
        <f ca="1">IFERROR(_xludf.XLOOKUP(C322,Milestones!$A$2:$A$501,Milestones!$M$2:$M$501),"")</f>
        <v/>
      </c>
      <c r="I322" s="4" t="str">
        <f t="shared" ref="I322:I385" ca="1" si="20">IF(H322="","",MIN(H322,1))</f>
        <v/>
      </c>
      <c r="J322" s="4"/>
      <c r="K322" s="4" t="str">
        <f ca="1">IFERROR(_xludf.XLOOKUP(A322,Pracownicy!$A$2:$A$501,Pracownicy!$F$2:$F$501),"")</f>
        <v/>
      </c>
      <c r="L322" s="4"/>
      <c r="M322" s="4" t="str">
        <f t="shared" ref="M322:M385" ca="1" si="21">IF(OR(J322="",K322="",L322=""),"",J322*K322*L322)</f>
        <v/>
      </c>
      <c r="N322" s="4" t="str">
        <f t="shared" ref="N322:N385" si="22">IF(C322="","",SUMIF($C$2:$C$501,C322,$M$2:$M$501))</f>
        <v/>
      </c>
      <c r="O322" s="4" t="str">
        <f t="shared" ref="O322:O385" ca="1" si="23">IF(OR(G322="",I322="",M322="",N322="",N322=0),"",ROUNDDOWN(G322*I322*(M322/N322),2))</f>
        <v/>
      </c>
    </row>
    <row r="323" spans="1:15" x14ac:dyDescent="0.25">
      <c r="A323" s="4"/>
      <c r="B323" s="4" t="str">
        <f ca="1">IFERROR(_xludf.XLOOKUP(A323,Pracownicy!$A$2:$A$501,Pracownicy!$B$2:$B$501),"")</f>
        <v/>
      </c>
      <c r="C323" s="4"/>
      <c r="D323" s="4" t="str">
        <f ca="1">IFERROR(_xludf.XLOOKUP(C323,Milestones!$A$2:$A$501,Milestones!$B$2:$B$501),"")</f>
        <v/>
      </c>
      <c r="E323" s="4" t="str">
        <f ca="1">IFERROR(_xludf.XLOOKUP(D323,Projekty!$A$2:$A$501,Projekty!$B$2:$B$501),"")</f>
        <v/>
      </c>
      <c r="F323" s="4" t="str">
        <f ca="1">IFERROR(_xludf.XLOOKUP(C323,Milestones!$A$2:$A$501,Milestones!$C$2:$C$501),"")</f>
        <v/>
      </c>
      <c r="G323" s="4" t="str">
        <f ca="1">IFERROR(_xludf.XLOOKUP(C323,Milestones!$A$2:$A$501,Milestones!$F$2:$F$501),"")</f>
        <v/>
      </c>
      <c r="H323" s="4" t="str">
        <f ca="1">IFERROR(_xludf.XLOOKUP(C323,Milestones!$A$2:$A$501,Milestones!$M$2:$M$501),"")</f>
        <v/>
      </c>
      <c r="I323" s="4" t="str">
        <f t="shared" ca="1" si="20"/>
        <v/>
      </c>
      <c r="J323" s="4"/>
      <c r="K323" s="4" t="str">
        <f ca="1">IFERROR(_xludf.XLOOKUP(A323,Pracownicy!$A$2:$A$501,Pracownicy!$F$2:$F$501),"")</f>
        <v/>
      </c>
      <c r="L323" s="4"/>
      <c r="M323" s="4" t="str">
        <f t="shared" ca="1" si="21"/>
        <v/>
      </c>
      <c r="N323" s="4" t="str">
        <f t="shared" si="22"/>
        <v/>
      </c>
      <c r="O323" s="4" t="str">
        <f t="shared" ca="1" si="23"/>
        <v/>
      </c>
    </row>
    <row r="324" spans="1:15" x14ac:dyDescent="0.25">
      <c r="A324" s="4"/>
      <c r="B324" s="4" t="str">
        <f ca="1">IFERROR(_xludf.XLOOKUP(A324,Pracownicy!$A$2:$A$501,Pracownicy!$B$2:$B$501),"")</f>
        <v/>
      </c>
      <c r="C324" s="4"/>
      <c r="D324" s="4" t="str">
        <f ca="1">IFERROR(_xludf.XLOOKUP(C324,Milestones!$A$2:$A$501,Milestones!$B$2:$B$501),"")</f>
        <v/>
      </c>
      <c r="E324" s="4" t="str">
        <f ca="1">IFERROR(_xludf.XLOOKUP(D324,Projekty!$A$2:$A$501,Projekty!$B$2:$B$501),"")</f>
        <v/>
      </c>
      <c r="F324" s="4" t="str">
        <f ca="1">IFERROR(_xludf.XLOOKUP(C324,Milestones!$A$2:$A$501,Milestones!$C$2:$C$501),"")</f>
        <v/>
      </c>
      <c r="G324" s="4" t="str">
        <f ca="1">IFERROR(_xludf.XLOOKUP(C324,Milestones!$A$2:$A$501,Milestones!$F$2:$F$501),"")</f>
        <v/>
      </c>
      <c r="H324" s="4" t="str">
        <f ca="1">IFERROR(_xludf.XLOOKUP(C324,Milestones!$A$2:$A$501,Milestones!$M$2:$M$501),"")</f>
        <v/>
      </c>
      <c r="I324" s="4" t="str">
        <f t="shared" ca="1" si="20"/>
        <v/>
      </c>
      <c r="J324" s="4"/>
      <c r="K324" s="4" t="str">
        <f ca="1">IFERROR(_xludf.XLOOKUP(A324,Pracownicy!$A$2:$A$501,Pracownicy!$F$2:$F$501),"")</f>
        <v/>
      </c>
      <c r="L324" s="4"/>
      <c r="M324" s="4" t="str">
        <f t="shared" ca="1" si="21"/>
        <v/>
      </c>
      <c r="N324" s="4" t="str">
        <f t="shared" si="22"/>
        <v/>
      </c>
      <c r="O324" s="4" t="str">
        <f t="shared" ca="1" si="23"/>
        <v/>
      </c>
    </row>
    <row r="325" spans="1:15" x14ac:dyDescent="0.25">
      <c r="A325" s="4"/>
      <c r="B325" s="4" t="str">
        <f ca="1">IFERROR(_xludf.XLOOKUP(A325,Pracownicy!$A$2:$A$501,Pracownicy!$B$2:$B$501),"")</f>
        <v/>
      </c>
      <c r="C325" s="4"/>
      <c r="D325" s="4" t="str">
        <f ca="1">IFERROR(_xludf.XLOOKUP(C325,Milestones!$A$2:$A$501,Milestones!$B$2:$B$501),"")</f>
        <v/>
      </c>
      <c r="E325" s="4" t="str">
        <f ca="1">IFERROR(_xludf.XLOOKUP(D325,Projekty!$A$2:$A$501,Projekty!$B$2:$B$501),"")</f>
        <v/>
      </c>
      <c r="F325" s="4" t="str">
        <f ca="1">IFERROR(_xludf.XLOOKUP(C325,Milestones!$A$2:$A$501,Milestones!$C$2:$C$501),"")</f>
        <v/>
      </c>
      <c r="G325" s="4" t="str">
        <f ca="1">IFERROR(_xludf.XLOOKUP(C325,Milestones!$A$2:$A$501,Milestones!$F$2:$F$501),"")</f>
        <v/>
      </c>
      <c r="H325" s="4" t="str">
        <f ca="1">IFERROR(_xludf.XLOOKUP(C325,Milestones!$A$2:$A$501,Milestones!$M$2:$M$501),"")</f>
        <v/>
      </c>
      <c r="I325" s="4" t="str">
        <f t="shared" ca="1" si="20"/>
        <v/>
      </c>
      <c r="J325" s="4"/>
      <c r="K325" s="4" t="str">
        <f ca="1">IFERROR(_xludf.XLOOKUP(A325,Pracownicy!$A$2:$A$501,Pracownicy!$F$2:$F$501),"")</f>
        <v/>
      </c>
      <c r="L325" s="4"/>
      <c r="M325" s="4" t="str">
        <f t="shared" ca="1" si="21"/>
        <v/>
      </c>
      <c r="N325" s="4" t="str">
        <f t="shared" si="22"/>
        <v/>
      </c>
      <c r="O325" s="4" t="str">
        <f t="shared" ca="1" si="23"/>
        <v/>
      </c>
    </row>
    <row r="326" spans="1:15" x14ac:dyDescent="0.25">
      <c r="A326" s="4"/>
      <c r="B326" s="4" t="str">
        <f ca="1">IFERROR(_xludf.XLOOKUP(A326,Pracownicy!$A$2:$A$501,Pracownicy!$B$2:$B$501),"")</f>
        <v/>
      </c>
      <c r="C326" s="4"/>
      <c r="D326" s="4" t="str">
        <f ca="1">IFERROR(_xludf.XLOOKUP(C326,Milestones!$A$2:$A$501,Milestones!$B$2:$B$501),"")</f>
        <v/>
      </c>
      <c r="E326" s="4" t="str">
        <f ca="1">IFERROR(_xludf.XLOOKUP(D326,Projekty!$A$2:$A$501,Projekty!$B$2:$B$501),"")</f>
        <v/>
      </c>
      <c r="F326" s="4" t="str">
        <f ca="1">IFERROR(_xludf.XLOOKUP(C326,Milestones!$A$2:$A$501,Milestones!$C$2:$C$501),"")</f>
        <v/>
      </c>
      <c r="G326" s="4" t="str">
        <f ca="1">IFERROR(_xludf.XLOOKUP(C326,Milestones!$A$2:$A$501,Milestones!$F$2:$F$501),"")</f>
        <v/>
      </c>
      <c r="H326" s="4" t="str">
        <f ca="1">IFERROR(_xludf.XLOOKUP(C326,Milestones!$A$2:$A$501,Milestones!$M$2:$M$501),"")</f>
        <v/>
      </c>
      <c r="I326" s="4" t="str">
        <f t="shared" ca="1" si="20"/>
        <v/>
      </c>
      <c r="J326" s="4"/>
      <c r="K326" s="4" t="str">
        <f ca="1">IFERROR(_xludf.XLOOKUP(A326,Pracownicy!$A$2:$A$501,Pracownicy!$F$2:$F$501),"")</f>
        <v/>
      </c>
      <c r="L326" s="4"/>
      <c r="M326" s="4" t="str">
        <f t="shared" ca="1" si="21"/>
        <v/>
      </c>
      <c r="N326" s="4" t="str">
        <f t="shared" si="22"/>
        <v/>
      </c>
      <c r="O326" s="4" t="str">
        <f t="shared" ca="1" si="23"/>
        <v/>
      </c>
    </row>
    <row r="327" spans="1:15" x14ac:dyDescent="0.25">
      <c r="A327" s="4"/>
      <c r="B327" s="4" t="str">
        <f ca="1">IFERROR(_xludf.XLOOKUP(A327,Pracownicy!$A$2:$A$501,Pracownicy!$B$2:$B$501),"")</f>
        <v/>
      </c>
      <c r="C327" s="4"/>
      <c r="D327" s="4" t="str">
        <f ca="1">IFERROR(_xludf.XLOOKUP(C327,Milestones!$A$2:$A$501,Milestones!$B$2:$B$501),"")</f>
        <v/>
      </c>
      <c r="E327" s="4" t="str">
        <f ca="1">IFERROR(_xludf.XLOOKUP(D327,Projekty!$A$2:$A$501,Projekty!$B$2:$B$501),"")</f>
        <v/>
      </c>
      <c r="F327" s="4" t="str">
        <f ca="1">IFERROR(_xludf.XLOOKUP(C327,Milestones!$A$2:$A$501,Milestones!$C$2:$C$501),"")</f>
        <v/>
      </c>
      <c r="G327" s="4" t="str">
        <f ca="1">IFERROR(_xludf.XLOOKUP(C327,Milestones!$A$2:$A$501,Milestones!$F$2:$F$501),"")</f>
        <v/>
      </c>
      <c r="H327" s="4" t="str">
        <f ca="1">IFERROR(_xludf.XLOOKUP(C327,Milestones!$A$2:$A$501,Milestones!$M$2:$M$501),"")</f>
        <v/>
      </c>
      <c r="I327" s="4" t="str">
        <f t="shared" ca="1" si="20"/>
        <v/>
      </c>
      <c r="J327" s="4"/>
      <c r="K327" s="4" t="str">
        <f ca="1">IFERROR(_xludf.XLOOKUP(A327,Pracownicy!$A$2:$A$501,Pracownicy!$F$2:$F$501),"")</f>
        <v/>
      </c>
      <c r="L327" s="4"/>
      <c r="M327" s="4" t="str">
        <f t="shared" ca="1" si="21"/>
        <v/>
      </c>
      <c r="N327" s="4" t="str">
        <f t="shared" si="22"/>
        <v/>
      </c>
      <c r="O327" s="4" t="str">
        <f t="shared" ca="1" si="23"/>
        <v/>
      </c>
    </row>
    <row r="328" spans="1:15" x14ac:dyDescent="0.25">
      <c r="A328" s="4"/>
      <c r="B328" s="4" t="str">
        <f ca="1">IFERROR(_xludf.XLOOKUP(A328,Pracownicy!$A$2:$A$501,Pracownicy!$B$2:$B$501),"")</f>
        <v/>
      </c>
      <c r="C328" s="4"/>
      <c r="D328" s="4" t="str">
        <f ca="1">IFERROR(_xludf.XLOOKUP(C328,Milestones!$A$2:$A$501,Milestones!$B$2:$B$501),"")</f>
        <v/>
      </c>
      <c r="E328" s="4" t="str">
        <f ca="1">IFERROR(_xludf.XLOOKUP(D328,Projekty!$A$2:$A$501,Projekty!$B$2:$B$501),"")</f>
        <v/>
      </c>
      <c r="F328" s="4" t="str">
        <f ca="1">IFERROR(_xludf.XLOOKUP(C328,Milestones!$A$2:$A$501,Milestones!$C$2:$C$501),"")</f>
        <v/>
      </c>
      <c r="G328" s="4" t="str">
        <f ca="1">IFERROR(_xludf.XLOOKUP(C328,Milestones!$A$2:$A$501,Milestones!$F$2:$F$501),"")</f>
        <v/>
      </c>
      <c r="H328" s="4" t="str">
        <f ca="1">IFERROR(_xludf.XLOOKUP(C328,Milestones!$A$2:$A$501,Milestones!$M$2:$M$501),"")</f>
        <v/>
      </c>
      <c r="I328" s="4" t="str">
        <f t="shared" ca="1" si="20"/>
        <v/>
      </c>
      <c r="J328" s="4"/>
      <c r="K328" s="4" t="str">
        <f ca="1">IFERROR(_xludf.XLOOKUP(A328,Pracownicy!$A$2:$A$501,Pracownicy!$F$2:$F$501),"")</f>
        <v/>
      </c>
      <c r="L328" s="4"/>
      <c r="M328" s="4" t="str">
        <f t="shared" ca="1" si="21"/>
        <v/>
      </c>
      <c r="N328" s="4" t="str">
        <f t="shared" si="22"/>
        <v/>
      </c>
      <c r="O328" s="4" t="str">
        <f t="shared" ca="1" si="23"/>
        <v/>
      </c>
    </row>
    <row r="329" spans="1:15" x14ac:dyDescent="0.25">
      <c r="A329" s="4"/>
      <c r="B329" s="4" t="str">
        <f ca="1">IFERROR(_xludf.XLOOKUP(A329,Pracownicy!$A$2:$A$501,Pracownicy!$B$2:$B$501),"")</f>
        <v/>
      </c>
      <c r="C329" s="4"/>
      <c r="D329" s="4" t="str">
        <f ca="1">IFERROR(_xludf.XLOOKUP(C329,Milestones!$A$2:$A$501,Milestones!$B$2:$B$501),"")</f>
        <v/>
      </c>
      <c r="E329" s="4" t="str">
        <f ca="1">IFERROR(_xludf.XLOOKUP(D329,Projekty!$A$2:$A$501,Projekty!$B$2:$B$501),"")</f>
        <v/>
      </c>
      <c r="F329" s="4" t="str">
        <f ca="1">IFERROR(_xludf.XLOOKUP(C329,Milestones!$A$2:$A$501,Milestones!$C$2:$C$501),"")</f>
        <v/>
      </c>
      <c r="G329" s="4" t="str">
        <f ca="1">IFERROR(_xludf.XLOOKUP(C329,Milestones!$A$2:$A$501,Milestones!$F$2:$F$501),"")</f>
        <v/>
      </c>
      <c r="H329" s="4" t="str">
        <f ca="1">IFERROR(_xludf.XLOOKUP(C329,Milestones!$A$2:$A$501,Milestones!$M$2:$M$501),"")</f>
        <v/>
      </c>
      <c r="I329" s="4" t="str">
        <f t="shared" ca="1" si="20"/>
        <v/>
      </c>
      <c r="J329" s="4"/>
      <c r="K329" s="4" t="str">
        <f ca="1">IFERROR(_xludf.XLOOKUP(A329,Pracownicy!$A$2:$A$501,Pracownicy!$F$2:$F$501),"")</f>
        <v/>
      </c>
      <c r="L329" s="4"/>
      <c r="M329" s="4" t="str">
        <f t="shared" ca="1" si="21"/>
        <v/>
      </c>
      <c r="N329" s="4" t="str">
        <f t="shared" si="22"/>
        <v/>
      </c>
      <c r="O329" s="4" t="str">
        <f t="shared" ca="1" si="23"/>
        <v/>
      </c>
    </row>
    <row r="330" spans="1:15" x14ac:dyDescent="0.25">
      <c r="A330" s="4"/>
      <c r="B330" s="4" t="str">
        <f ca="1">IFERROR(_xludf.XLOOKUP(A330,Pracownicy!$A$2:$A$501,Pracownicy!$B$2:$B$501),"")</f>
        <v/>
      </c>
      <c r="C330" s="4"/>
      <c r="D330" s="4" t="str">
        <f ca="1">IFERROR(_xludf.XLOOKUP(C330,Milestones!$A$2:$A$501,Milestones!$B$2:$B$501),"")</f>
        <v/>
      </c>
      <c r="E330" s="4" t="str">
        <f ca="1">IFERROR(_xludf.XLOOKUP(D330,Projekty!$A$2:$A$501,Projekty!$B$2:$B$501),"")</f>
        <v/>
      </c>
      <c r="F330" s="4" t="str">
        <f ca="1">IFERROR(_xludf.XLOOKUP(C330,Milestones!$A$2:$A$501,Milestones!$C$2:$C$501),"")</f>
        <v/>
      </c>
      <c r="G330" s="4" t="str">
        <f ca="1">IFERROR(_xludf.XLOOKUP(C330,Milestones!$A$2:$A$501,Milestones!$F$2:$F$501),"")</f>
        <v/>
      </c>
      <c r="H330" s="4" t="str">
        <f ca="1">IFERROR(_xludf.XLOOKUP(C330,Milestones!$A$2:$A$501,Milestones!$M$2:$M$501),"")</f>
        <v/>
      </c>
      <c r="I330" s="4" t="str">
        <f t="shared" ca="1" si="20"/>
        <v/>
      </c>
      <c r="J330" s="4"/>
      <c r="K330" s="4" t="str">
        <f ca="1">IFERROR(_xludf.XLOOKUP(A330,Pracownicy!$A$2:$A$501,Pracownicy!$F$2:$F$501),"")</f>
        <v/>
      </c>
      <c r="L330" s="4"/>
      <c r="M330" s="4" t="str">
        <f t="shared" ca="1" si="21"/>
        <v/>
      </c>
      <c r="N330" s="4" t="str">
        <f t="shared" si="22"/>
        <v/>
      </c>
      <c r="O330" s="4" t="str">
        <f t="shared" ca="1" si="23"/>
        <v/>
      </c>
    </row>
    <row r="331" spans="1:15" x14ac:dyDescent="0.25">
      <c r="A331" s="4"/>
      <c r="B331" s="4" t="str">
        <f ca="1">IFERROR(_xludf.XLOOKUP(A331,Pracownicy!$A$2:$A$501,Pracownicy!$B$2:$B$501),"")</f>
        <v/>
      </c>
      <c r="C331" s="4"/>
      <c r="D331" s="4" t="str">
        <f ca="1">IFERROR(_xludf.XLOOKUP(C331,Milestones!$A$2:$A$501,Milestones!$B$2:$B$501),"")</f>
        <v/>
      </c>
      <c r="E331" s="4" t="str">
        <f ca="1">IFERROR(_xludf.XLOOKUP(D331,Projekty!$A$2:$A$501,Projekty!$B$2:$B$501),"")</f>
        <v/>
      </c>
      <c r="F331" s="4" t="str">
        <f ca="1">IFERROR(_xludf.XLOOKUP(C331,Milestones!$A$2:$A$501,Milestones!$C$2:$C$501),"")</f>
        <v/>
      </c>
      <c r="G331" s="4" t="str">
        <f ca="1">IFERROR(_xludf.XLOOKUP(C331,Milestones!$A$2:$A$501,Milestones!$F$2:$F$501),"")</f>
        <v/>
      </c>
      <c r="H331" s="4" t="str">
        <f ca="1">IFERROR(_xludf.XLOOKUP(C331,Milestones!$A$2:$A$501,Milestones!$M$2:$M$501),"")</f>
        <v/>
      </c>
      <c r="I331" s="4" t="str">
        <f t="shared" ca="1" si="20"/>
        <v/>
      </c>
      <c r="J331" s="4"/>
      <c r="K331" s="4" t="str">
        <f ca="1">IFERROR(_xludf.XLOOKUP(A331,Pracownicy!$A$2:$A$501,Pracownicy!$F$2:$F$501),"")</f>
        <v/>
      </c>
      <c r="L331" s="4"/>
      <c r="M331" s="4" t="str">
        <f t="shared" ca="1" si="21"/>
        <v/>
      </c>
      <c r="N331" s="4" t="str">
        <f t="shared" si="22"/>
        <v/>
      </c>
      <c r="O331" s="4" t="str">
        <f t="shared" ca="1" si="23"/>
        <v/>
      </c>
    </row>
    <row r="332" spans="1:15" x14ac:dyDescent="0.25">
      <c r="A332" s="4"/>
      <c r="B332" s="4" t="str">
        <f ca="1">IFERROR(_xludf.XLOOKUP(A332,Pracownicy!$A$2:$A$501,Pracownicy!$B$2:$B$501),"")</f>
        <v/>
      </c>
      <c r="C332" s="4"/>
      <c r="D332" s="4" t="str">
        <f ca="1">IFERROR(_xludf.XLOOKUP(C332,Milestones!$A$2:$A$501,Milestones!$B$2:$B$501),"")</f>
        <v/>
      </c>
      <c r="E332" s="4" t="str">
        <f ca="1">IFERROR(_xludf.XLOOKUP(D332,Projekty!$A$2:$A$501,Projekty!$B$2:$B$501),"")</f>
        <v/>
      </c>
      <c r="F332" s="4" t="str">
        <f ca="1">IFERROR(_xludf.XLOOKUP(C332,Milestones!$A$2:$A$501,Milestones!$C$2:$C$501),"")</f>
        <v/>
      </c>
      <c r="G332" s="4" t="str">
        <f ca="1">IFERROR(_xludf.XLOOKUP(C332,Milestones!$A$2:$A$501,Milestones!$F$2:$F$501),"")</f>
        <v/>
      </c>
      <c r="H332" s="4" t="str">
        <f ca="1">IFERROR(_xludf.XLOOKUP(C332,Milestones!$A$2:$A$501,Milestones!$M$2:$M$501),"")</f>
        <v/>
      </c>
      <c r="I332" s="4" t="str">
        <f t="shared" ca="1" si="20"/>
        <v/>
      </c>
      <c r="J332" s="4"/>
      <c r="K332" s="4" t="str">
        <f ca="1">IFERROR(_xludf.XLOOKUP(A332,Pracownicy!$A$2:$A$501,Pracownicy!$F$2:$F$501),"")</f>
        <v/>
      </c>
      <c r="L332" s="4"/>
      <c r="M332" s="4" t="str">
        <f t="shared" ca="1" si="21"/>
        <v/>
      </c>
      <c r="N332" s="4" t="str">
        <f t="shared" si="22"/>
        <v/>
      </c>
      <c r="O332" s="4" t="str">
        <f t="shared" ca="1" si="23"/>
        <v/>
      </c>
    </row>
    <row r="333" spans="1:15" x14ac:dyDescent="0.25">
      <c r="A333" s="4"/>
      <c r="B333" s="4" t="str">
        <f ca="1">IFERROR(_xludf.XLOOKUP(A333,Pracownicy!$A$2:$A$501,Pracownicy!$B$2:$B$501),"")</f>
        <v/>
      </c>
      <c r="C333" s="4"/>
      <c r="D333" s="4" t="str">
        <f ca="1">IFERROR(_xludf.XLOOKUP(C333,Milestones!$A$2:$A$501,Milestones!$B$2:$B$501),"")</f>
        <v/>
      </c>
      <c r="E333" s="4" t="str">
        <f ca="1">IFERROR(_xludf.XLOOKUP(D333,Projekty!$A$2:$A$501,Projekty!$B$2:$B$501),"")</f>
        <v/>
      </c>
      <c r="F333" s="4" t="str">
        <f ca="1">IFERROR(_xludf.XLOOKUP(C333,Milestones!$A$2:$A$501,Milestones!$C$2:$C$501),"")</f>
        <v/>
      </c>
      <c r="G333" s="4" t="str">
        <f ca="1">IFERROR(_xludf.XLOOKUP(C333,Milestones!$A$2:$A$501,Milestones!$F$2:$F$501),"")</f>
        <v/>
      </c>
      <c r="H333" s="4" t="str">
        <f ca="1">IFERROR(_xludf.XLOOKUP(C333,Milestones!$A$2:$A$501,Milestones!$M$2:$M$501),"")</f>
        <v/>
      </c>
      <c r="I333" s="4" t="str">
        <f t="shared" ca="1" si="20"/>
        <v/>
      </c>
      <c r="J333" s="4"/>
      <c r="K333" s="4" t="str">
        <f ca="1">IFERROR(_xludf.XLOOKUP(A333,Pracownicy!$A$2:$A$501,Pracownicy!$F$2:$F$501),"")</f>
        <v/>
      </c>
      <c r="L333" s="4"/>
      <c r="M333" s="4" t="str">
        <f t="shared" ca="1" si="21"/>
        <v/>
      </c>
      <c r="N333" s="4" t="str">
        <f t="shared" si="22"/>
        <v/>
      </c>
      <c r="O333" s="4" t="str">
        <f t="shared" ca="1" si="23"/>
        <v/>
      </c>
    </row>
    <row r="334" spans="1:15" x14ac:dyDescent="0.25">
      <c r="A334" s="4"/>
      <c r="B334" s="4" t="str">
        <f ca="1">IFERROR(_xludf.XLOOKUP(A334,Pracownicy!$A$2:$A$501,Pracownicy!$B$2:$B$501),"")</f>
        <v/>
      </c>
      <c r="C334" s="4"/>
      <c r="D334" s="4" t="str">
        <f ca="1">IFERROR(_xludf.XLOOKUP(C334,Milestones!$A$2:$A$501,Milestones!$B$2:$B$501),"")</f>
        <v/>
      </c>
      <c r="E334" s="4" t="str">
        <f ca="1">IFERROR(_xludf.XLOOKUP(D334,Projekty!$A$2:$A$501,Projekty!$B$2:$B$501),"")</f>
        <v/>
      </c>
      <c r="F334" s="4" t="str">
        <f ca="1">IFERROR(_xludf.XLOOKUP(C334,Milestones!$A$2:$A$501,Milestones!$C$2:$C$501),"")</f>
        <v/>
      </c>
      <c r="G334" s="4" t="str">
        <f ca="1">IFERROR(_xludf.XLOOKUP(C334,Milestones!$A$2:$A$501,Milestones!$F$2:$F$501),"")</f>
        <v/>
      </c>
      <c r="H334" s="4" t="str">
        <f ca="1">IFERROR(_xludf.XLOOKUP(C334,Milestones!$A$2:$A$501,Milestones!$M$2:$M$501),"")</f>
        <v/>
      </c>
      <c r="I334" s="4" t="str">
        <f t="shared" ca="1" si="20"/>
        <v/>
      </c>
      <c r="J334" s="4"/>
      <c r="K334" s="4" t="str">
        <f ca="1">IFERROR(_xludf.XLOOKUP(A334,Pracownicy!$A$2:$A$501,Pracownicy!$F$2:$F$501),"")</f>
        <v/>
      </c>
      <c r="L334" s="4"/>
      <c r="M334" s="4" t="str">
        <f t="shared" ca="1" si="21"/>
        <v/>
      </c>
      <c r="N334" s="4" t="str">
        <f t="shared" si="22"/>
        <v/>
      </c>
      <c r="O334" s="4" t="str">
        <f t="shared" ca="1" si="23"/>
        <v/>
      </c>
    </row>
    <row r="335" spans="1:15" x14ac:dyDescent="0.25">
      <c r="A335" s="4"/>
      <c r="B335" s="4" t="str">
        <f ca="1">IFERROR(_xludf.XLOOKUP(A335,Pracownicy!$A$2:$A$501,Pracownicy!$B$2:$B$501),"")</f>
        <v/>
      </c>
      <c r="C335" s="4"/>
      <c r="D335" s="4" t="str">
        <f ca="1">IFERROR(_xludf.XLOOKUP(C335,Milestones!$A$2:$A$501,Milestones!$B$2:$B$501),"")</f>
        <v/>
      </c>
      <c r="E335" s="4" t="str">
        <f ca="1">IFERROR(_xludf.XLOOKUP(D335,Projekty!$A$2:$A$501,Projekty!$B$2:$B$501),"")</f>
        <v/>
      </c>
      <c r="F335" s="4" t="str">
        <f ca="1">IFERROR(_xludf.XLOOKUP(C335,Milestones!$A$2:$A$501,Milestones!$C$2:$C$501),"")</f>
        <v/>
      </c>
      <c r="G335" s="4" t="str">
        <f ca="1">IFERROR(_xludf.XLOOKUP(C335,Milestones!$A$2:$A$501,Milestones!$F$2:$F$501),"")</f>
        <v/>
      </c>
      <c r="H335" s="4" t="str">
        <f ca="1">IFERROR(_xludf.XLOOKUP(C335,Milestones!$A$2:$A$501,Milestones!$M$2:$M$501),"")</f>
        <v/>
      </c>
      <c r="I335" s="4" t="str">
        <f t="shared" ca="1" si="20"/>
        <v/>
      </c>
      <c r="J335" s="4"/>
      <c r="K335" s="4" t="str">
        <f ca="1">IFERROR(_xludf.XLOOKUP(A335,Pracownicy!$A$2:$A$501,Pracownicy!$F$2:$F$501),"")</f>
        <v/>
      </c>
      <c r="L335" s="4"/>
      <c r="M335" s="4" t="str">
        <f t="shared" ca="1" si="21"/>
        <v/>
      </c>
      <c r="N335" s="4" t="str">
        <f t="shared" si="22"/>
        <v/>
      </c>
      <c r="O335" s="4" t="str">
        <f t="shared" ca="1" si="23"/>
        <v/>
      </c>
    </row>
    <row r="336" spans="1:15" x14ac:dyDescent="0.25">
      <c r="A336" s="4"/>
      <c r="B336" s="4" t="str">
        <f ca="1">IFERROR(_xludf.XLOOKUP(A336,Pracownicy!$A$2:$A$501,Pracownicy!$B$2:$B$501),"")</f>
        <v/>
      </c>
      <c r="C336" s="4"/>
      <c r="D336" s="4" t="str">
        <f ca="1">IFERROR(_xludf.XLOOKUP(C336,Milestones!$A$2:$A$501,Milestones!$B$2:$B$501),"")</f>
        <v/>
      </c>
      <c r="E336" s="4" t="str">
        <f ca="1">IFERROR(_xludf.XLOOKUP(D336,Projekty!$A$2:$A$501,Projekty!$B$2:$B$501),"")</f>
        <v/>
      </c>
      <c r="F336" s="4" t="str">
        <f ca="1">IFERROR(_xludf.XLOOKUP(C336,Milestones!$A$2:$A$501,Milestones!$C$2:$C$501),"")</f>
        <v/>
      </c>
      <c r="G336" s="4" t="str">
        <f ca="1">IFERROR(_xludf.XLOOKUP(C336,Milestones!$A$2:$A$501,Milestones!$F$2:$F$501),"")</f>
        <v/>
      </c>
      <c r="H336" s="4" t="str">
        <f ca="1">IFERROR(_xludf.XLOOKUP(C336,Milestones!$A$2:$A$501,Milestones!$M$2:$M$501),"")</f>
        <v/>
      </c>
      <c r="I336" s="4" t="str">
        <f t="shared" ca="1" si="20"/>
        <v/>
      </c>
      <c r="J336" s="4"/>
      <c r="K336" s="4" t="str">
        <f ca="1">IFERROR(_xludf.XLOOKUP(A336,Pracownicy!$A$2:$A$501,Pracownicy!$F$2:$F$501),"")</f>
        <v/>
      </c>
      <c r="L336" s="4"/>
      <c r="M336" s="4" t="str">
        <f t="shared" ca="1" si="21"/>
        <v/>
      </c>
      <c r="N336" s="4" t="str">
        <f t="shared" si="22"/>
        <v/>
      </c>
      <c r="O336" s="4" t="str">
        <f t="shared" ca="1" si="23"/>
        <v/>
      </c>
    </row>
    <row r="337" spans="1:15" x14ac:dyDescent="0.25">
      <c r="A337" s="4"/>
      <c r="B337" s="4" t="str">
        <f ca="1">IFERROR(_xludf.XLOOKUP(A337,Pracownicy!$A$2:$A$501,Pracownicy!$B$2:$B$501),"")</f>
        <v/>
      </c>
      <c r="C337" s="4"/>
      <c r="D337" s="4" t="str">
        <f ca="1">IFERROR(_xludf.XLOOKUP(C337,Milestones!$A$2:$A$501,Milestones!$B$2:$B$501),"")</f>
        <v/>
      </c>
      <c r="E337" s="4" t="str">
        <f ca="1">IFERROR(_xludf.XLOOKUP(D337,Projekty!$A$2:$A$501,Projekty!$B$2:$B$501),"")</f>
        <v/>
      </c>
      <c r="F337" s="4" t="str">
        <f ca="1">IFERROR(_xludf.XLOOKUP(C337,Milestones!$A$2:$A$501,Milestones!$C$2:$C$501),"")</f>
        <v/>
      </c>
      <c r="G337" s="4" t="str">
        <f ca="1">IFERROR(_xludf.XLOOKUP(C337,Milestones!$A$2:$A$501,Milestones!$F$2:$F$501),"")</f>
        <v/>
      </c>
      <c r="H337" s="4" t="str">
        <f ca="1">IFERROR(_xludf.XLOOKUP(C337,Milestones!$A$2:$A$501,Milestones!$M$2:$M$501),"")</f>
        <v/>
      </c>
      <c r="I337" s="4" t="str">
        <f t="shared" ca="1" si="20"/>
        <v/>
      </c>
      <c r="J337" s="4"/>
      <c r="K337" s="4" t="str">
        <f ca="1">IFERROR(_xludf.XLOOKUP(A337,Pracownicy!$A$2:$A$501,Pracownicy!$F$2:$F$501),"")</f>
        <v/>
      </c>
      <c r="L337" s="4"/>
      <c r="M337" s="4" t="str">
        <f t="shared" ca="1" si="21"/>
        <v/>
      </c>
      <c r="N337" s="4" t="str">
        <f t="shared" si="22"/>
        <v/>
      </c>
      <c r="O337" s="4" t="str">
        <f t="shared" ca="1" si="23"/>
        <v/>
      </c>
    </row>
    <row r="338" spans="1:15" x14ac:dyDescent="0.25">
      <c r="A338" s="4"/>
      <c r="B338" s="4" t="str">
        <f ca="1">IFERROR(_xludf.XLOOKUP(A338,Pracownicy!$A$2:$A$501,Pracownicy!$B$2:$B$501),"")</f>
        <v/>
      </c>
      <c r="C338" s="4"/>
      <c r="D338" s="4" t="str">
        <f ca="1">IFERROR(_xludf.XLOOKUP(C338,Milestones!$A$2:$A$501,Milestones!$B$2:$B$501),"")</f>
        <v/>
      </c>
      <c r="E338" s="4" t="str">
        <f ca="1">IFERROR(_xludf.XLOOKUP(D338,Projekty!$A$2:$A$501,Projekty!$B$2:$B$501),"")</f>
        <v/>
      </c>
      <c r="F338" s="4" t="str">
        <f ca="1">IFERROR(_xludf.XLOOKUP(C338,Milestones!$A$2:$A$501,Milestones!$C$2:$C$501),"")</f>
        <v/>
      </c>
      <c r="G338" s="4" t="str">
        <f ca="1">IFERROR(_xludf.XLOOKUP(C338,Milestones!$A$2:$A$501,Milestones!$F$2:$F$501),"")</f>
        <v/>
      </c>
      <c r="H338" s="4" t="str">
        <f ca="1">IFERROR(_xludf.XLOOKUP(C338,Milestones!$A$2:$A$501,Milestones!$M$2:$M$501),"")</f>
        <v/>
      </c>
      <c r="I338" s="4" t="str">
        <f t="shared" ca="1" si="20"/>
        <v/>
      </c>
      <c r="J338" s="4"/>
      <c r="K338" s="4" t="str">
        <f ca="1">IFERROR(_xludf.XLOOKUP(A338,Pracownicy!$A$2:$A$501,Pracownicy!$F$2:$F$501),"")</f>
        <v/>
      </c>
      <c r="L338" s="4"/>
      <c r="M338" s="4" t="str">
        <f t="shared" ca="1" si="21"/>
        <v/>
      </c>
      <c r="N338" s="4" t="str">
        <f t="shared" si="22"/>
        <v/>
      </c>
      <c r="O338" s="4" t="str">
        <f t="shared" ca="1" si="23"/>
        <v/>
      </c>
    </row>
    <row r="339" spans="1:15" x14ac:dyDescent="0.25">
      <c r="A339" s="4"/>
      <c r="B339" s="4" t="str">
        <f ca="1">IFERROR(_xludf.XLOOKUP(A339,Pracownicy!$A$2:$A$501,Pracownicy!$B$2:$B$501),"")</f>
        <v/>
      </c>
      <c r="C339" s="4"/>
      <c r="D339" s="4" t="str">
        <f ca="1">IFERROR(_xludf.XLOOKUP(C339,Milestones!$A$2:$A$501,Milestones!$B$2:$B$501),"")</f>
        <v/>
      </c>
      <c r="E339" s="4" t="str">
        <f ca="1">IFERROR(_xludf.XLOOKUP(D339,Projekty!$A$2:$A$501,Projekty!$B$2:$B$501),"")</f>
        <v/>
      </c>
      <c r="F339" s="4" t="str">
        <f ca="1">IFERROR(_xludf.XLOOKUP(C339,Milestones!$A$2:$A$501,Milestones!$C$2:$C$501),"")</f>
        <v/>
      </c>
      <c r="G339" s="4" t="str">
        <f ca="1">IFERROR(_xludf.XLOOKUP(C339,Milestones!$A$2:$A$501,Milestones!$F$2:$F$501),"")</f>
        <v/>
      </c>
      <c r="H339" s="4" t="str">
        <f ca="1">IFERROR(_xludf.XLOOKUP(C339,Milestones!$A$2:$A$501,Milestones!$M$2:$M$501),"")</f>
        <v/>
      </c>
      <c r="I339" s="4" t="str">
        <f t="shared" ca="1" si="20"/>
        <v/>
      </c>
      <c r="J339" s="4"/>
      <c r="K339" s="4" t="str">
        <f ca="1">IFERROR(_xludf.XLOOKUP(A339,Pracownicy!$A$2:$A$501,Pracownicy!$F$2:$F$501),"")</f>
        <v/>
      </c>
      <c r="L339" s="4"/>
      <c r="M339" s="4" t="str">
        <f t="shared" ca="1" si="21"/>
        <v/>
      </c>
      <c r="N339" s="4" t="str">
        <f t="shared" si="22"/>
        <v/>
      </c>
      <c r="O339" s="4" t="str">
        <f t="shared" ca="1" si="23"/>
        <v/>
      </c>
    </row>
    <row r="340" spans="1:15" x14ac:dyDescent="0.25">
      <c r="A340" s="4"/>
      <c r="B340" s="4" t="str">
        <f ca="1">IFERROR(_xludf.XLOOKUP(A340,Pracownicy!$A$2:$A$501,Pracownicy!$B$2:$B$501),"")</f>
        <v/>
      </c>
      <c r="C340" s="4"/>
      <c r="D340" s="4" t="str">
        <f ca="1">IFERROR(_xludf.XLOOKUP(C340,Milestones!$A$2:$A$501,Milestones!$B$2:$B$501),"")</f>
        <v/>
      </c>
      <c r="E340" s="4" t="str">
        <f ca="1">IFERROR(_xludf.XLOOKUP(D340,Projekty!$A$2:$A$501,Projekty!$B$2:$B$501),"")</f>
        <v/>
      </c>
      <c r="F340" s="4" t="str">
        <f ca="1">IFERROR(_xludf.XLOOKUP(C340,Milestones!$A$2:$A$501,Milestones!$C$2:$C$501),"")</f>
        <v/>
      </c>
      <c r="G340" s="4" t="str">
        <f ca="1">IFERROR(_xludf.XLOOKUP(C340,Milestones!$A$2:$A$501,Milestones!$F$2:$F$501),"")</f>
        <v/>
      </c>
      <c r="H340" s="4" t="str">
        <f ca="1">IFERROR(_xludf.XLOOKUP(C340,Milestones!$A$2:$A$501,Milestones!$M$2:$M$501),"")</f>
        <v/>
      </c>
      <c r="I340" s="4" t="str">
        <f t="shared" ca="1" si="20"/>
        <v/>
      </c>
      <c r="J340" s="4"/>
      <c r="K340" s="4" t="str">
        <f ca="1">IFERROR(_xludf.XLOOKUP(A340,Pracownicy!$A$2:$A$501,Pracownicy!$F$2:$F$501),"")</f>
        <v/>
      </c>
      <c r="L340" s="4"/>
      <c r="M340" s="4" t="str">
        <f t="shared" ca="1" si="21"/>
        <v/>
      </c>
      <c r="N340" s="4" t="str">
        <f t="shared" si="22"/>
        <v/>
      </c>
      <c r="O340" s="4" t="str">
        <f t="shared" ca="1" si="23"/>
        <v/>
      </c>
    </row>
    <row r="341" spans="1:15" x14ac:dyDescent="0.25">
      <c r="A341" s="4"/>
      <c r="B341" s="4" t="str">
        <f ca="1">IFERROR(_xludf.XLOOKUP(A341,Pracownicy!$A$2:$A$501,Pracownicy!$B$2:$B$501),"")</f>
        <v/>
      </c>
      <c r="C341" s="4"/>
      <c r="D341" s="4" t="str">
        <f ca="1">IFERROR(_xludf.XLOOKUP(C341,Milestones!$A$2:$A$501,Milestones!$B$2:$B$501),"")</f>
        <v/>
      </c>
      <c r="E341" s="4" t="str">
        <f ca="1">IFERROR(_xludf.XLOOKUP(D341,Projekty!$A$2:$A$501,Projekty!$B$2:$B$501),"")</f>
        <v/>
      </c>
      <c r="F341" s="4" t="str">
        <f ca="1">IFERROR(_xludf.XLOOKUP(C341,Milestones!$A$2:$A$501,Milestones!$C$2:$C$501),"")</f>
        <v/>
      </c>
      <c r="G341" s="4" t="str">
        <f ca="1">IFERROR(_xludf.XLOOKUP(C341,Milestones!$A$2:$A$501,Milestones!$F$2:$F$501),"")</f>
        <v/>
      </c>
      <c r="H341" s="4" t="str">
        <f ca="1">IFERROR(_xludf.XLOOKUP(C341,Milestones!$A$2:$A$501,Milestones!$M$2:$M$501),"")</f>
        <v/>
      </c>
      <c r="I341" s="4" t="str">
        <f t="shared" ca="1" si="20"/>
        <v/>
      </c>
      <c r="J341" s="4"/>
      <c r="K341" s="4" t="str">
        <f ca="1">IFERROR(_xludf.XLOOKUP(A341,Pracownicy!$A$2:$A$501,Pracownicy!$F$2:$F$501),"")</f>
        <v/>
      </c>
      <c r="L341" s="4"/>
      <c r="M341" s="4" t="str">
        <f t="shared" ca="1" si="21"/>
        <v/>
      </c>
      <c r="N341" s="4" t="str">
        <f t="shared" si="22"/>
        <v/>
      </c>
      <c r="O341" s="4" t="str">
        <f t="shared" ca="1" si="23"/>
        <v/>
      </c>
    </row>
    <row r="342" spans="1:15" x14ac:dyDescent="0.25">
      <c r="A342" s="4"/>
      <c r="B342" s="4" t="str">
        <f ca="1">IFERROR(_xludf.XLOOKUP(A342,Pracownicy!$A$2:$A$501,Pracownicy!$B$2:$B$501),"")</f>
        <v/>
      </c>
      <c r="C342" s="4"/>
      <c r="D342" s="4" t="str">
        <f ca="1">IFERROR(_xludf.XLOOKUP(C342,Milestones!$A$2:$A$501,Milestones!$B$2:$B$501),"")</f>
        <v/>
      </c>
      <c r="E342" s="4" t="str">
        <f ca="1">IFERROR(_xludf.XLOOKUP(D342,Projekty!$A$2:$A$501,Projekty!$B$2:$B$501),"")</f>
        <v/>
      </c>
      <c r="F342" s="4" t="str">
        <f ca="1">IFERROR(_xludf.XLOOKUP(C342,Milestones!$A$2:$A$501,Milestones!$C$2:$C$501),"")</f>
        <v/>
      </c>
      <c r="G342" s="4" t="str">
        <f ca="1">IFERROR(_xludf.XLOOKUP(C342,Milestones!$A$2:$A$501,Milestones!$F$2:$F$501),"")</f>
        <v/>
      </c>
      <c r="H342" s="4" t="str">
        <f ca="1">IFERROR(_xludf.XLOOKUP(C342,Milestones!$A$2:$A$501,Milestones!$M$2:$M$501),"")</f>
        <v/>
      </c>
      <c r="I342" s="4" t="str">
        <f t="shared" ca="1" si="20"/>
        <v/>
      </c>
      <c r="J342" s="4"/>
      <c r="K342" s="4" t="str">
        <f ca="1">IFERROR(_xludf.XLOOKUP(A342,Pracownicy!$A$2:$A$501,Pracownicy!$F$2:$F$501),"")</f>
        <v/>
      </c>
      <c r="L342" s="4"/>
      <c r="M342" s="4" t="str">
        <f t="shared" ca="1" si="21"/>
        <v/>
      </c>
      <c r="N342" s="4" t="str">
        <f t="shared" si="22"/>
        <v/>
      </c>
      <c r="O342" s="4" t="str">
        <f t="shared" ca="1" si="23"/>
        <v/>
      </c>
    </row>
    <row r="343" spans="1:15" x14ac:dyDescent="0.25">
      <c r="A343" s="4"/>
      <c r="B343" s="4" t="str">
        <f ca="1">IFERROR(_xludf.XLOOKUP(A343,Pracownicy!$A$2:$A$501,Pracownicy!$B$2:$B$501),"")</f>
        <v/>
      </c>
      <c r="C343" s="4"/>
      <c r="D343" s="4" t="str">
        <f ca="1">IFERROR(_xludf.XLOOKUP(C343,Milestones!$A$2:$A$501,Milestones!$B$2:$B$501),"")</f>
        <v/>
      </c>
      <c r="E343" s="4" t="str">
        <f ca="1">IFERROR(_xludf.XLOOKUP(D343,Projekty!$A$2:$A$501,Projekty!$B$2:$B$501),"")</f>
        <v/>
      </c>
      <c r="F343" s="4" t="str">
        <f ca="1">IFERROR(_xludf.XLOOKUP(C343,Milestones!$A$2:$A$501,Milestones!$C$2:$C$501),"")</f>
        <v/>
      </c>
      <c r="G343" s="4" t="str">
        <f ca="1">IFERROR(_xludf.XLOOKUP(C343,Milestones!$A$2:$A$501,Milestones!$F$2:$F$501),"")</f>
        <v/>
      </c>
      <c r="H343" s="4" t="str">
        <f ca="1">IFERROR(_xludf.XLOOKUP(C343,Milestones!$A$2:$A$501,Milestones!$M$2:$M$501),"")</f>
        <v/>
      </c>
      <c r="I343" s="4" t="str">
        <f t="shared" ca="1" si="20"/>
        <v/>
      </c>
      <c r="J343" s="4"/>
      <c r="K343" s="4" t="str">
        <f ca="1">IFERROR(_xludf.XLOOKUP(A343,Pracownicy!$A$2:$A$501,Pracownicy!$F$2:$F$501),"")</f>
        <v/>
      </c>
      <c r="L343" s="4"/>
      <c r="M343" s="4" t="str">
        <f t="shared" ca="1" si="21"/>
        <v/>
      </c>
      <c r="N343" s="4" t="str">
        <f t="shared" si="22"/>
        <v/>
      </c>
      <c r="O343" s="4" t="str">
        <f t="shared" ca="1" si="23"/>
        <v/>
      </c>
    </row>
    <row r="344" spans="1:15" x14ac:dyDescent="0.25">
      <c r="A344" s="4"/>
      <c r="B344" s="4" t="str">
        <f ca="1">IFERROR(_xludf.XLOOKUP(A344,Pracownicy!$A$2:$A$501,Pracownicy!$B$2:$B$501),"")</f>
        <v/>
      </c>
      <c r="C344" s="4"/>
      <c r="D344" s="4" t="str">
        <f ca="1">IFERROR(_xludf.XLOOKUP(C344,Milestones!$A$2:$A$501,Milestones!$B$2:$B$501),"")</f>
        <v/>
      </c>
      <c r="E344" s="4" t="str">
        <f ca="1">IFERROR(_xludf.XLOOKUP(D344,Projekty!$A$2:$A$501,Projekty!$B$2:$B$501),"")</f>
        <v/>
      </c>
      <c r="F344" s="4" t="str">
        <f ca="1">IFERROR(_xludf.XLOOKUP(C344,Milestones!$A$2:$A$501,Milestones!$C$2:$C$501),"")</f>
        <v/>
      </c>
      <c r="G344" s="4" t="str">
        <f ca="1">IFERROR(_xludf.XLOOKUP(C344,Milestones!$A$2:$A$501,Milestones!$F$2:$F$501),"")</f>
        <v/>
      </c>
      <c r="H344" s="4" t="str">
        <f ca="1">IFERROR(_xludf.XLOOKUP(C344,Milestones!$A$2:$A$501,Milestones!$M$2:$M$501),"")</f>
        <v/>
      </c>
      <c r="I344" s="4" t="str">
        <f t="shared" ca="1" si="20"/>
        <v/>
      </c>
      <c r="J344" s="4"/>
      <c r="K344" s="4" t="str">
        <f ca="1">IFERROR(_xludf.XLOOKUP(A344,Pracownicy!$A$2:$A$501,Pracownicy!$F$2:$F$501),"")</f>
        <v/>
      </c>
      <c r="L344" s="4"/>
      <c r="M344" s="4" t="str">
        <f t="shared" ca="1" si="21"/>
        <v/>
      </c>
      <c r="N344" s="4" t="str">
        <f t="shared" si="22"/>
        <v/>
      </c>
      <c r="O344" s="4" t="str">
        <f t="shared" ca="1" si="23"/>
        <v/>
      </c>
    </row>
    <row r="345" spans="1:15" x14ac:dyDescent="0.25">
      <c r="A345" s="4"/>
      <c r="B345" s="4" t="str">
        <f ca="1">IFERROR(_xludf.XLOOKUP(A345,Pracownicy!$A$2:$A$501,Pracownicy!$B$2:$B$501),"")</f>
        <v/>
      </c>
      <c r="C345" s="4"/>
      <c r="D345" s="4" t="str">
        <f ca="1">IFERROR(_xludf.XLOOKUP(C345,Milestones!$A$2:$A$501,Milestones!$B$2:$B$501),"")</f>
        <v/>
      </c>
      <c r="E345" s="4" t="str">
        <f ca="1">IFERROR(_xludf.XLOOKUP(D345,Projekty!$A$2:$A$501,Projekty!$B$2:$B$501),"")</f>
        <v/>
      </c>
      <c r="F345" s="4" t="str">
        <f ca="1">IFERROR(_xludf.XLOOKUP(C345,Milestones!$A$2:$A$501,Milestones!$C$2:$C$501),"")</f>
        <v/>
      </c>
      <c r="G345" s="4" t="str">
        <f ca="1">IFERROR(_xludf.XLOOKUP(C345,Milestones!$A$2:$A$501,Milestones!$F$2:$F$501),"")</f>
        <v/>
      </c>
      <c r="H345" s="4" t="str">
        <f ca="1">IFERROR(_xludf.XLOOKUP(C345,Milestones!$A$2:$A$501,Milestones!$M$2:$M$501),"")</f>
        <v/>
      </c>
      <c r="I345" s="4" t="str">
        <f t="shared" ca="1" si="20"/>
        <v/>
      </c>
      <c r="J345" s="4"/>
      <c r="K345" s="4" t="str">
        <f ca="1">IFERROR(_xludf.XLOOKUP(A345,Pracownicy!$A$2:$A$501,Pracownicy!$F$2:$F$501),"")</f>
        <v/>
      </c>
      <c r="L345" s="4"/>
      <c r="M345" s="4" t="str">
        <f t="shared" ca="1" si="21"/>
        <v/>
      </c>
      <c r="N345" s="4" t="str">
        <f t="shared" si="22"/>
        <v/>
      </c>
      <c r="O345" s="4" t="str">
        <f t="shared" ca="1" si="23"/>
        <v/>
      </c>
    </row>
    <row r="346" spans="1:15" x14ac:dyDescent="0.25">
      <c r="A346" s="4"/>
      <c r="B346" s="4" t="str">
        <f ca="1">IFERROR(_xludf.XLOOKUP(A346,Pracownicy!$A$2:$A$501,Pracownicy!$B$2:$B$501),"")</f>
        <v/>
      </c>
      <c r="C346" s="4"/>
      <c r="D346" s="4" t="str">
        <f ca="1">IFERROR(_xludf.XLOOKUP(C346,Milestones!$A$2:$A$501,Milestones!$B$2:$B$501),"")</f>
        <v/>
      </c>
      <c r="E346" s="4" t="str">
        <f ca="1">IFERROR(_xludf.XLOOKUP(D346,Projekty!$A$2:$A$501,Projekty!$B$2:$B$501),"")</f>
        <v/>
      </c>
      <c r="F346" s="4" t="str">
        <f ca="1">IFERROR(_xludf.XLOOKUP(C346,Milestones!$A$2:$A$501,Milestones!$C$2:$C$501),"")</f>
        <v/>
      </c>
      <c r="G346" s="4" t="str">
        <f ca="1">IFERROR(_xludf.XLOOKUP(C346,Milestones!$A$2:$A$501,Milestones!$F$2:$F$501),"")</f>
        <v/>
      </c>
      <c r="H346" s="4" t="str">
        <f ca="1">IFERROR(_xludf.XLOOKUP(C346,Milestones!$A$2:$A$501,Milestones!$M$2:$M$501),"")</f>
        <v/>
      </c>
      <c r="I346" s="4" t="str">
        <f t="shared" ca="1" si="20"/>
        <v/>
      </c>
      <c r="J346" s="4"/>
      <c r="K346" s="4" t="str">
        <f ca="1">IFERROR(_xludf.XLOOKUP(A346,Pracownicy!$A$2:$A$501,Pracownicy!$F$2:$F$501),"")</f>
        <v/>
      </c>
      <c r="L346" s="4"/>
      <c r="M346" s="4" t="str">
        <f t="shared" ca="1" si="21"/>
        <v/>
      </c>
      <c r="N346" s="4" t="str">
        <f t="shared" si="22"/>
        <v/>
      </c>
      <c r="O346" s="4" t="str">
        <f t="shared" ca="1" si="23"/>
        <v/>
      </c>
    </row>
    <row r="347" spans="1:15" x14ac:dyDescent="0.25">
      <c r="A347" s="4"/>
      <c r="B347" s="4" t="str">
        <f ca="1">IFERROR(_xludf.XLOOKUP(A347,Pracownicy!$A$2:$A$501,Pracownicy!$B$2:$B$501),"")</f>
        <v/>
      </c>
      <c r="C347" s="4"/>
      <c r="D347" s="4" t="str">
        <f ca="1">IFERROR(_xludf.XLOOKUP(C347,Milestones!$A$2:$A$501,Milestones!$B$2:$B$501),"")</f>
        <v/>
      </c>
      <c r="E347" s="4" t="str">
        <f ca="1">IFERROR(_xludf.XLOOKUP(D347,Projekty!$A$2:$A$501,Projekty!$B$2:$B$501),"")</f>
        <v/>
      </c>
      <c r="F347" s="4" t="str">
        <f ca="1">IFERROR(_xludf.XLOOKUP(C347,Milestones!$A$2:$A$501,Milestones!$C$2:$C$501),"")</f>
        <v/>
      </c>
      <c r="G347" s="4" t="str">
        <f ca="1">IFERROR(_xludf.XLOOKUP(C347,Milestones!$A$2:$A$501,Milestones!$F$2:$F$501),"")</f>
        <v/>
      </c>
      <c r="H347" s="4" t="str">
        <f ca="1">IFERROR(_xludf.XLOOKUP(C347,Milestones!$A$2:$A$501,Milestones!$M$2:$M$501),"")</f>
        <v/>
      </c>
      <c r="I347" s="4" t="str">
        <f t="shared" ca="1" si="20"/>
        <v/>
      </c>
      <c r="J347" s="4"/>
      <c r="K347" s="4" t="str">
        <f ca="1">IFERROR(_xludf.XLOOKUP(A347,Pracownicy!$A$2:$A$501,Pracownicy!$F$2:$F$501),"")</f>
        <v/>
      </c>
      <c r="L347" s="4"/>
      <c r="M347" s="4" t="str">
        <f t="shared" ca="1" si="21"/>
        <v/>
      </c>
      <c r="N347" s="4" t="str">
        <f t="shared" si="22"/>
        <v/>
      </c>
      <c r="O347" s="4" t="str">
        <f t="shared" ca="1" si="23"/>
        <v/>
      </c>
    </row>
    <row r="348" spans="1:15" x14ac:dyDescent="0.25">
      <c r="A348" s="4"/>
      <c r="B348" s="4" t="str">
        <f ca="1">IFERROR(_xludf.XLOOKUP(A348,Pracownicy!$A$2:$A$501,Pracownicy!$B$2:$B$501),"")</f>
        <v/>
      </c>
      <c r="C348" s="4"/>
      <c r="D348" s="4" t="str">
        <f ca="1">IFERROR(_xludf.XLOOKUP(C348,Milestones!$A$2:$A$501,Milestones!$B$2:$B$501),"")</f>
        <v/>
      </c>
      <c r="E348" s="4" t="str">
        <f ca="1">IFERROR(_xludf.XLOOKUP(D348,Projekty!$A$2:$A$501,Projekty!$B$2:$B$501),"")</f>
        <v/>
      </c>
      <c r="F348" s="4" t="str">
        <f ca="1">IFERROR(_xludf.XLOOKUP(C348,Milestones!$A$2:$A$501,Milestones!$C$2:$C$501),"")</f>
        <v/>
      </c>
      <c r="G348" s="4" t="str">
        <f ca="1">IFERROR(_xludf.XLOOKUP(C348,Milestones!$A$2:$A$501,Milestones!$F$2:$F$501),"")</f>
        <v/>
      </c>
      <c r="H348" s="4" t="str">
        <f ca="1">IFERROR(_xludf.XLOOKUP(C348,Milestones!$A$2:$A$501,Milestones!$M$2:$M$501),"")</f>
        <v/>
      </c>
      <c r="I348" s="4" t="str">
        <f t="shared" ca="1" si="20"/>
        <v/>
      </c>
      <c r="J348" s="4"/>
      <c r="K348" s="4" t="str">
        <f ca="1">IFERROR(_xludf.XLOOKUP(A348,Pracownicy!$A$2:$A$501,Pracownicy!$F$2:$F$501),"")</f>
        <v/>
      </c>
      <c r="L348" s="4"/>
      <c r="M348" s="4" t="str">
        <f t="shared" ca="1" si="21"/>
        <v/>
      </c>
      <c r="N348" s="4" t="str">
        <f t="shared" si="22"/>
        <v/>
      </c>
      <c r="O348" s="4" t="str">
        <f t="shared" ca="1" si="23"/>
        <v/>
      </c>
    </row>
    <row r="349" spans="1:15" x14ac:dyDescent="0.25">
      <c r="A349" s="4"/>
      <c r="B349" s="4" t="str">
        <f ca="1">IFERROR(_xludf.XLOOKUP(A349,Pracownicy!$A$2:$A$501,Pracownicy!$B$2:$B$501),"")</f>
        <v/>
      </c>
      <c r="C349" s="4"/>
      <c r="D349" s="4" t="str">
        <f ca="1">IFERROR(_xludf.XLOOKUP(C349,Milestones!$A$2:$A$501,Milestones!$B$2:$B$501),"")</f>
        <v/>
      </c>
      <c r="E349" s="4" t="str">
        <f ca="1">IFERROR(_xludf.XLOOKUP(D349,Projekty!$A$2:$A$501,Projekty!$B$2:$B$501),"")</f>
        <v/>
      </c>
      <c r="F349" s="4" t="str">
        <f ca="1">IFERROR(_xludf.XLOOKUP(C349,Milestones!$A$2:$A$501,Milestones!$C$2:$C$501),"")</f>
        <v/>
      </c>
      <c r="G349" s="4" t="str">
        <f ca="1">IFERROR(_xludf.XLOOKUP(C349,Milestones!$A$2:$A$501,Milestones!$F$2:$F$501),"")</f>
        <v/>
      </c>
      <c r="H349" s="4" t="str">
        <f ca="1">IFERROR(_xludf.XLOOKUP(C349,Milestones!$A$2:$A$501,Milestones!$M$2:$M$501),"")</f>
        <v/>
      </c>
      <c r="I349" s="4" t="str">
        <f t="shared" ca="1" si="20"/>
        <v/>
      </c>
      <c r="J349" s="4"/>
      <c r="K349" s="4" t="str">
        <f ca="1">IFERROR(_xludf.XLOOKUP(A349,Pracownicy!$A$2:$A$501,Pracownicy!$F$2:$F$501),"")</f>
        <v/>
      </c>
      <c r="L349" s="4"/>
      <c r="M349" s="4" t="str">
        <f t="shared" ca="1" si="21"/>
        <v/>
      </c>
      <c r="N349" s="4" t="str">
        <f t="shared" si="22"/>
        <v/>
      </c>
      <c r="O349" s="4" t="str">
        <f t="shared" ca="1" si="23"/>
        <v/>
      </c>
    </row>
    <row r="350" spans="1:15" x14ac:dyDescent="0.25">
      <c r="A350" s="4"/>
      <c r="B350" s="4" t="str">
        <f ca="1">IFERROR(_xludf.XLOOKUP(A350,Pracownicy!$A$2:$A$501,Pracownicy!$B$2:$B$501),"")</f>
        <v/>
      </c>
      <c r="C350" s="4"/>
      <c r="D350" s="4" t="str">
        <f ca="1">IFERROR(_xludf.XLOOKUP(C350,Milestones!$A$2:$A$501,Milestones!$B$2:$B$501),"")</f>
        <v/>
      </c>
      <c r="E350" s="4" t="str">
        <f ca="1">IFERROR(_xludf.XLOOKUP(D350,Projekty!$A$2:$A$501,Projekty!$B$2:$B$501),"")</f>
        <v/>
      </c>
      <c r="F350" s="4" t="str">
        <f ca="1">IFERROR(_xludf.XLOOKUP(C350,Milestones!$A$2:$A$501,Milestones!$C$2:$C$501),"")</f>
        <v/>
      </c>
      <c r="G350" s="4" t="str">
        <f ca="1">IFERROR(_xludf.XLOOKUP(C350,Milestones!$A$2:$A$501,Milestones!$F$2:$F$501),"")</f>
        <v/>
      </c>
      <c r="H350" s="4" t="str">
        <f ca="1">IFERROR(_xludf.XLOOKUP(C350,Milestones!$A$2:$A$501,Milestones!$M$2:$M$501),"")</f>
        <v/>
      </c>
      <c r="I350" s="4" t="str">
        <f t="shared" ca="1" si="20"/>
        <v/>
      </c>
      <c r="J350" s="4"/>
      <c r="K350" s="4" t="str">
        <f ca="1">IFERROR(_xludf.XLOOKUP(A350,Pracownicy!$A$2:$A$501,Pracownicy!$F$2:$F$501),"")</f>
        <v/>
      </c>
      <c r="L350" s="4"/>
      <c r="M350" s="4" t="str">
        <f t="shared" ca="1" si="21"/>
        <v/>
      </c>
      <c r="N350" s="4" t="str">
        <f t="shared" si="22"/>
        <v/>
      </c>
      <c r="O350" s="4" t="str">
        <f t="shared" ca="1" si="23"/>
        <v/>
      </c>
    </row>
    <row r="351" spans="1:15" x14ac:dyDescent="0.25">
      <c r="A351" s="4"/>
      <c r="B351" s="4" t="str">
        <f ca="1">IFERROR(_xludf.XLOOKUP(A351,Pracownicy!$A$2:$A$501,Pracownicy!$B$2:$B$501),"")</f>
        <v/>
      </c>
      <c r="C351" s="4"/>
      <c r="D351" s="4" t="str">
        <f ca="1">IFERROR(_xludf.XLOOKUP(C351,Milestones!$A$2:$A$501,Milestones!$B$2:$B$501),"")</f>
        <v/>
      </c>
      <c r="E351" s="4" t="str">
        <f ca="1">IFERROR(_xludf.XLOOKUP(D351,Projekty!$A$2:$A$501,Projekty!$B$2:$B$501),"")</f>
        <v/>
      </c>
      <c r="F351" s="4" t="str">
        <f ca="1">IFERROR(_xludf.XLOOKUP(C351,Milestones!$A$2:$A$501,Milestones!$C$2:$C$501),"")</f>
        <v/>
      </c>
      <c r="G351" s="4" t="str">
        <f ca="1">IFERROR(_xludf.XLOOKUP(C351,Milestones!$A$2:$A$501,Milestones!$F$2:$F$501),"")</f>
        <v/>
      </c>
      <c r="H351" s="4" t="str">
        <f ca="1">IFERROR(_xludf.XLOOKUP(C351,Milestones!$A$2:$A$501,Milestones!$M$2:$M$501),"")</f>
        <v/>
      </c>
      <c r="I351" s="4" t="str">
        <f t="shared" ca="1" si="20"/>
        <v/>
      </c>
      <c r="J351" s="4"/>
      <c r="K351" s="4" t="str">
        <f ca="1">IFERROR(_xludf.XLOOKUP(A351,Pracownicy!$A$2:$A$501,Pracownicy!$F$2:$F$501),"")</f>
        <v/>
      </c>
      <c r="L351" s="4"/>
      <c r="M351" s="4" t="str">
        <f t="shared" ca="1" si="21"/>
        <v/>
      </c>
      <c r="N351" s="4" t="str">
        <f t="shared" si="22"/>
        <v/>
      </c>
      <c r="O351" s="4" t="str">
        <f t="shared" ca="1" si="23"/>
        <v/>
      </c>
    </row>
    <row r="352" spans="1:15" x14ac:dyDescent="0.25">
      <c r="A352" s="4"/>
      <c r="B352" s="4" t="str">
        <f ca="1">IFERROR(_xludf.XLOOKUP(A352,Pracownicy!$A$2:$A$501,Pracownicy!$B$2:$B$501),"")</f>
        <v/>
      </c>
      <c r="C352" s="4"/>
      <c r="D352" s="4" t="str">
        <f ca="1">IFERROR(_xludf.XLOOKUP(C352,Milestones!$A$2:$A$501,Milestones!$B$2:$B$501),"")</f>
        <v/>
      </c>
      <c r="E352" s="4" t="str">
        <f ca="1">IFERROR(_xludf.XLOOKUP(D352,Projekty!$A$2:$A$501,Projekty!$B$2:$B$501),"")</f>
        <v/>
      </c>
      <c r="F352" s="4" t="str">
        <f ca="1">IFERROR(_xludf.XLOOKUP(C352,Milestones!$A$2:$A$501,Milestones!$C$2:$C$501),"")</f>
        <v/>
      </c>
      <c r="G352" s="4" t="str">
        <f ca="1">IFERROR(_xludf.XLOOKUP(C352,Milestones!$A$2:$A$501,Milestones!$F$2:$F$501),"")</f>
        <v/>
      </c>
      <c r="H352" s="4" t="str">
        <f ca="1">IFERROR(_xludf.XLOOKUP(C352,Milestones!$A$2:$A$501,Milestones!$M$2:$M$501),"")</f>
        <v/>
      </c>
      <c r="I352" s="4" t="str">
        <f t="shared" ca="1" si="20"/>
        <v/>
      </c>
      <c r="J352" s="4"/>
      <c r="K352" s="4" t="str">
        <f ca="1">IFERROR(_xludf.XLOOKUP(A352,Pracownicy!$A$2:$A$501,Pracownicy!$F$2:$F$501),"")</f>
        <v/>
      </c>
      <c r="L352" s="4"/>
      <c r="M352" s="4" t="str">
        <f t="shared" ca="1" si="21"/>
        <v/>
      </c>
      <c r="N352" s="4" t="str">
        <f t="shared" si="22"/>
        <v/>
      </c>
      <c r="O352" s="4" t="str">
        <f t="shared" ca="1" si="23"/>
        <v/>
      </c>
    </row>
    <row r="353" spans="1:15" x14ac:dyDescent="0.25">
      <c r="A353" s="4"/>
      <c r="B353" s="4" t="str">
        <f ca="1">IFERROR(_xludf.XLOOKUP(A353,Pracownicy!$A$2:$A$501,Pracownicy!$B$2:$B$501),"")</f>
        <v/>
      </c>
      <c r="C353" s="4"/>
      <c r="D353" s="4" t="str">
        <f ca="1">IFERROR(_xludf.XLOOKUP(C353,Milestones!$A$2:$A$501,Milestones!$B$2:$B$501),"")</f>
        <v/>
      </c>
      <c r="E353" s="4" t="str">
        <f ca="1">IFERROR(_xludf.XLOOKUP(D353,Projekty!$A$2:$A$501,Projekty!$B$2:$B$501),"")</f>
        <v/>
      </c>
      <c r="F353" s="4" t="str">
        <f ca="1">IFERROR(_xludf.XLOOKUP(C353,Milestones!$A$2:$A$501,Milestones!$C$2:$C$501),"")</f>
        <v/>
      </c>
      <c r="G353" s="4" t="str">
        <f ca="1">IFERROR(_xludf.XLOOKUP(C353,Milestones!$A$2:$A$501,Milestones!$F$2:$F$501),"")</f>
        <v/>
      </c>
      <c r="H353" s="4" t="str">
        <f ca="1">IFERROR(_xludf.XLOOKUP(C353,Milestones!$A$2:$A$501,Milestones!$M$2:$M$501),"")</f>
        <v/>
      </c>
      <c r="I353" s="4" t="str">
        <f t="shared" ca="1" si="20"/>
        <v/>
      </c>
      <c r="J353" s="4"/>
      <c r="K353" s="4" t="str">
        <f ca="1">IFERROR(_xludf.XLOOKUP(A353,Pracownicy!$A$2:$A$501,Pracownicy!$F$2:$F$501),"")</f>
        <v/>
      </c>
      <c r="L353" s="4"/>
      <c r="M353" s="4" t="str">
        <f t="shared" ca="1" si="21"/>
        <v/>
      </c>
      <c r="N353" s="4" t="str">
        <f t="shared" si="22"/>
        <v/>
      </c>
      <c r="O353" s="4" t="str">
        <f t="shared" ca="1" si="23"/>
        <v/>
      </c>
    </row>
    <row r="354" spans="1:15" x14ac:dyDescent="0.25">
      <c r="A354" s="4"/>
      <c r="B354" s="4" t="str">
        <f ca="1">IFERROR(_xludf.XLOOKUP(A354,Pracownicy!$A$2:$A$501,Pracownicy!$B$2:$B$501),"")</f>
        <v/>
      </c>
      <c r="C354" s="4"/>
      <c r="D354" s="4" t="str">
        <f ca="1">IFERROR(_xludf.XLOOKUP(C354,Milestones!$A$2:$A$501,Milestones!$B$2:$B$501),"")</f>
        <v/>
      </c>
      <c r="E354" s="4" t="str">
        <f ca="1">IFERROR(_xludf.XLOOKUP(D354,Projekty!$A$2:$A$501,Projekty!$B$2:$B$501),"")</f>
        <v/>
      </c>
      <c r="F354" s="4" t="str">
        <f ca="1">IFERROR(_xludf.XLOOKUP(C354,Milestones!$A$2:$A$501,Milestones!$C$2:$C$501),"")</f>
        <v/>
      </c>
      <c r="G354" s="4" t="str">
        <f ca="1">IFERROR(_xludf.XLOOKUP(C354,Milestones!$A$2:$A$501,Milestones!$F$2:$F$501),"")</f>
        <v/>
      </c>
      <c r="H354" s="4" t="str">
        <f ca="1">IFERROR(_xludf.XLOOKUP(C354,Milestones!$A$2:$A$501,Milestones!$M$2:$M$501),"")</f>
        <v/>
      </c>
      <c r="I354" s="4" t="str">
        <f t="shared" ca="1" si="20"/>
        <v/>
      </c>
      <c r="J354" s="4"/>
      <c r="K354" s="4" t="str">
        <f ca="1">IFERROR(_xludf.XLOOKUP(A354,Pracownicy!$A$2:$A$501,Pracownicy!$F$2:$F$501),"")</f>
        <v/>
      </c>
      <c r="L354" s="4"/>
      <c r="M354" s="4" t="str">
        <f t="shared" ca="1" si="21"/>
        <v/>
      </c>
      <c r="N354" s="4" t="str">
        <f t="shared" si="22"/>
        <v/>
      </c>
      <c r="O354" s="4" t="str">
        <f t="shared" ca="1" si="23"/>
        <v/>
      </c>
    </row>
    <row r="355" spans="1:15" x14ac:dyDescent="0.25">
      <c r="A355" s="4"/>
      <c r="B355" s="4" t="str">
        <f ca="1">IFERROR(_xludf.XLOOKUP(A355,Pracownicy!$A$2:$A$501,Pracownicy!$B$2:$B$501),"")</f>
        <v/>
      </c>
      <c r="C355" s="4"/>
      <c r="D355" s="4" t="str">
        <f ca="1">IFERROR(_xludf.XLOOKUP(C355,Milestones!$A$2:$A$501,Milestones!$B$2:$B$501),"")</f>
        <v/>
      </c>
      <c r="E355" s="4" t="str">
        <f ca="1">IFERROR(_xludf.XLOOKUP(D355,Projekty!$A$2:$A$501,Projekty!$B$2:$B$501),"")</f>
        <v/>
      </c>
      <c r="F355" s="4" t="str">
        <f ca="1">IFERROR(_xludf.XLOOKUP(C355,Milestones!$A$2:$A$501,Milestones!$C$2:$C$501),"")</f>
        <v/>
      </c>
      <c r="G355" s="4" t="str">
        <f ca="1">IFERROR(_xludf.XLOOKUP(C355,Milestones!$A$2:$A$501,Milestones!$F$2:$F$501),"")</f>
        <v/>
      </c>
      <c r="H355" s="4" t="str">
        <f ca="1">IFERROR(_xludf.XLOOKUP(C355,Milestones!$A$2:$A$501,Milestones!$M$2:$M$501),"")</f>
        <v/>
      </c>
      <c r="I355" s="4" t="str">
        <f t="shared" ca="1" si="20"/>
        <v/>
      </c>
      <c r="J355" s="4"/>
      <c r="K355" s="4" t="str">
        <f ca="1">IFERROR(_xludf.XLOOKUP(A355,Pracownicy!$A$2:$A$501,Pracownicy!$F$2:$F$501),"")</f>
        <v/>
      </c>
      <c r="L355" s="4"/>
      <c r="M355" s="4" t="str">
        <f t="shared" ca="1" si="21"/>
        <v/>
      </c>
      <c r="N355" s="4" t="str">
        <f t="shared" si="22"/>
        <v/>
      </c>
      <c r="O355" s="4" t="str">
        <f t="shared" ca="1" si="23"/>
        <v/>
      </c>
    </row>
    <row r="356" spans="1:15" x14ac:dyDescent="0.25">
      <c r="A356" s="4"/>
      <c r="B356" s="4" t="str">
        <f ca="1">IFERROR(_xludf.XLOOKUP(A356,Pracownicy!$A$2:$A$501,Pracownicy!$B$2:$B$501),"")</f>
        <v/>
      </c>
      <c r="C356" s="4"/>
      <c r="D356" s="4" t="str">
        <f ca="1">IFERROR(_xludf.XLOOKUP(C356,Milestones!$A$2:$A$501,Milestones!$B$2:$B$501),"")</f>
        <v/>
      </c>
      <c r="E356" s="4" t="str">
        <f ca="1">IFERROR(_xludf.XLOOKUP(D356,Projekty!$A$2:$A$501,Projekty!$B$2:$B$501),"")</f>
        <v/>
      </c>
      <c r="F356" s="4" t="str">
        <f ca="1">IFERROR(_xludf.XLOOKUP(C356,Milestones!$A$2:$A$501,Milestones!$C$2:$C$501),"")</f>
        <v/>
      </c>
      <c r="G356" s="4" t="str">
        <f ca="1">IFERROR(_xludf.XLOOKUP(C356,Milestones!$A$2:$A$501,Milestones!$F$2:$F$501),"")</f>
        <v/>
      </c>
      <c r="H356" s="4" t="str">
        <f ca="1">IFERROR(_xludf.XLOOKUP(C356,Milestones!$A$2:$A$501,Milestones!$M$2:$M$501),"")</f>
        <v/>
      </c>
      <c r="I356" s="4" t="str">
        <f t="shared" ca="1" si="20"/>
        <v/>
      </c>
      <c r="J356" s="4"/>
      <c r="K356" s="4" t="str">
        <f ca="1">IFERROR(_xludf.XLOOKUP(A356,Pracownicy!$A$2:$A$501,Pracownicy!$F$2:$F$501),"")</f>
        <v/>
      </c>
      <c r="L356" s="4"/>
      <c r="M356" s="4" t="str">
        <f t="shared" ca="1" si="21"/>
        <v/>
      </c>
      <c r="N356" s="4" t="str">
        <f t="shared" si="22"/>
        <v/>
      </c>
      <c r="O356" s="4" t="str">
        <f t="shared" ca="1" si="23"/>
        <v/>
      </c>
    </row>
    <row r="357" spans="1:15" x14ac:dyDescent="0.25">
      <c r="A357" s="4"/>
      <c r="B357" s="4" t="str">
        <f ca="1">IFERROR(_xludf.XLOOKUP(A357,Pracownicy!$A$2:$A$501,Pracownicy!$B$2:$B$501),"")</f>
        <v/>
      </c>
      <c r="C357" s="4"/>
      <c r="D357" s="4" t="str">
        <f ca="1">IFERROR(_xludf.XLOOKUP(C357,Milestones!$A$2:$A$501,Milestones!$B$2:$B$501),"")</f>
        <v/>
      </c>
      <c r="E357" s="4" t="str">
        <f ca="1">IFERROR(_xludf.XLOOKUP(D357,Projekty!$A$2:$A$501,Projekty!$B$2:$B$501),"")</f>
        <v/>
      </c>
      <c r="F357" s="4" t="str">
        <f ca="1">IFERROR(_xludf.XLOOKUP(C357,Milestones!$A$2:$A$501,Milestones!$C$2:$C$501),"")</f>
        <v/>
      </c>
      <c r="G357" s="4" t="str">
        <f ca="1">IFERROR(_xludf.XLOOKUP(C357,Milestones!$A$2:$A$501,Milestones!$F$2:$F$501),"")</f>
        <v/>
      </c>
      <c r="H357" s="4" t="str">
        <f ca="1">IFERROR(_xludf.XLOOKUP(C357,Milestones!$A$2:$A$501,Milestones!$M$2:$M$501),"")</f>
        <v/>
      </c>
      <c r="I357" s="4" t="str">
        <f t="shared" ca="1" si="20"/>
        <v/>
      </c>
      <c r="J357" s="4"/>
      <c r="K357" s="4" t="str">
        <f ca="1">IFERROR(_xludf.XLOOKUP(A357,Pracownicy!$A$2:$A$501,Pracownicy!$F$2:$F$501),"")</f>
        <v/>
      </c>
      <c r="L357" s="4"/>
      <c r="M357" s="4" t="str">
        <f t="shared" ca="1" si="21"/>
        <v/>
      </c>
      <c r="N357" s="4" t="str">
        <f t="shared" si="22"/>
        <v/>
      </c>
      <c r="O357" s="4" t="str">
        <f t="shared" ca="1" si="23"/>
        <v/>
      </c>
    </row>
    <row r="358" spans="1:15" x14ac:dyDescent="0.25">
      <c r="A358" s="4"/>
      <c r="B358" s="4" t="str">
        <f ca="1">IFERROR(_xludf.XLOOKUP(A358,Pracownicy!$A$2:$A$501,Pracownicy!$B$2:$B$501),"")</f>
        <v/>
      </c>
      <c r="C358" s="4"/>
      <c r="D358" s="4" t="str">
        <f ca="1">IFERROR(_xludf.XLOOKUP(C358,Milestones!$A$2:$A$501,Milestones!$B$2:$B$501),"")</f>
        <v/>
      </c>
      <c r="E358" s="4" t="str">
        <f ca="1">IFERROR(_xludf.XLOOKUP(D358,Projekty!$A$2:$A$501,Projekty!$B$2:$B$501),"")</f>
        <v/>
      </c>
      <c r="F358" s="4" t="str">
        <f ca="1">IFERROR(_xludf.XLOOKUP(C358,Milestones!$A$2:$A$501,Milestones!$C$2:$C$501),"")</f>
        <v/>
      </c>
      <c r="G358" s="4" t="str">
        <f ca="1">IFERROR(_xludf.XLOOKUP(C358,Milestones!$A$2:$A$501,Milestones!$F$2:$F$501),"")</f>
        <v/>
      </c>
      <c r="H358" s="4" t="str">
        <f ca="1">IFERROR(_xludf.XLOOKUP(C358,Milestones!$A$2:$A$501,Milestones!$M$2:$M$501),"")</f>
        <v/>
      </c>
      <c r="I358" s="4" t="str">
        <f t="shared" ca="1" si="20"/>
        <v/>
      </c>
      <c r="J358" s="4"/>
      <c r="K358" s="4" t="str">
        <f ca="1">IFERROR(_xludf.XLOOKUP(A358,Pracownicy!$A$2:$A$501,Pracownicy!$F$2:$F$501),"")</f>
        <v/>
      </c>
      <c r="L358" s="4"/>
      <c r="M358" s="4" t="str">
        <f t="shared" ca="1" si="21"/>
        <v/>
      </c>
      <c r="N358" s="4" t="str">
        <f t="shared" si="22"/>
        <v/>
      </c>
      <c r="O358" s="4" t="str">
        <f t="shared" ca="1" si="23"/>
        <v/>
      </c>
    </row>
    <row r="359" spans="1:15" x14ac:dyDescent="0.25">
      <c r="A359" s="4"/>
      <c r="B359" s="4" t="str">
        <f ca="1">IFERROR(_xludf.XLOOKUP(A359,Pracownicy!$A$2:$A$501,Pracownicy!$B$2:$B$501),"")</f>
        <v/>
      </c>
      <c r="C359" s="4"/>
      <c r="D359" s="4" t="str">
        <f ca="1">IFERROR(_xludf.XLOOKUP(C359,Milestones!$A$2:$A$501,Milestones!$B$2:$B$501),"")</f>
        <v/>
      </c>
      <c r="E359" s="4" t="str">
        <f ca="1">IFERROR(_xludf.XLOOKUP(D359,Projekty!$A$2:$A$501,Projekty!$B$2:$B$501),"")</f>
        <v/>
      </c>
      <c r="F359" s="4" t="str">
        <f ca="1">IFERROR(_xludf.XLOOKUP(C359,Milestones!$A$2:$A$501,Milestones!$C$2:$C$501),"")</f>
        <v/>
      </c>
      <c r="G359" s="4" t="str">
        <f ca="1">IFERROR(_xludf.XLOOKUP(C359,Milestones!$A$2:$A$501,Milestones!$F$2:$F$501),"")</f>
        <v/>
      </c>
      <c r="H359" s="4" t="str">
        <f ca="1">IFERROR(_xludf.XLOOKUP(C359,Milestones!$A$2:$A$501,Milestones!$M$2:$M$501),"")</f>
        <v/>
      </c>
      <c r="I359" s="4" t="str">
        <f t="shared" ca="1" si="20"/>
        <v/>
      </c>
      <c r="J359" s="4"/>
      <c r="K359" s="4" t="str">
        <f ca="1">IFERROR(_xludf.XLOOKUP(A359,Pracownicy!$A$2:$A$501,Pracownicy!$F$2:$F$501),"")</f>
        <v/>
      </c>
      <c r="L359" s="4"/>
      <c r="M359" s="4" t="str">
        <f t="shared" ca="1" si="21"/>
        <v/>
      </c>
      <c r="N359" s="4" t="str">
        <f t="shared" si="22"/>
        <v/>
      </c>
      <c r="O359" s="4" t="str">
        <f t="shared" ca="1" si="23"/>
        <v/>
      </c>
    </row>
    <row r="360" spans="1:15" x14ac:dyDescent="0.25">
      <c r="A360" s="4"/>
      <c r="B360" s="4" t="str">
        <f ca="1">IFERROR(_xludf.XLOOKUP(A360,Pracownicy!$A$2:$A$501,Pracownicy!$B$2:$B$501),"")</f>
        <v/>
      </c>
      <c r="C360" s="4"/>
      <c r="D360" s="4" t="str">
        <f ca="1">IFERROR(_xludf.XLOOKUP(C360,Milestones!$A$2:$A$501,Milestones!$B$2:$B$501),"")</f>
        <v/>
      </c>
      <c r="E360" s="4" t="str">
        <f ca="1">IFERROR(_xludf.XLOOKUP(D360,Projekty!$A$2:$A$501,Projekty!$B$2:$B$501),"")</f>
        <v/>
      </c>
      <c r="F360" s="4" t="str">
        <f ca="1">IFERROR(_xludf.XLOOKUP(C360,Milestones!$A$2:$A$501,Milestones!$C$2:$C$501),"")</f>
        <v/>
      </c>
      <c r="G360" s="4" t="str">
        <f ca="1">IFERROR(_xludf.XLOOKUP(C360,Milestones!$A$2:$A$501,Milestones!$F$2:$F$501),"")</f>
        <v/>
      </c>
      <c r="H360" s="4" t="str">
        <f ca="1">IFERROR(_xludf.XLOOKUP(C360,Milestones!$A$2:$A$501,Milestones!$M$2:$M$501),"")</f>
        <v/>
      </c>
      <c r="I360" s="4" t="str">
        <f t="shared" ca="1" si="20"/>
        <v/>
      </c>
      <c r="J360" s="4"/>
      <c r="K360" s="4" t="str">
        <f ca="1">IFERROR(_xludf.XLOOKUP(A360,Pracownicy!$A$2:$A$501,Pracownicy!$F$2:$F$501),"")</f>
        <v/>
      </c>
      <c r="L360" s="4"/>
      <c r="M360" s="4" t="str">
        <f t="shared" ca="1" si="21"/>
        <v/>
      </c>
      <c r="N360" s="4" t="str">
        <f t="shared" si="22"/>
        <v/>
      </c>
      <c r="O360" s="4" t="str">
        <f t="shared" ca="1" si="23"/>
        <v/>
      </c>
    </row>
    <row r="361" spans="1:15" x14ac:dyDescent="0.25">
      <c r="A361" s="4"/>
      <c r="B361" s="4" t="str">
        <f ca="1">IFERROR(_xludf.XLOOKUP(A361,Pracownicy!$A$2:$A$501,Pracownicy!$B$2:$B$501),"")</f>
        <v/>
      </c>
      <c r="C361" s="4"/>
      <c r="D361" s="4" t="str">
        <f ca="1">IFERROR(_xludf.XLOOKUP(C361,Milestones!$A$2:$A$501,Milestones!$B$2:$B$501),"")</f>
        <v/>
      </c>
      <c r="E361" s="4" t="str">
        <f ca="1">IFERROR(_xludf.XLOOKUP(D361,Projekty!$A$2:$A$501,Projekty!$B$2:$B$501),"")</f>
        <v/>
      </c>
      <c r="F361" s="4" t="str">
        <f ca="1">IFERROR(_xludf.XLOOKUP(C361,Milestones!$A$2:$A$501,Milestones!$C$2:$C$501),"")</f>
        <v/>
      </c>
      <c r="G361" s="4" t="str">
        <f ca="1">IFERROR(_xludf.XLOOKUP(C361,Milestones!$A$2:$A$501,Milestones!$F$2:$F$501),"")</f>
        <v/>
      </c>
      <c r="H361" s="4" t="str">
        <f ca="1">IFERROR(_xludf.XLOOKUP(C361,Milestones!$A$2:$A$501,Milestones!$M$2:$M$501),"")</f>
        <v/>
      </c>
      <c r="I361" s="4" t="str">
        <f t="shared" ca="1" si="20"/>
        <v/>
      </c>
      <c r="J361" s="4"/>
      <c r="K361" s="4" t="str">
        <f ca="1">IFERROR(_xludf.XLOOKUP(A361,Pracownicy!$A$2:$A$501,Pracownicy!$F$2:$F$501),"")</f>
        <v/>
      </c>
      <c r="L361" s="4"/>
      <c r="M361" s="4" t="str">
        <f t="shared" ca="1" si="21"/>
        <v/>
      </c>
      <c r="N361" s="4" t="str">
        <f t="shared" si="22"/>
        <v/>
      </c>
      <c r="O361" s="4" t="str">
        <f t="shared" ca="1" si="23"/>
        <v/>
      </c>
    </row>
    <row r="362" spans="1:15" x14ac:dyDescent="0.25">
      <c r="A362" s="4"/>
      <c r="B362" s="4" t="str">
        <f ca="1">IFERROR(_xludf.XLOOKUP(A362,Pracownicy!$A$2:$A$501,Pracownicy!$B$2:$B$501),"")</f>
        <v/>
      </c>
      <c r="C362" s="4"/>
      <c r="D362" s="4" t="str">
        <f ca="1">IFERROR(_xludf.XLOOKUP(C362,Milestones!$A$2:$A$501,Milestones!$B$2:$B$501),"")</f>
        <v/>
      </c>
      <c r="E362" s="4" t="str">
        <f ca="1">IFERROR(_xludf.XLOOKUP(D362,Projekty!$A$2:$A$501,Projekty!$B$2:$B$501),"")</f>
        <v/>
      </c>
      <c r="F362" s="4" t="str">
        <f ca="1">IFERROR(_xludf.XLOOKUP(C362,Milestones!$A$2:$A$501,Milestones!$C$2:$C$501),"")</f>
        <v/>
      </c>
      <c r="G362" s="4" t="str">
        <f ca="1">IFERROR(_xludf.XLOOKUP(C362,Milestones!$A$2:$A$501,Milestones!$F$2:$F$501),"")</f>
        <v/>
      </c>
      <c r="H362" s="4" t="str">
        <f ca="1">IFERROR(_xludf.XLOOKUP(C362,Milestones!$A$2:$A$501,Milestones!$M$2:$M$501),"")</f>
        <v/>
      </c>
      <c r="I362" s="4" t="str">
        <f t="shared" ca="1" si="20"/>
        <v/>
      </c>
      <c r="J362" s="4"/>
      <c r="K362" s="4" t="str">
        <f ca="1">IFERROR(_xludf.XLOOKUP(A362,Pracownicy!$A$2:$A$501,Pracownicy!$F$2:$F$501),"")</f>
        <v/>
      </c>
      <c r="L362" s="4"/>
      <c r="M362" s="4" t="str">
        <f t="shared" ca="1" si="21"/>
        <v/>
      </c>
      <c r="N362" s="4" t="str">
        <f t="shared" si="22"/>
        <v/>
      </c>
      <c r="O362" s="4" t="str">
        <f t="shared" ca="1" si="23"/>
        <v/>
      </c>
    </row>
    <row r="363" spans="1:15" x14ac:dyDescent="0.25">
      <c r="A363" s="4"/>
      <c r="B363" s="4" t="str">
        <f ca="1">IFERROR(_xludf.XLOOKUP(A363,Pracownicy!$A$2:$A$501,Pracownicy!$B$2:$B$501),"")</f>
        <v/>
      </c>
      <c r="C363" s="4"/>
      <c r="D363" s="4" t="str">
        <f ca="1">IFERROR(_xludf.XLOOKUP(C363,Milestones!$A$2:$A$501,Milestones!$B$2:$B$501),"")</f>
        <v/>
      </c>
      <c r="E363" s="4" t="str">
        <f ca="1">IFERROR(_xludf.XLOOKUP(D363,Projekty!$A$2:$A$501,Projekty!$B$2:$B$501),"")</f>
        <v/>
      </c>
      <c r="F363" s="4" t="str">
        <f ca="1">IFERROR(_xludf.XLOOKUP(C363,Milestones!$A$2:$A$501,Milestones!$C$2:$C$501),"")</f>
        <v/>
      </c>
      <c r="G363" s="4" t="str">
        <f ca="1">IFERROR(_xludf.XLOOKUP(C363,Milestones!$A$2:$A$501,Milestones!$F$2:$F$501),"")</f>
        <v/>
      </c>
      <c r="H363" s="4" t="str">
        <f ca="1">IFERROR(_xludf.XLOOKUP(C363,Milestones!$A$2:$A$501,Milestones!$M$2:$M$501),"")</f>
        <v/>
      </c>
      <c r="I363" s="4" t="str">
        <f t="shared" ca="1" si="20"/>
        <v/>
      </c>
      <c r="J363" s="4"/>
      <c r="K363" s="4" t="str">
        <f ca="1">IFERROR(_xludf.XLOOKUP(A363,Pracownicy!$A$2:$A$501,Pracownicy!$F$2:$F$501),"")</f>
        <v/>
      </c>
      <c r="L363" s="4"/>
      <c r="M363" s="4" t="str">
        <f t="shared" ca="1" si="21"/>
        <v/>
      </c>
      <c r="N363" s="4" t="str">
        <f t="shared" si="22"/>
        <v/>
      </c>
      <c r="O363" s="4" t="str">
        <f t="shared" ca="1" si="23"/>
        <v/>
      </c>
    </row>
    <row r="364" spans="1:15" x14ac:dyDescent="0.25">
      <c r="A364" s="4"/>
      <c r="B364" s="4" t="str">
        <f ca="1">IFERROR(_xludf.XLOOKUP(A364,Pracownicy!$A$2:$A$501,Pracownicy!$B$2:$B$501),"")</f>
        <v/>
      </c>
      <c r="C364" s="4"/>
      <c r="D364" s="4" t="str">
        <f ca="1">IFERROR(_xludf.XLOOKUP(C364,Milestones!$A$2:$A$501,Milestones!$B$2:$B$501),"")</f>
        <v/>
      </c>
      <c r="E364" s="4" t="str">
        <f ca="1">IFERROR(_xludf.XLOOKUP(D364,Projekty!$A$2:$A$501,Projekty!$B$2:$B$501),"")</f>
        <v/>
      </c>
      <c r="F364" s="4" t="str">
        <f ca="1">IFERROR(_xludf.XLOOKUP(C364,Milestones!$A$2:$A$501,Milestones!$C$2:$C$501),"")</f>
        <v/>
      </c>
      <c r="G364" s="4" t="str">
        <f ca="1">IFERROR(_xludf.XLOOKUP(C364,Milestones!$A$2:$A$501,Milestones!$F$2:$F$501),"")</f>
        <v/>
      </c>
      <c r="H364" s="4" t="str">
        <f ca="1">IFERROR(_xludf.XLOOKUP(C364,Milestones!$A$2:$A$501,Milestones!$M$2:$M$501),"")</f>
        <v/>
      </c>
      <c r="I364" s="4" t="str">
        <f t="shared" ca="1" si="20"/>
        <v/>
      </c>
      <c r="J364" s="4"/>
      <c r="K364" s="4" t="str">
        <f ca="1">IFERROR(_xludf.XLOOKUP(A364,Pracownicy!$A$2:$A$501,Pracownicy!$F$2:$F$501),"")</f>
        <v/>
      </c>
      <c r="L364" s="4"/>
      <c r="M364" s="4" t="str">
        <f t="shared" ca="1" si="21"/>
        <v/>
      </c>
      <c r="N364" s="4" t="str">
        <f t="shared" si="22"/>
        <v/>
      </c>
      <c r="O364" s="4" t="str">
        <f t="shared" ca="1" si="23"/>
        <v/>
      </c>
    </row>
    <row r="365" spans="1:15" x14ac:dyDescent="0.25">
      <c r="A365" s="4"/>
      <c r="B365" s="4" t="str">
        <f ca="1">IFERROR(_xludf.XLOOKUP(A365,Pracownicy!$A$2:$A$501,Pracownicy!$B$2:$B$501),"")</f>
        <v/>
      </c>
      <c r="C365" s="4"/>
      <c r="D365" s="4" t="str">
        <f ca="1">IFERROR(_xludf.XLOOKUP(C365,Milestones!$A$2:$A$501,Milestones!$B$2:$B$501),"")</f>
        <v/>
      </c>
      <c r="E365" s="4" t="str">
        <f ca="1">IFERROR(_xludf.XLOOKUP(D365,Projekty!$A$2:$A$501,Projekty!$B$2:$B$501),"")</f>
        <v/>
      </c>
      <c r="F365" s="4" t="str">
        <f ca="1">IFERROR(_xludf.XLOOKUP(C365,Milestones!$A$2:$A$501,Milestones!$C$2:$C$501),"")</f>
        <v/>
      </c>
      <c r="G365" s="4" t="str">
        <f ca="1">IFERROR(_xludf.XLOOKUP(C365,Milestones!$A$2:$A$501,Milestones!$F$2:$F$501),"")</f>
        <v/>
      </c>
      <c r="H365" s="4" t="str">
        <f ca="1">IFERROR(_xludf.XLOOKUP(C365,Milestones!$A$2:$A$501,Milestones!$M$2:$M$501),"")</f>
        <v/>
      </c>
      <c r="I365" s="4" t="str">
        <f t="shared" ca="1" si="20"/>
        <v/>
      </c>
      <c r="J365" s="4"/>
      <c r="K365" s="4" t="str">
        <f ca="1">IFERROR(_xludf.XLOOKUP(A365,Pracownicy!$A$2:$A$501,Pracownicy!$F$2:$F$501),"")</f>
        <v/>
      </c>
      <c r="L365" s="4"/>
      <c r="M365" s="4" t="str">
        <f t="shared" ca="1" si="21"/>
        <v/>
      </c>
      <c r="N365" s="4" t="str">
        <f t="shared" si="22"/>
        <v/>
      </c>
      <c r="O365" s="4" t="str">
        <f t="shared" ca="1" si="23"/>
        <v/>
      </c>
    </row>
    <row r="366" spans="1:15" x14ac:dyDescent="0.25">
      <c r="A366" s="4"/>
      <c r="B366" s="4" t="str">
        <f ca="1">IFERROR(_xludf.XLOOKUP(A366,Pracownicy!$A$2:$A$501,Pracownicy!$B$2:$B$501),"")</f>
        <v/>
      </c>
      <c r="C366" s="4"/>
      <c r="D366" s="4" t="str">
        <f ca="1">IFERROR(_xludf.XLOOKUP(C366,Milestones!$A$2:$A$501,Milestones!$B$2:$B$501),"")</f>
        <v/>
      </c>
      <c r="E366" s="4" t="str">
        <f ca="1">IFERROR(_xludf.XLOOKUP(D366,Projekty!$A$2:$A$501,Projekty!$B$2:$B$501),"")</f>
        <v/>
      </c>
      <c r="F366" s="4" t="str">
        <f ca="1">IFERROR(_xludf.XLOOKUP(C366,Milestones!$A$2:$A$501,Milestones!$C$2:$C$501),"")</f>
        <v/>
      </c>
      <c r="G366" s="4" t="str">
        <f ca="1">IFERROR(_xludf.XLOOKUP(C366,Milestones!$A$2:$A$501,Milestones!$F$2:$F$501),"")</f>
        <v/>
      </c>
      <c r="H366" s="4" t="str">
        <f ca="1">IFERROR(_xludf.XLOOKUP(C366,Milestones!$A$2:$A$501,Milestones!$M$2:$M$501),"")</f>
        <v/>
      </c>
      <c r="I366" s="4" t="str">
        <f t="shared" ca="1" si="20"/>
        <v/>
      </c>
      <c r="J366" s="4"/>
      <c r="K366" s="4" t="str">
        <f ca="1">IFERROR(_xludf.XLOOKUP(A366,Pracownicy!$A$2:$A$501,Pracownicy!$F$2:$F$501),"")</f>
        <v/>
      </c>
      <c r="L366" s="4"/>
      <c r="M366" s="4" t="str">
        <f t="shared" ca="1" si="21"/>
        <v/>
      </c>
      <c r="N366" s="4" t="str">
        <f t="shared" si="22"/>
        <v/>
      </c>
      <c r="O366" s="4" t="str">
        <f t="shared" ca="1" si="23"/>
        <v/>
      </c>
    </row>
    <row r="367" spans="1:15" x14ac:dyDescent="0.25">
      <c r="A367" s="4"/>
      <c r="B367" s="4" t="str">
        <f ca="1">IFERROR(_xludf.XLOOKUP(A367,Pracownicy!$A$2:$A$501,Pracownicy!$B$2:$B$501),"")</f>
        <v/>
      </c>
      <c r="C367" s="4"/>
      <c r="D367" s="4" t="str">
        <f ca="1">IFERROR(_xludf.XLOOKUP(C367,Milestones!$A$2:$A$501,Milestones!$B$2:$B$501),"")</f>
        <v/>
      </c>
      <c r="E367" s="4" t="str">
        <f ca="1">IFERROR(_xludf.XLOOKUP(D367,Projekty!$A$2:$A$501,Projekty!$B$2:$B$501),"")</f>
        <v/>
      </c>
      <c r="F367" s="4" t="str">
        <f ca="1">IFERROR(_xludf.XLOOKUP(C367,Milestones!$A$2:$A$501,Milestones!$C$2:$C$501),"")</f>
        <v/>
      </c>
      <c r="G367" s="4" t="str">
        <f ca="1">IFERROR(_xludf.XLOOKUP(C367,Milestones!$A$2:$A$501,Milestones!$F$2:$F$501),"")</f>
        <v/>
      </c>
      <c r="H367" s="4" t="str">
        <f ca="1">IFERROR(_xludf.XLOOKUP(C367,Milestones!$A$2:$A$501,Milestones!$M$2:$M$501),"")</f>
        <v/>
      </c>
      <c r="I367" s="4" t="str">
        <f t="shared" ca="1" si="20"/>
        <v/>
      </c>
      <c r="J367" s="4"/>
      <c r="K367" s="4" t="str">
        <f ca="1">IFERROR(_xludf.XLOOKUP(A367,Pracownicy!$A$2:$A$501,Pracownicy!$F$2:$F$501),"")</f>
        <v/>
      </c>
      <c r="L367" s="4"/>
      <c r="M367" s="4" t="str">
        <f t="shared" ca="1" si="21"/>
        <v/>
      </c>
      <c r="N367" s="4" t="str">
        <f t="shared" si="22"/>
        <v/>
      </c>
      <c r="O367" s="4" t="str">
        <f t="shared" ca="1" si="23"/>
        <v/>
      </c>
    </row>
    <row r="368" spans="1:15" x14ac:dyDescent="0.25">
      <c r="A368" s="4"/>
      <c r="B368" s="4" t="str">
        <f ca="1">IFERROR(_xludf.XLOOKUP(A368,Pracownicy!$A$2:$A$501,Pracownicy!$B$2:$B$501),"")</f>
        <v/>
      </c>
      <c r="C368" s="4"/>
      <c r="D368" s="4" t="str">
        <f ca="1">IFERROR(_xludf.XLOOKUP(C368,Milestones!$A$2:$A$501,Milestones!$B$2:$B$501),"")</f>
        <v/>
      </c>
      <c r="E368" s="4" t="str">
        <f ca="1">IFERROR(_xludf.XLOOKUP(D368,Projekty!$A$2:$A$501,Projekty!$B$2:$B$501),"")</f>
        <v/>
      </c>
      <c r="F368" s="4" t="str">
        <f ca="1">IFERROR(_xludf.XLOOKUP(C368,Milestones!$A$2:$A$501,Milestones!$C$2:$C$501),"")</f>
        <v/>
      </c>
      <c r="G368" s="4" t="str">
        <f ca="1">IFERROR(_xludf.XLOOKUP(C368,Milestones!$A$2:$A$501,Milestones!$F$2:$F$501),"")</f>
        <v/>
      </c>
      <c r="H368" s="4" t="str">
        <f ca="1">IFERROR(_xludf.XLOOKUP(C368,Milestones!$A$2:$A$501,Milestones!$M$2:$M$501),"")</f>
        <v/>
      </c>
      <c r="I368" s="4" t="str">
        <f t="shared" ca="1" si="20"/>
        <v/>
      </c>
      <c r="J368" s="4"/>
      <c r="K368" s="4" t="str">
        <f ca="1">IFERROR(_xludf.XLOOKUP(A368,Pracownicy!$A$2:$A$501,Pracownicy!$F$2:$F$501),"")</f>
        <v/>
      </c>
      <c r="L368" s="4"/>
      <c r="M368" s="4" t="str">
        <f t="shared" ca="1" si="21"/>
        <v/>
      </c>
      <c r="N368" s="4" t="str">
        <f t="shared" si="22"/>
        <v/>
      </c>
      <c r="O368" s="4" t="str">
        <f t="shared" ca="1" si="23"/>
        <v/>
      </c>
    </row>
    <row r="369" spans="1:15" x14ac:dyDescent="0.25">
      <c r="A369" s="4"/>
      <c r="B369" s="4" t="str">
        <f ca="1">IFERROR(_xludf.XLOOKUP(A369,Pracownicy!$A$2:$A$501,Pracownicy!$B$2:$B$501),"")</f>
        <v/>
      </c>
      <c r="C369" s="4"/>
      <c r="D369" s="4" t="str">
        <f ca="1">IFERROR(_xludf.XLOOKUP(C369,Milestones!$A$2:$A$501,Milestones!$B$2:$B$501),"")</f>
        <v/>
      </c>
      <c r="E369" s="4" t="str">
        <f ca="1">IFERROR(_xludf.XLOOKUP(D369,Projekty!$A$2:$A$501,Projekty!$B$2:$B$501),"")</f>
        <v/>
      </c>
      <c r="F369" s="4" t="str">
        <f ca="1">IFERROR(_xludf.XLOOKUP(C369,Milestones!$A$2:$A$501,Milestones!$C$2:$C$501),"")</f>
        <v/>
      </c>
      <c r="G369" s="4" t="str">
        <f ca="1">IFERROR(_xludf.XLOOKUP(C369,Milestones!$A$2:$A$501,Milestones!$F$2:$F$501),"")</f>
        <v/>
      </c>
      <c r="H369" s="4" t="str">
        <f ca="1">IFERROR(_xludf.XLOOKUP(C369,Milestones!$A$2:$A$501,Milestones!$M$2:$M$501),"")</f>
        <v/>
      </c>
      <c r="I369" s="4" t="str">
        <f t="shared" ca="1" si="20"/>
        <v/>
      </c>
      <c r="J369" s="4"/>
      <c r="K369" s="4" t="str">
        <f ca="1">IFERROR(_xludf.XLOOKUP(A369,Pracownicy!$A$2:$A$501,Pracownicy!$F$2:$F$501),"")</f>
        <v/>
      </c>
      <c r="L369" s="4"/>
      <c r="M369" s="4" t="str">
        <f t="shared" ca="1" si="21"/>
        <v/>
      </c>
      <c r="N369" s="4" t="str">
        <f t="shared" si="22"/>
        <v/>
      </c>
      <c r="O369" s="4" t="str">
        <f t="shared" ca="1" si="23"/>
        <v/>
      </c>
    </row>
    <row r="370" spans="1:15" x14ac:dyDescent="0.25">
      <c r="A370" s="4"/>
      <c r="B370" s="4" t="str">
        <f ca="1">IFERROR(_xludf.XLOOKUP(A370,Pracownicy!$A$2:$A$501,Pracownicy!$B$2:$B$501),"")</f>
        <v/>
      </c>
      <c r="C370" s="4"/>
      <c r="D370" s="4" t="str">
        <f ca="1">IFERROR(_xludf.XLOOKUP(C370,Milestones!$A$2:$A$501,Milestones!$B$2:$B$501),"")</f>
        <v/>
      </c>
      <c r="E370" s="4" t="str">
        <f ca="1">IFERROR(_xludf.XLOOKUP(D370,Projekty!$A$2:$A$501,Projekty!$B$2:$B$501),"")</f>
        <v/>
      </c>
      <c r="F370" s="4" t="str">
        <f ca="1">IFERROR(_xludf.XLOOKUP(C370,Milestones!$A$2:$A$501,Milestones!$C$2:$C$501),"")</f>
        <v/>
      </c>
      <c r="G370" s="4" t="str">
        <f ca="1">IFERROR(_xludf.XLOOKUP(C370,Milestones!$A$2:$A$501,Milestones!$F$2:$F$501),"")</f>
        <v/>
      </c>
      <c r="H370" s="4" t="str">
        <f ca="1">IFERROR(_xludf.XLOOKUP(C370,Milestones!$A$2:$A$501,Milestones!$M$2:$M$501),"")</f>
        <v/>
      </c>
      <c r="I370" s="4" t="str">
        <f t="shared" ca="1" si="20"/>
        <v/>
      </c>
      <c r="J370" s="4"/>
      <c r="K370" s="4" t="str">
        <f ca="1">IFERROR(_xludf.XLOOKUP(A370,Pracownicy!$A$2:$A$501,Pracownicy!$F$2:$F$501),"")</f>
        <v/>
      </c>
      <c r="L370" s="4"/>
      <c r="M370" s="4" t="str">
        <f t="shared" ca="1" si="21"/>
        <v/>
      </c>
      <c r="N370" s="4" t="str">
        <f t="shared" si="22"/>
        <v/>
      </c>
      <c r="O370" s="4" t="str">
        <f t="shared" ca="1" si="23"/>
        <v/>
      </c>
    </row>
    <row r="371" spans="1:15" x14ac:dyDescent="0.25">
      <c r="A371" s="4"/>
      <c r="B371" s="4" t="str">
        <f ca="1">IFERROR(_xludf.XLOOKUP(A371,Pracownicy!$A$2:$A$501,Pracownicy!$B$2:$B$501),"")</f>
        <v/>
      </c>
      <c r="C371" s="4"/>
      <c r="D371" s="4" t="str">
        <f ca="1">IFERROR(_xludf.XLOOKUP(C371,Milestones!$A$2:$A$501,Milestones!$B$2:$B$501),"")</f>
        <v/>
      </c>
      <c r="E371" s="4" t="str">
        <f ca="1">IFERROR(_xludf.XLOOKUP(D371,Projekty!$A$2:$A$501,Projekty!$B$2:$B$501),"")</f>
        <v/>
      </c>
      <c r="F371" s="4" t="str">
        <f ca="1">IFERROR(_xludf.XLOOKUP(C371,Milestones!$A$2:$A$501,Milestones!$C$2:$C$501),"")</f>
        <v/>
      </c>
      <c r="G371" s="4" t="str">
        <f ca="1">IFERROR(_xludf.XLOOKUP(C371,Milestones!$A$2:$A$501,Milestones!$F$2:$F$501),"")</f>
        <v/>
      </c>
      <c r="H371" s="4" t="str">
        <f ca="1">IFERROR(_xludf.XLOOKUP(C371,Milestones!$A$2:$A$501,Milestones!$M$2:$M$501),"")</f>
        <v/>
      </c>
      <c r="I371" s="4" t="str">
        <f t="shared" ca="1" si="20"/>
        <v/>
      </c>
      <c r="J371" s="4"/>
      <c r="K371" s="4" t="str">
        <f ca="1">IFERROR(_xludf.XLOOKUP(A371,Pracownicy!$A$2:$A$501,Pracownicy!$F$2:$F$501),"")</f>
        <v/>
      </c>
      <c r="L371" s="4"/>
      <c r="M371" s="4" t="str">
        <f t="shared" ca="1" si="21"/>
        <v/>
      </c>
      <c r="N371" s="4" t="str">
        <f t="shared" si="22"/>
        <v/>
      </c>
      <c r="O371" s="4" t="str">
        <f t="shared" ca="1" si="23"/>
        <v/>
      </c>
    </row>
    <row r="372" spans="1:15" x14ac:dyDescent="0.25">
      <c r="A372" s="4"/>
      <c r="B372" s="4" t="str">
        <f ca="1">IFERROR(_xludf.XLOOKUP(A372,Pracownicy!$A$2:$A$501,Pracownicy!$B$2:$B$501),"")</f>
        <v/>
      </c>
      <c r="C372" s="4"/>
      <c r="D372" s="4" t="str">
        <f ca="1">IFERROR(_xludf.XLOOKUP(C372,Milestones!$A$2:$A$501,Milestones!$B$2:$B$501),"")</f>
        <v/>
      </c>
      <c r="E372" s="4" t="str">
        <f ca="1">IFERROR(_xludf.XLOOKUP(D372,Projekty!$A$2:$A$501,Projekty!$B$2:$B$501),"")</f>
        <v/>
      </c>
      <c r="F372" s="4" t="str">
        <f ca="1">IFERROR(_xludf.XLOOKUP(C372,Milestones!$A$2:$A$501,Milestones!$C$2:$C$501),"")</f>
        <v/>
      </c>
      <c r="G372" s="4" t="str">
        <f ca="1">IFERROR(_xludf.XLOOKUP(C372,Milestones!$A$2:$A$501,Milestones!$F$2:$F$501),"")</f>
        <v/>
      </c>
      <c r="H372" s="4" t="str">
        <f ca="1">IFERROR(_xludf.XLOOKUP(C372,Milestones!$A$2:$A$501,Milestones!$M$2:$M$501),"")</f>
        <v/>
      </c>
      <c r="I372" s="4" t="str">
        <f t="shared" ca="1" si="20"/>
        <v/>
      </c>
      <c r="J372" s="4"/>
      <c r="K372" s="4" t="str">
        <f ca="1">IFERROR(_xludf.XLOOKUP(A372,Pracownicy!$A$2:$A$501,Pracownicy!$F$2:$F$501),"")</f>
        <v/>
      </c>
      <c r="L372" s="4"/>
      <c r="M372" s="4" t="str">
        <f t="shared" ca="1" si="21"/>
        <v/>
      </c>
      <c r="N372" s="4" t="str">
        <f t="shared" si="22"/>
        <v/>
      </c>
      <c r="O372" s="4" t="str">
        <f t="shared" ca="1" si="23"/>
        <v/>
      </c>
    </row>
    <row r="373" spans="1:15" x14ac:dyDescent="0.25">
      <c r="A373" s="4"/>
      <c r="B373" s="4" t="str">
        <f ca="1">IFERROR(_xludf.XLOOKUP(A373,Pracownicy!$A$2:$A$501,Pracownicy!$B$2:$B$501),"")</f>
        <v/>
      </c>
      <c r="C373" s="4"/>
      <c r="D373" s="4" t="str">
        <f ca="1">IFERROR(_xludf.XLOOKUP(C373,Milestones!$A$2:$A$501,Milestones!$B$2:$B$501),"")</f>
        <v/>
      </c>
      <c r="E373" s="4" t="str">
        <f ca="1">IFERROR(_xludf.XLOOKUP(D373,Projekty!$A$2:$A$501,Projekty!$B$2:$B$501),"")</f>
        <v/>
      </c>
      <c r="F373" s="4" t="str">
        <f ca="1">IFERROR(_xludf.XLOOKUP(C373,Milestones!$A$2:$A$501,Milestones!$C$2:$C$501),"")</f>
        <v/>
      </c>
      <c r="G373" s="4" t="str">
        <f ca="1">IFERROR(_xludf.XLOOKUP(C373,Milestones!$A$2:$A$501,Milestones!$F$2:$F$501),"")</f>
        <v/>
      </c>
      <c r="H373" s="4" t="str">
        <f ca="1">IFERROR(_xludf.XLOOKUP(C373,Milestones!$A$2:$A$501,Milestones!$M$2:$M$501),"")</f>
        <v/>
      </c>
      <c r="I373" s="4" t="str">
        <f t="shared" ca="1" si="20"/>
        <v/>
      </c>
      <c r="J373" s="4"/>
      <c r="K373" s="4" t="str">
        <f ca="1">IFERROR(_xludf.XLOOKUP(A373,Pracownicy!$A$2:$A$501,Pracownicy!$F$2:$F$501),"")</f>
        <v/>
      </c>
      <c r="L373" s="4"/>
      <c r="M373" s="4" t="str">
        <f t="shared" ca="1" si="21"/>
        <v/>
      </c>
      <c r="N373" s="4" t="str">
        <f t="shared" si="22"/>
        <v/>
      </c>
      <c r="O373" s="4" t="str">
        <f t="shared" ca="1" si="23"/>
        <v/>
      </c>
    </row>
    <row r="374" spans="1:15" x14ac:dyDescent="0.25">
      <c r="A374" s="4"/>
      <c r="B374" s="4" t="str">
        <f ca="1">IFERROR(_xludf.XLOOKUP(A374,Pracownicy!$A$2:$A$501,Pracownicy!$B$2:$B$501),"")</f>
        <v/>
      </c>
      <c r="C374" s="4"/>
      <c r="D374" s="4" t="str">
        <f ca="1">IFERROR(_xludf.XLOOKUP(C374,Milestones!$A$2:$A$501,Milestones!$B$2:$B$501),"")</f>
        <v/>
      </c>
      <c r="E374" s="4" t="str">
        <f ca="1">IFERROR(_xludf.XLOOKUP(D374,Projekty!$A$2:$A$501,Projekty!$B$2:$B$501),"")</f>
        <v/>
      </c>
      <c r="F374" s="4" t="str">
        <f ca="1">IFERROR(_xludf.XLOOKUP(C374,Milestones!$A$2:$A$501,Milestones!$C$2:$C$501),"")</f>
        <v/>
      </c>
      <c r="G374" s="4" t="str">
        <f ca="1">IFERROR(_xludf.XLOOKUP(C374,Milestones!$A$2:$A$501,Milestones!$F$2:$F$501),"")</f>
        <v/>
      </c>
      <c r="H374" s="4" t="str">
        <f ca="1">IFERROR(_xludf.XLOOKUP(C374,Milestones!$A$2:$A$501,Milestones!$M$2:$M$501),"")</f>
        <v/>
      </c>
      <c r="I374" s="4" t="str">
        <f t="shared" ca="1" si="20"/>
        <v/>
      </c>
      <c r="J374" s="4"/>
      <c r="K374" s="4" t="str">
        <f ca="1">IFERROR(_xludf.XLOOKUP(A374,Pracownicy!$A$2:$A$501,Pracownicy!$F$2:$F$501),"")</f>
        <v/>
      </c>
      <c r="L374" s="4"/>
      <c r="M374" s="4" t="str">
        <f t="shared" ca="1" si="21"/>
        <v/>
      </c>
      <c r="N374" s="4" t="str">
        <f t="shared" si="22"/>
        <v/>
      </c>
      <c r="O374" s="4" t="str">
        <f t="shared" ca="1" si="23"/>
        <v/>
      </c>
    </row>
    <row r="375" spans="1:15" x14ac:dyDescent="0.25">
      <c r="A375" s="4"/>
      <c r="B375" s="4" t="str">
        <f ca="1">IFERROR(_xludf.XLOOKUP(A375,Pracownicy!$A$2:$A$501,Pracownicy!$B$2:$B$501),"")</f>
        <v/>
      </c>
      <c r="C375" s="4"/>
      <c r="D375" s="4" t="str">
        <f ca="1">IFERROR(_xludf.XLOOKUP(C375,Milestones!$A$2:$A$501,Milestones!$B$2:$B$501),"")</f>
        <v/>
      </c>
      <c r="E375" s="4" t="str">
        <f ca="1">IFERROR(_xludf.XLOOKUP(D375,Projekty!$A$2:$A$501,Projekty!$B$2:$B$501),"")</f>
        <v/>
      </c>
      <c r="F375" s="4" t="str">
        <f ca="1">IFERROR(_xludf.XLOOKUP(C375,Milestones!$A$2:$A$501,Milestones!$C$2:$C$501),"")</f>
        <v/>
      </c>
      <c r="G375" s="4" t="str">
        <f ca="1">IFERROR(_xludf.XLOOKUP(C375,Milestones!$A$2:$A$501,Milestones!$F$2:$F$501),"")</f>
        <v/>
      </c>
      <c r="H375" s="4" t="str">
        <f ca="1">IFERROR(_xludf.XLOOKUP(C375,Milestones!$A$2:$A$501,Milestones!$M$2:$M$501),"")</f>
        <v/>
      </c>
      <c r="I375" s="4" t="str">
        <f t="shared" ca="1" si="20"/>
        <v/>
      </c>
      <c r="J375" s="4"/>
      <c r="K375" s="4" t="str">
        <f ca="1">IFERROR(_xludf.XLOOKUP(A375,Pracownicy!$A$2:$A$501,Pracownicy!$F$2:$F$501),"")</f>
        <v/>
      </c>
      <c r="L375" s="4"/>
      <c r="M375" s="4" t="str">
        <f t="shared" ca="1" si="21"/>
        <v/>
      </c>
      <c r="N375" s="4" t="str">
        <f t="shared" si="22"/>
        <v/>
      </c>
      <c r="O375" s="4" t="str">
        <f t="shared" ca="1" si="23"/>
        <v/>
      </c>
    </row>
    <row r="376" spans="1:15" x14ac:dyDescent="0.25">
      <c r="A376" s="4"/>
      <c r="B376" s="4" t="str">
        <f ca="1">IFERROR(_xludf.XLOOKUP(A376,Pracownicy!$A$2:$A$501,Pracownicy!$B$2:$B$501),"")</f>
        <v/>
      </c>
      <c r="C376" s="4"/>
      <c r="D376" s="4" t="str">
        <f ca="1">IFERROR(_xludf.XLOOKUP(C376,Milestones!$A$2:$A$501,Milestones!$B$2:$B$501),"")</f>
        <v/>
      </c>
      <c r="E376" s="4" t="str">
        <f ca="1">IFERROR(_xludf.XLOOKUP(D376,Projekty!$A$2:$A$501,Projekty!$B$2:$B$501),"")</f>
        <v/>
      </c>
      <c r="F376" s="4" t="str">
        <f ca="1">IFERROR(_xludf.XLOOKUP(C376,Milestones!$A$2:$A$501,Milestones!$C$2:$C$501),"")</f>
        <v/>
      </c>
      <c r="G376" s="4" t="str">
        <f ca="1">IFERROR(_xludf.XLOOKUP(C376,Milestones!$A$2:$A$501,Milestones!$F$2:$F$501),"")</f>
        <v/>
      </c>
      <c r="H376" s="4" t="str">
        <f ca="1">IFERROR(_xludf.XLOOKUP(C376,Milestones!$A$2:$A$501,Milestones!$M$2:$M$501),"")</f>
        <v/>
      </c>
      <c r="I376" s="4" t="str">
        <f t="shared" ca="1" si="20"/>
        <v/>
      </c>
      <c r="J376" s="4"/>
      <c r="K376" s="4" t="str">
        <f ca="1">IFERROR(_xludf.XLOOKUP(A376,Pracownicy!$A$2:$A$501,Pracownicy!$F$2:$F$501),"")</f>
        <v/>
      </c>
      <c r="L376" s="4"/>
      <c r="M376" s="4" t="str">
        <f t="shared" ca="1" si="21"/>
        <v/>
      </c>
      <c r="N376" s="4" t="str">
        <f t="shared" si="22"/>
        <v/>
      </c>
      <c r="O376" s="4" t="str">
        <f t="shared" ca="1" si="23"/>
        <v/>
      </c>
    </row>
    <row r="377" spans="1:15" x14ac:dyDescent="0.25">
      <c r="A377" s="4"/>
      <c r="B377" s="4" t="str">
        <f ca="1">IFERROR(_xludf.XLOOKUP(A377,Pracownicy!$A$2:$A$501,Pracownicy!$B$2:$B$501),"")</f>
        <v/>
      </c>
      <c r="C377" s="4"/>
      <c r="D377" s="4" t="str">
        <f ca="1">IFERROR(_xludf.XLOOKUP(C377,Milestones!$A$2:$A$501,Milestones!$B$2:$B$501),"")</f>
        <v/>
      </c>
      <c r="E377" s="4" t="str">
        <f ca="1">IFERROR(_xludf.XLOOKUP(D377,Projekty!$A$2:$A$501,Projekty!$B$2:$B$501),"")</f>
        <v/>
      </c>
      <c r="F377" s="4" t="str">
        <f ca="1">IFERROR(_xludf.XLOOKUP(C377,Milestones!$A$2:$A$501,Milestones!$C$2:$C$501),"")</f>
        <v/>
      </c>
      <c r="G377" s="4" t="str">
        <f ca="1">IFERROR(_xludf.XLOOKUP(C377,Milestones!$A$2:$A$501,Milestones!$F$2:$F$501),"")</f>
        <v/>
      </c>
      <c r="H377" s="4" t="str">
        <f ca="1">IFERROR(_xludf.XLOOKUP(C377,Milestones!$A$2:$A$501,Milestones!$M$2:$M$501),"")</f>
        <v/>
      </c>
      <c r="I377" s="4" t="str">
        <f t="shared" ca="1" si="20"/>
        <v/>
      </c>
      <c r="J377" s="4"/>
      <c r="K377" s="4" t="str">
        <f ca="1">IFERROR(_xludf.XLOOKUP(A377,Pracownicy!$A$2:$A$501,Pracownicy!$F$2:$F$501),"")</f>
        <v/>
      </c>
      <c r="L377" s="4"/>
      <c r="M377" s="4" t="str">
        <f t="shared" ca="1" si="21"/>
        <v/>
      </c>
      <c r="N377" s="4" t="str">
        <f t="shared" si="22"/>
        <v/>
      </c>
      <c r="O377" s="4" t="str">
        <f t="shared" ca="1" si="23"/>
        <v/>
      </c>
    </row>
    <row r="378" spans="1:15" x14ac:dyDescent="0.25">
      <c r="A378" s="4"/>
      <c r="B378" s="4" t="str">
        <f ca="1">IFERROR(_xludf.XLOOKUP(A378,Pracownicy!$A$2:$A$501,Pracownicy!$B$2:$B$501),"")</f>
        <v/>
      </c>
      <c r="C378" s="4"/>
      <c r="D378" s="4" t="str">
        <f ca="1">IFERROR(_xludf.XLOOKUP(C378,Milestones!$A$2:$A$501,Milestones!$B$2:$B$501),"")</f>
        <v/>
      </c>
      <c r="E378" s="4" t="str">
        <f ca="1">IFERROR(_xludf.XLOOKUP(D378,Projekty!$A$2:$A$501,Projekty!$B$2:$B$501),"")</f>
        <v/>
      </c>
      <c r="F378" s="4" t="str">
        <f ca="1">IFERROR(_xludf.XLOOKUP(C378,Milestones!$A$2:$A$501,Milestones!$C$2:$C$501),"")</f>
        <v/>
      </c>
      <c r="G378" s="4" t="str">
        <f ca="1">IFERROR(_xludf.XLOOKUP(C378,Milestones!$A$2:$A$501,Milestones!$F$2:$F$501),"")</f>
        <v/>
      </c>
      <c r="H378" s="4" t="str">
        <f ca="1">IFERROR(_xludf.XLOOKUP(C378,Milestones!$A$2:$A$501,Milestones!$M$2:$M$501),"")</f>
        <v/>
      </c>
      <c r="I378" s="4" t="str">
        <f t="shared" ca="1" si="20"/>
        <v/>
      </c>
      <c r="J378" s="4"/>
      <c r="K378" s="4" t="str">
        <f ca="1">IFERROR(_xludf.XLOOKUP(A378,Pracownicy!$A$2:$A$501,Pracownicy!$F$2:$F$501),"")</f>
        <v/>
      </c>
      <c r="L378" s="4"/>
      <c r="M378" s="4" t="str">
        <f t="shared" ca="1" si="21"/>
        <v/>
      </c>
      <c r="N378" s="4" t="str">
        <f t="shared" si="22"/>
        <v/>
      </c>
      <c r="O378" s="4" t="str">
        <f t="shared" ca="1" si="23"/>
        <v/>
      </c>
    </row>
    <row r="379" spans="1:15" x14ac:dyDescent="0.25">
      <c r="A379" s="4"/>
      <c r="B379" s="4" t="str">
        <f ca="1">IFERROR(_xludf.XLOOKUP(A379,Pracownicy!$A$2:$A$501,Pracownicy!$B$2:$B$501),"")</f>
        <v/>
      </c>
      <c r="C379" s="4"/>
      <c r="D379" s="4" t="str">
        <f ca="1">IFERROR(_xludf.XLOOKUP(C379,Milestones!$A$2:$A$501,Milestones!$B$2:$B$501),"")</f>
        <v/>
      </c>
      <c r="E379" s="4" t="str">
        <f ca="1">IFERROR(_xludf.XLOOKUP(D379,Projekty!$A$2:$A$501,Projekty!$B$2:$B$501),"")</f>
        <v/>
      </c>
      <c r="F379" s="4" t="str">
        <f ca="1">IFERROR(_xludf.XLOOKUP(C379,Milestones!$A$2:$A$501,Milestones!$C$2:$C$501),"")</f>
        <v/>
      </c>
      <c r="G379" s="4" t="str">
        <f ca="1">IFERROR(_xludf.XLOOKUP(C379,Milestones!$A$2:$A$501,Milestones!$F$2:$F$501),"")</f>
        <v/>
      </c>
      <c r="H379" s="4" t="str">
        <f ca="1">IFERROR(_xludf.XLOOKUP(C379,Milestones!$A$2:$A$501,Milestones!$M$2:$M$501),"")</f>
        <v/>
      </c>
      <c r="I379" s="4" t="str">
        <f t="shared" ca="1" si="20"/>
        <v/>
      </c>
      <c r="J379" s="4"/>
      <c r="K379" s="4" t="str">
        <f ca="1">IFERROR(_xludf.XLOOKUP(A379,Pracownicy!$A$2:$A$501,Pracownicy!$F$2:$F$501),"")</f>
        <v/>
      </c>
      <c r="L379" s="4"/>
      <c r="M379" s="4" t="str">
        <f t="shared" ca="1" si="21"/>
        <v/>
      </c>
      <c r="N379" s="4" t="str">
        <f t="shared" si="22"/>
        <v/>
      </c>
      <c r="O379" s="4" t="str">
        <f t="shared" ca="1" si="23"/>
        <v/>
      </c>
    </row>
    <row r="380" spans="1:15" x14ac:dyDescent="0.25">
      <c r="A380" s="4"/>
      <c r="B380" s="4" t="str">
        <f ca="1">IFERROR(_xludf.XLOOKUP(A380,Pracownicy!$A$2:$A$501,Pracownicy!$B$2:$B$501),"")</f>
        <v/>
      </c>
      <c r="C380" s="4"/>
      <c r="D380" s="4" t="str">
        <f ca="1">IFERROR(_xludf.XLOOKUP(C380,Milestones!$A$2:$A$501,Milestones!$B$2:$B$501),"")</f>
        <v/>
      </c>
      <c r="E380" s="4" t="str">
        <f ca="1">IFERROR(_xludf.XLOOKUP(D380,Projekty!$A$2:$A$501,Projekty!$B$2:$B$501),"")</f>
        <v/>
      </c>
      <c r="F380" s="4" t="str">
        <f ca="1">IFERROR(_xludf.XLOOKUP(C380,Milestones!$A$2:$A$501,Milestones!$C$2:$C$501),"")</f>
        <v/>
      </c>
      <c r="G380" s="4" t="str">
        <f ca="1">IFERROR(_xludf.XLOOKUP(C380,Milestones!$A$2:$A$501,Milestones!$F$2:$F$501),"")</f>
        <v/>
      </c>
      <c r="H380" s="4" t="str">
        <f ca="1">IFERROR(_xludf.XLOOKUP(C380,Milestones!$A$2:$A$501,Milestones!$M$2:$M$501),"")</f>
        <v/>
      </c>
      <c r="I380" s="4" t="str">
        <f t="shared" ca="1" si="20"/>
        <v/>
      </c>
      <c r="J380" s="4"/>
      <c r="K380" s="4" t="str">
        <f ca="1">IFERROR(_xludf.XLOOKUP(A380,Pracownicy!$A$2:$A$501,Pracownicy!$F$2:$F$501),"")</f>
        <v/>
      </c>
      <c r="L380" s="4"/>
      <c r="M380" s="4" t="str">
        <f t="shared" ca="1" si="21"/>
        <v/>
      </c>
      <c r="N380" s="4" t="str">
        <f t="shared" si="22"/>
        <v/>
      </c>
      <c r="O380" s="4" t="str">
        <f t="shared" ca="1" si="23"/>
        <v/>
      </c>
    </row>
    <row r="381" spans="1:15" x14ac:dyDescent="0.25">
      <c r="A381" s="4"/>
      <c r="B381" s="4" t="str">
        <f ca="1">IFERROR(_xludf.XLOOKUP(A381,Pracownicy!$A$2:$A$501,Pracownicy!$B$2:$B$501),"")</f>
        <v/>
      </c>
      <c r="C381" s="4"/>
      <c r="D381" s="4" t="str">
        <f ca="1">IFERROR(_xludf.XLOOKUP(C381,Milestones!$A$2:$A$501,Milestones!$B$2:$B$501),"")</f>
        <v/>
      </c>
      <c r="E381" s="4" t="str">
        <f ca="1">IFERROR(_xludf.XLOOKUP(D381,Projekty!$A$2:$A$501,Projekty!$B$2:$B$501),"")</f>
        <v/>
      </c>
      <c r="F381" s="4" t="str">
        <f ca="1">IFERROR(_xludf.XLOOKUP(C381,Milestones!$A$2:$A$501,Milestones!$C$2:$C$501),"")</f>
        <v/>
      </c>
      <c r="G381" s="4" t="str">
        <f ca="1">IFERROR(_xludf.XLOOKUP(C381,Milestones!$A$2:$A$501,Milestones!$F$2:$F$501),"")</f>
        <v/>
      </c>
      <c r="H381" s="4" t="str">
        <f ca="1">IFERROR(_xludf.XLOOKUP(C381,Milestones!$A$2:$A$501,Milestones!$M$2:$M$501),"")</f>
        <v/>
      </c>
      <c r="I381" s="4" t="str">
        <f t="shared" ca="1" si="20"/>
        <v/>
      </c>
      <c r="J381" s="4"/>
      <c r="K381" s="4" t="str">
        <f ca="1">IFERROR(_xludf.XLOOKUP(A381,Pracownicy!$A$2:$A$501,Pracownicy!$F$2:$F$501),"")</f>
        <v/>
      </c>
      <c r="L381" s="4"/>
      <c r="M381" s="4" t="str">
        <f t="shared" ca="1" si="21"/>
        <v/>
      </c>
      <c r="N381" s="4" t="str">
        <f t="shared" si="22"/>
        <v/>
      </c>
      <c r="O381" s="4" t="str">
        <f t="shared" ca="1" si="23"/>
        <v/>
      </c>
    </row>
    <row r="382" spans="1:15" x14ac:dyDescent="0.25">
      <c r="A382" s="4"/>
      <c r="B382" s="4" t="str">
        <f ca="1">IFERROR(_xludf.XLOOKUP(A382,Pracownicy!$A$2:$A$501,Pracownicy!$B$2:$B$501),"")</f>
        <v/>
      </c>
      <c r="C382" s="4"/>
      <c r="D382" s="4" t="str">
        <f ca="1">IFERROR(_xludf.XLOOKUP(C382,Milestones!$A$2:$A$501,Milestones!$B$2:$B$501),"")</f>
        <v/>
      </c>
      <c r="E382" s="4" t="str">
        <f ca="1">IFERROR(_xludf.XLOOKUP(D382,Projekty!$A$2:$A$501,Projekty!$B$2:$B$501),"")</f>
        <v/>
      </c>
      <c r="F382" s="4" t="str">
        <f ca="1">IFERROR(_xludf.XLOOKUP(C382,Milestones!$A$2:$A$501,Milestones!$C$2:$C$501),"")</f>
        <v/>
      </c>
      <c r="G382" s="4" t="str">
        <f ca="1">IFERROR(_xludf.XLOOKUP(C382,Milestones!$A$2:$A$501,Milestones!$F$2:$F$501),"")</f>
        <v/>
      </c>
      <c r="H382" s="4" t="str">
        <f ca="1">IFERROR(_xludf.XLOOKUP(C382,Milestones!$A$2:$A$501,Milestones!$M$2:$M$501),"")</f>
        <v/>
      </c>
      <c r="I382" s="4" t="str">
        <f t="shared" ca="1" si="20"/>
        <v/>
      </c>
      <c r="J382" s="4"/>
      <c r="K382" s="4" t="str">
        <f ca="1">IFERROR(_xludf.XLOOKUP(A382,Pracownicy!$A$2:$A$501,Pracownicy!$F$2:$F$501),"")</f>
        <v/>
      </c>
      <c r="L382" s="4"/>
      <c r="M382" s="4" t="str">
        <f t="shared" ca="1" si="21"/>
        <v/>
      </c>
      <c r="N382" s="4" t="str">
        <f t="shared" si="22"/>
        <v/>
      </c>
      <c r="O382" s="4" t="str">
        <f t="shared" ca="1" si="23"/>
        <v/>
      </c>
    </row>
    <row r="383" spans="1:15" x14ac:dyDescent="0.25">
      <c r="A383" s="4"/>
      <c r="B383" s="4" t="str">
        <f ca="1">IFERROR(_xludf.XLOOKUP(A383,Pracownicy!$A$2:$A$501,Pracownicy!$B$2:$B$501),"")</f>
        <v/>
      </c>
      <c r="C383" s="4"/>
      <c r="D383" s="4" t="str">
        <f ca="1">IFERROR(_xludf.XLOOKUP(C383,Milestones!$A$2:$A$501,Milestones!$B$2:$B$501),"")</f>
        <v/>
      </c>
      <c r="E383" s="4" t="str">
        <f ca="1">IFERROR(_xludf.XLOOKUP(D383,Projekty!$A$2:$A$501,Projekty!$B$2:$B$501),"")</f>
        <v/>
      </c>
      <c r="F383" s="4" t="str">
        <f ca="1">IFERROR(_xludf.XLOOKUP(C383,Milestones!$A$2:$A$501,Milestones!$C$2:$C$501),"")</f>
        <v/>
      </c>
      <c r="G383" s="4" t="str">
        <f ca="1">IFERROR(_xludf.XLOOKUP(C383,Milestones!$A$2:$A$501,Milestones!$F$2:$F$501),"")</f>
        <v/>
      </c>
      <c r="H383" s="4" t="str">
        <f ca="1">IFERROR(_xludf.XLOOKUP(C383,Milestones!$A$2:$A$501,Milestones!$M$2:$M$501),"")</f>
        <v/>
      </c>
      <c r="I383" s="4" t="str">
        <f t="shared" ca="1" si="20"/>
        <v/>
      </c>
      <c r="J383" s="4"/>
      <c r="K383" s="4" t="str">
        <f ca="1">IFERROR(_xludf.XLOOKUP(A383,Pracownicy!$A$2:$A$501,Pracownicy!$F$2:$F$501),"")</f>
        <v/>
      </c>
      <c r="L383" s="4"/>
      <c r="M383" s="4" t="str">
        <f t="shared" ca="1" si="21"/>
        <v/>
      </c>
      <c r="N383" s="4" t="str">
        <f t="shared" si="22"/>
        <v/>
      </c>
      <c r="O383" s="4" t="str">
        <f t="shared" ca="1" si="23"/>
        <v/>
      </c>
    </row>
    <row r="384" spans="1:15" x14ac:dyDescent="0.25">
      <c r="A384" s="4"/>
      <c r="B384" s="4" t="str">
        <f ca="1">IFERROR(_xludf.XLOOKUP(A384,Pracownicy!$A$2:$A$501,Pracownicy!$B$2:$B$501),"")</f>
        <v/>
      </c>
      <c r="C384" s="4"/>
      <c r="D384" s="4" t="str">
        <f ca="1">IFERROR(_xludf.XLOOKUP(C384,Milestones!$A$2:$A$501,Milestones!$B$2:$B$501),"")</f>
        <v/>
      </c>
      <c r="E384" s="4" t="str">
        <f ca="1">IFERROR(_xludf.XLOOKUP(D384,Projekty!$A$2:$A$501,Projekty!$B$2:$B$501),"")</f>
        <v/>
      </c>
      <c r="F384" s="4" t="str">
        <f ca="1">IFERROR(_xludf.XLOOKUP(C384,Milestones!$A$2:$A$501,Milestones!$C$2:$C$501),"")</f>
        <v/>
      </c>
      <c r="G384" s="4" t="str">
        <f ca="1">IFERROR(_xludf.XLOOKUP(C384,Milestones!$A$2:$A$501,Milestones!$F$2:$F$501),"")</f>
        <v/>
      </c>
      <c r="H384" s="4" t="str">
        <f ca="1">IFERROR(_xludf.XLOOKUP(C384,Milestones!$A$2:$A$501,Milestones!$M$2:$M$501),"")</f>
        <v/>
      </c>
      <c r="I384" s="4" t="str">
        <f t="shared" ca="1" si="20"/>
        <v/>
      </c>
      <c r="J384" s="4"/>
      <c r="K384" s="4" t="str">
        <f ca="1">IFERROR(_xludf.XLOOKUP(A384,Pracownicy!$A$2:$A$501,Pracownicy!$F$2:$F$501),"")</f>
        <v/>
      </c>
      <c r="L384" s="4"/>
      <c r="M384" s="4" t="str">
        <f t="shared" ca="1" si="21"/>
        <v/>
      </c>
      <c r="N384" s="4" t="str">
        <f t="shared" si="22"/>
        <v/>
      </c>
      <c r="O384" s="4" t="str">
        <f t="shared" ca="1" si="23"/>
        <v/>
      </c>
    </row>
    <row r="385" spans="1:15" x14ac:dyDescent="0.25">
      <c r="A385" s="4"/>
      <c r="B385" s="4" t="str">
        <f ca="1">IFERROR(_xludf.XLOOKUP(A385,Pracownicy!$A$2:$A$501,Pracownicy!$B$2:$B$501),"")</f>
        <v/>
      </c>
      <c r="C385" s="4"/>
      <c r="D385" s="4" t="str">
        <f ca="1">IFERROR(_xludf.XLOOKUP(C385,Milestones!$A$2:$A$501,Milestones!$B$2:$B$501),"")</f>
        <v/>
      </c>
      <c r="E385" s="4" t="str">
        <f ca="1">IFERROR(_xludf.XLOOKUP(D385,Projekty!$A$2:$A$501,Projekty!$B$2:$B$501),"")</f>
        <v/>
      </c>
      <c r="F385" s="4" t="str">
        <f ca="1">IFERROR(_xludf.XLOOKUP(C385,Milestones!$A$2:$A$501,Milestones!$C$2:$C$501),"")</f>
        <v/>
      </c>
      <c r="G385" s="4" t="str">
        <f ca="1">IFERROR(_xludf.XLOOKUP(C385,Milestones!$A$2:$A$501,Milestones!$F$2:$F$501),"")</f>
        <v/>
      </c>
      <c r="H385" s="4" t="str">
        <f ca="1">IFERROR(_xludf.XLOOKUP(C385,Milestones!$A$2:$A$501,Milestones!$M$2:$M$501),"")</f>
        <v/>
      </c>
      <c r="I385" s="4" t="str">
        <f t="shared" ca="1" si="20"/>
        <v/>
      </c>
      <c r="J385" s="4"/>
      <c r="K385" s="4" t="str">
        <f ca="1">IFERROR(_xludf.XLOOKUP(A385,Pracownicy!$A$2:$A$501,Pracownicy!$F$2:$F$501),"")</f>
        <v/>
      </c>
      <c r="L385" s="4"/>
      <c r="M385" s="4" t="str">
        <f t="shared" ca="1" si="21"/>
        <v/>
      </c>
      <c r="N385" s="4" t="str">
        <f t="shared" si="22"/>
        <v/>
      </c>
      <c r="O385" s="4" t="str">
        <f t="shared" ca="1" si="23"/>
        <v/>
      </c>
    </row>
    <row r="386" spans="1:15" x14ac:dyDescent="0.25">
      <c r="A386" s="4"/>
      <c r="B386" s="4" t="str">
        <f ca="1">IFERROR(_xludf.XLOOKUP(A386,Pracownicy!$A$2:$A$501,Pracownicy!$B$2:$B$501),"")</f>
        <v/>
      </c>
      <c r="C386" s="4"/>
      <c r="D386" s="4" t="str">
        <f ca="1">IFERROR(_xludf.XLOOKUP(C386,Milestones!$A$2:$A$501,Milestones!$B$2:$B$501),"")</f>
        <v/>
      </c>
      <c r="E386" s="4" t="str">
        <f ca="1">IFERROR(_xludf.XLOOKUP(D386,Projekty!$A$2:$A$501,Projekty!$B$2:$B$501),"")</f>
        <v/>
      </c>
      <c r="F386" s="4" t="str">
        <f ca="1">IFERROR(_xludf.XLOOKUP(C386,Milestones!$A$2:$A$501,Milestones!$C$2:$C$501),"")</f>
        <v/>
      </c>
      <c r="G386" s="4" t="str">
        <f ca="1">IFERROR(_xludf.XLOOKUP(C386,Milestones!$A$2:$A$501,Milestones!$F$2:$F$501),"")</f>
        <v/>
      </c>
      <c r="H386" s="4" t="str">
        <f ca="1">IFERROR(_xludf.XLOOKUP(C386,Milestones!$A$2:$A$501,Milestones!$M$2:$M$501),"")</f>
        <v/>
      </c>
      <c r="I386" s="4" t="str">
        <f t="shared" ref="I386:I449" ca="1" si="24">IF(H386="","",MIN(H386,1))</f>
        <v/>
      </c>
      <c r="J386" s="4"/>
      <c r="K386" s="4" t="str">
        <f ca="1">IFERROR(_xludf.XLOOKUP(A386,Pracownicy!$A$2:$A$501,Pracownicy!$F$2:$F$501),"")</f>
        <v/>
      </c>
      <c r="L386" s="4"/>
      <c r="M386" s="4" t="str">
        <f t="shared" ref="M386:M449" ca="1" si="25">IF(OR(J386="",K386="",L386=""),"",J386*K386*L386)</f>
        <v/>
      </c>
      <c r="N386" s="4" t="str">
        <f t="shared" ref="N386:N449" si="26">IF(C386="","",SUMIF($C$2:$C$501,C386,$M$2:$M$501))</f>
        <v/>
      </c>
      <c r="O386" s="4" t="str">
        <f t="shared" ref="O386:O449" ca="1" si="27">IF(OR(G386="",I386="",M386="",N386="",N386=0),"",ROUNDDOWN(G386*I386*(M386/N386),2))</f>
        <v/>
      </c>
    </row>
    <row r="387" spans="1:15" x14ac:dyDescent="0.25">
      <c r="A387" s="4"/>
      <c r="B387" s="4" t="str">
        <f ca="1">IFERROR(_xludf.XLOOKUP(A387,Pracownicy!$A$2:$A$501,Pracownicy!$B$2:$B$501),"")</f>
        <v/>
      </c>
      <c r="C387" s="4"/>
      <c r="D387" s="4" t="str">
        <f ca="1">IFERROR(_xludf.XLOOKUP(C387,Milestones!$A$2:$A$501,Milestones!$B$2:$B$501),"")</f>
        <v/>
      </c>
      <c r="E387" s="4" t="str">
        <f ca="1">IFERROR(_xludf.XLOOKUP(D387,Projekty!$A$2:$A$501,Projekty!$B$2:$B$501),"")</f>
        <v/>
      </c>
      <c r="F387" s="4" t="str">
        <f ca="1">IFERROR(_xludf.XLOOKUP(C387,Milestones!$A$2:$A$501,Milestones!$C$2:$C$501),"")</f>
        <v/>
      </c>
      <c r="G387" s="4" t="str">
        <f ca="1">IFERROR(_xludf.XLOOKUP(C387,Milestones!$A$2:$A$501,Milestones!$F$2:$F$501),"")</f>
        <v/>
      </c>
      <c r="H387" s="4" t="str">
        <f ca="1">IFERROR(_xludf.XLOOKUP(C387,Milestones!$A$2:$A$501,Milestones!$M$2:$M$501),"")</f>
        <v/>
      </c>
      <c r="I387" s="4" t="str">
        <f t="shared" ca="1" si="24"/>
        <v/>
      </c>
      <c r="J387" s="4"/>
      <c r="K387" s="4" t="str">
        <f ca="1">IFERROR(_xludf.XLOOKUP(A387,Pracownicy!$A$2:$A$501,Pracownicy!$F$2:$F$501),"")</f>
        <v/>
      </c>
      <c r="L387" s="4"/>
      <c r="M387" s="4" t="str">
        <f t="shared" ca="1" si="25"/>
        <v/>
      </c>
      <c r="N387" s="4" t="str">
        <f t="shared" si="26"/>
        <v/>
      </c>
      <c r="O387" s="4" t="str">
        <f t="shared" ca="1" si="27"/>
        <v/>
      </c>
    </row>
    <row r="388" spans="1:15" x14ac:dyDescent="0.25">
      <c r="A388" s="4"/>
      <c r="B388" s="4" t="str">
        <f ca="1">IFERROR(_xludf.XLOOKUP(A388,Pracownicy!$A$2:$A$501,Pracownicy!$B$2:$B$501),"")</f>
        <v/>
      </c>
      <c r="C388" s="4"/>
      <c r="D388" s="4" t="str">
        <f ca="1">IFERROR(_xludf.XLOOKUP(C388,Milestones!$A$2:$A$501,Milestones!$B$2:$B$501),"")</f>
        <v/>
      </c>
      <c r="E388" s="4" t="str">
        <f ca="1">IFERROR(_xludf.XLOOKUP(D388,Projekty!$A$2:$A$501,Projekty!$B$2:$B$501),"")</f>
        <v/>
      </c>
      <c r="F388" s="4" t="str">
        <f ca="1">IFERROR(_xludf.XLOOKUP(C388,Milestones!$A$2:$A$501,Milestones!$C$2:$C$501),"")</f>
        <v/>
      </c>
      <c r="G388" s="4" t="str">
        <f ca="1">IFERROR(_xludf.XLOOKUP(C388,Milestones!$A$2:$A$501,Milestones!$F$2:$F$501),"")</f>
        <v/>
      </c>
      <c r="H388" s="4" t="str">
        <f ca="1">IFERROR(_xludf.XLOOKUP(C388,Milestones!$A$2:$A$501,Milestones!$M$2:$M$501),"")</f>
        <v/>
      </c>
      <c r="I388" s="4" t="str">
        <f t="shared" ca="1" si="24"/>
        <v/>
      </c>
      <c r="J388" s="4"/>
      <c r="K388" s="4" t="str">
        <f ca="1">IFERROR(_xludf.XLOOKUP(A388,Pracownicy!$A$2:$A$501,Pracownicy!$F$2:$F$501),"")</f>
        <v/>
      </c>
      <c r="L388" s="4"/>
      <c r="M388" s="4" t="str">
        <f t="shared" ca="1" si="25"/>
        <v/>
      </c>
      <c r="N388" s="4" t="str">
        <f t="shared" si="26"/>
        <v/>
      </c>
      <c r="O388" s="4" t="str">
        <f t="shared" ca="1" si="27"/>
        <v/>
      </c>
    </row>
    <row r="389" spans="1:15" x14ac:dyDescent="0.25">
      <c r="A389" s="4"/>
      <c r="B389" s="4" t="str">
        <f ca="1">IFERROR(_xludf.XLOOKUP(A389,Pracownicy!$A$2:$A$501,Pracownicy!$B$2:$B$501),"")</f>
        <v/>
      </c>
      <c r="C389" s="4"/>
      <c r="D389" s="4" t="str">
        <f ca="1">IFERROR(_xludf.XLOOKUP(C389,Milestones!$A$2:$A$501,Milestones!$B$2:$B$501),"")</f>
        <v/>
      </c>
      <c r="E389" s="4" t="str">
        <f ca="1">IFERROR(_xludf.XLOOKUP(D389,Projekty!$A$2:$A$501,Projekty!$B$2:$B$501),"")</f>
        <v/>
      </c>
      <c r="F389" s="4" t="str">
        <f ca="1">IFERROR(_xludf.XLOOKUP(C389,Milestones!$A$2:$A$501,Milestones!$C$2:$C$501),"")</f>
        <v/>
      </c>
      <c r="G389" s="4" t="str">
        <f ca="1">IFERROR(_xludf.XLOOKUP(C389,Milestones!$A$2:$A$501,Milestones!$F$2:$F$501),"")</f>
        <v/>
      </c>
      <c r="H389" s="4" t="str">
        <f ca="1">IFERROR(_xludf.XLOOKUP(C389,Milestones!$A$2:$A$501,Milestones!$M$2:$M$501),"")</f>
        <v/>
      </c>
      <c r="I389" s="4" t="str">
        <f t="shared" ca="1" si="24"/>
        <v/>
      </c>
      <c r="J389" s="4"/>
      <c r="K389" s="4" t="str">
        <f ca="1">IFERROR(_xludf.XLOOKUP(A389,Pracownicy!$A$2:$A$501,Pracownicy!$F$2:$F$501),"")</f>
        <v/>
      </c>
      <c r="L389" s="4"/>
      <c r="M389" s="4" t="str">
        <f t="shared" ca="1" si="25"/>
        <v/>
      </c>
      <c r="N389" s="4" t="str">
        <f t="shared" si="26"/>
        <v/>
      </c>
      <c r="O389" s="4" t="str">
        <f t="shared" ca="1" si="27"/>
        <v/>
      </c>
    </row>
    <row r="390" spans="1:15" x14ac:dyDescent="0.25">
      <c r="A390" s="4"/>
      <c r="B390" s="4" t="str">
        <f ca="1">IFERROR(_xludf.XLOOKUP(A390,Pracownicy!$A$2:$A$501,Pracownicy!$B$2:$B$501),"")</f>
        <v/>
      </c>
      <c r="C390" s="4"/>
      <c r="D390" s="4" t="str">
        <f ca="1">IFERROR(_xludf.XLOOKUP(C390,Milestones!$A$2:$A$501,Milestones!$B$2:$B$501),"")</f>
        <v/>
      </c>
      <c r="E390" s="4" t="str">
        <f ca="1">IFERROR(_xludf.XLOOKUP(D390,Projekty!$A$2:$A$501,Projekty!$B$2:$B$501),"")</f>
        <v/>
      </c>
      <c r="F390" s="4" t="str">
        <f ca="1">IFERROR(_xludf.XLOOKUP(C390,Milestones!$A$2:$A$501,Milestones!$C$2:$C$501),"")</f>
        <v/>
      </c>
      <c r="G390" s="4" t="str">
        <f ca="1">IFERROR(_xludf.XLOOKUP(C390,Milestones!$A$2:$A$501,Milestones!$F$2:$F$501),"")</f>
        <v/>
      </c>
      <c r="H390" s="4" t="str">
        <f ca="1">IFERROR(_xludf.XLOOKUP(C390,Milestones!$A$2:$A$501,Milestones!$M$2:$M$501),"")</f>
        <v/>
      </c>
      <c r="I390" s="4" t="str">
        <f t="shared" ca="1" si="24"/>
        <v/>
      </c>
      <c r="J390" s="4"/>
      <c r="K390" s="4" t="str">
        <f ca="1">IFERROR(_xludf.XLOOKUP(A390,Pracownicy!$A$2:$A$501,Pracownicy!$F$2:$F$501),"")</f>
        <v/>
      </c>
      <c r="L390" s="4"/>
      <c r="M390" s="4" t="str">
        <f t="shared" ca="1" si="25"/>
        <v/>
      </c>
      <c r="N390" s="4" t="str">
        <f t="shared" si="26"/>
        <v/>
      </c>
      <c r="O390" s="4" t="str">
        <f t="shared" ca="1" si="27"/>
        <v/>
      </c>
    </row>
    <row r="391" spans="1:15" x14ac:dyDescent="0.25">
      <c r="A391" s="4"/>
      <c r="B391" s="4" t="str">
        <f ca="1">IFERROR(_xludf.XLOOKUP(A391,Pracownicy!$A$2:$A$501,Pracownicy!$B$2:$B$501),"")</f>
        <v/>
      </c>
      <c r="C391" s="4"/>
      <c r="D391" s="4" t="str">
        <f ca="1">IFERROR(_xludf.XLOOKUP(C391,Milestones!$A$2:$A$501,Milestones!$B$2:$B$501),"")</f>
        <v/>
      </c>
      <c r="E391" s="4" t="str">
        <f ca="1">IFERROR(_xludf.XLOOKUP(D391,Projekty!$A$2:$A$501,Projekty!$B$2:$B$501),"")</f>
        <v/>
      </c>
      <c r="F391" s="4" t="str">
        <f ca="1">IFERROR(_xludf.XLOOKUP(C391,Milestones!$A$2:$A$501,Milestones!$C$2:$C$501),"")</f>
        <v/>
      </c>
      <c r="G391" s="4" t="str">
        <f ca="1">IFERROR(_xludf.XLOOKUP(C391,Milestones!$A$2:$A$501,Milestones!$F$2:$F$501),"")</f>
        <v/>
      </c>
      <c r="H391" s="4" t="str">
        <f ca="1">IFERROR(_xludf.XLOOKUP(C391,Milestones!$A$2:$A$501,Milestones!$M$2:$M$501),"")</f>
        <v/>
      </c>
      <c r="I391" s="4" t="str">
        <f t="shared" ca="1" si="24"/>
        <v/>
      </c>
      <c r="J391" s="4"/>
      <c r="K391" s="4" t="str">
        <f ca="1">IFERROR(_xludf.XLOOKUP(A391,Pracownicy!$A$2:$A$501,Pracownicy!$F$2:$F$501),"")</f>
        <v/>
      </c>
      <c r="L391" s="4"/>
      <c r="M391" s="4" t="str">
        <f t="shared" ca="1" si="25"/>
        <v/>
      </c>
      <c r="N391" s="4" t="str">
        <f t="shared" si="26"/>
        <v/>
      </c>
      <c r="O391" s="4" t="str">
        <f t="shared" ca="1" si="27"/>
        <v/>
      </c>
    </row>
    <row r="392" spans="1:15" x14ac:dyDescent="0.25">
      <c r="A392" s="4"/>
      <c r="B392" s="4" t="str">
        <f ca="1">IFERROR(_xludf.XLOOKUP(A392,Pracownicy!$A$2:$A$501,Pracownicy!$B$2:$B$501),"")</f>
        <v/>
      </c>
      <c r="C392" s="4"/>
      <c r="D392" s="4" t="str">
        <f ca="1">IFERROR(_xludf.XLOOKUP(C392,Milestones!$A$2:$A$501,Milestones!$B$2:$B$501),"")</f>
        <v/>
      </c>
      <c r="E392" s="4" t="str">
        <f ca="1">IFERROR(_xludf.XLOOKUP(D392,Projekty!$A$2:$A$501,Projekty!$B$2:$B$501),"")</f>
        <v/>
      </c>
      <c r="F392" s="4" t="str">
        <f ca="1">IFERROR(_xludf.XLOOKUP(C392,Milestones!$A$2:$A$501,Milestones!$C$2:$C$501),"")</f>
        <v/>
      </c>
      <c r="G392" s="4" t="str">
        <f ca="1">IFERROR(_xludf.XLOOKUP(C392,Milestones!$A$2:$A$501,Milestones!$F$2:$F$501),"")</f>
        <v/>
      </c>
      <c r="H392" s="4" t="str">
        <f ca="1">IFERROR(_xludf.XLOOKUP(C392,Milestones!$A$2:$A$501,Milestones!$M$2:$M$501),"")</f>
        <v/>
      </c>
      <c r="I392" s="4" t="str">
        <f t="shared" ca="1" si="24"/>
        <v/>
      </c>
      <c r="J392" s="4"/>
      <c r="K392" s="4" t="str">
        <f ca="1">IFERROR(_xludf.XLOOKUP(A392,Pracownicy!$A$2:$A$501,Pracownicy!$F$2:$F$501),"")</f>
        <v/>
      </c>
      <c r="L392" s="4"/>
      <c r="M392" s="4" t="str">
        <f t="shared" ca="1" si="25"/>
        <v/>
      </c>
      <c r="N392" s="4" t="str">
        <f t="shared" si="26"/>
        <v/>
      </c>
      <c r="O392" s="4" t="str">
        <f t="shared" ca="1" si="27"/>
        <v/>
      </c>
    </row>
    <row r="393" spans="1:15" x14ac:dyDescent="0.25">
      <c r="A393" s="4"/>
      <c r="B393" s="4" t="str">
        <f ca="1">IFERROR(_xludf.XLOOKUP(A393,Pracownicy!$A$2:$A$501,Pracownicy!$B$2:$B$501),"")</f>
        <v/>
      </c>
      <c r="C393" s="4"/>
      <c r="D393" s="4" t="str">
        <f ca="1">IFERROR(_xludf.XLOOKUP(C393,Milestones!$A$2:$A$501,Milestones!$B$2:$B$501),"")</f>
        <v/>
      </c>
      <c r="E393" s="4" t="str">
        <f ca="1">IFERROR(_xludf.XLOOKUP(D393,Projekty!$A$2:$A$501,Projekty!$B$2:$B$501),"")</f>
        <v/>
      </c>
      <c r="F393" s="4" t="str">
        <f ca="1">IFERROR(_xludf.XLOOKUP(C393,Milestones!$A$2:$A$501,Milestones!$C$2:$C$501),"")</f>
        <v/>
      </c>
      <c r="G393" s="4" t="str">
        <f ca="1">IFERROR(_xludf.XLOOKUP(C393,Milestones!$A$2:$A$501,Milestones!$F$2:$F$501),"")</f>
        <v/>
      </c>
      <c r="H393" s="4" t="str">
        <f ca="1">IFERROR(_xludf.XLOOKUP(C393,Milestones!$A$2:$A$501,Milestones!$M$2:$M$501),"")</f>
        <v/>
      </c>
      <c r="I393" s="4" t="str">
        <f t="shared" ca="1" si="24"/>
        <v/>
      </c>
      <c r="J393" s="4"/>
      <c r="K393" s="4" t="str">
        <f ca="1">IFERROR(_xludf.XLOOKUP(A393,Pracownicy!$A$2:$A$501,Pracownicy!$F$2:$F$501),"")</f>
        <v/>
      </c>
      <c r="L393" s="4"/>
      <c r="M393" s="4" t="str">
        <f t="shared" ca="1" si="25"/>
        <v/>
      </c>
      <c r="N393" s="4" t="str">
        <f t="shared" si="26"/>
        <v/>
      </c>
      <c r="O393" s="4" t="str">
        <f t="shared" ca="1" si="27"/>
        <v/>
      </c>
    </row>
    <row r="394" spans="1:15" x14ac:dyDescent="0.25">
      <c r="A394" s="4"/>
      <c r="B394" s="4" t="str">
        <f ca="1">IFERROR(_xludf.XLOOKUP(A394,Pracownicy!$A$2:$A$501,Pracownicy!$B$2:$B$501),"")</f>
        <v/>
      </c>
      <c r="C394" s="4"/>
      <c r="D394" s="4" t="str">
        <f ca="1">IFERROR(_xludf.XLOOKUP(C394,Milestones!$A$2:$A$501,Milestones!$B$2:$B$501),"")</f>
        <v/>
      </c>
      <c r="E394" s="4" t="str">
        <f ca="1">IFERROR(_xludf.XLOOKUP(D394,Projekty!$A$2:$A$501,Projekty!$B$2:$B$501),"")</f>
        <v/>
      </c>
      <c r="F394" s="4" t="str">
        <f ca="1">IFERROR(_xludf.XLOOKUP(C394,Milestones!$A$2:$A$501,Milestones!$C$2:$C$501),"")</f>
        <v/>
      </c>
      <c r="G394" s="4" t="str">
        <f ca="1">IFERROR(_xludf.XLOOKUP(C394,Milestones!$A$2:$A$501,Milestones!$F$2:$F$501),"")</f>
        <v/>
      </c>
      <c r="H394" s="4" t="str">
        <f ca="1">IFERROR(_xludf.XLOOKUP(C394,Milestones!$A$2:$A$501,Milestones!$M$2:$M$501),"")</f>
        <v/>
      </c>
      <c r="I394" s="4" t="str">
        <f t="shared" ca="1" si="24"/>
        <v/>
      </c>
      <c r="J394" s="4"/>
      <c r="K394" s="4" t="str">
        <f ca="1">IFERROR(_xludf.XLOOKUP(A394,Pracownicy!$A$2:$A$501,Pracownicy!$F$2:$F$501),"")</f>
        <v/>
      </c>
      <c r="L394" s="4"/>
      <c r="M394" s="4" t="str">
        <f t="shared" ca="1" si="25"/>
        <v/>
      </c>
      <c r="N394" s="4" t="str">
        <f t="shared" si="26"/>
        <v/>
      </c>
      <c r="O394" s="4" t="str">
        <f t="shared" ca="1" si="27"/>
        <v/>
      </c>
    </row>
    <row r="395" spans="1:15" x14ac:dyDescent="0.25">
      <c r="A395" s="4"/>
      <c r="B395" s="4" t="str">
        <f ca="1">IFERROR(_xludf.XLOOKUP(A395,Pracownicy!$A$2:$A$501,Pracownicy!$B$2:$B$501),"")</f>
        <v/>
      </c>
      <c r="C395" s="4"/>
      <c r="D395" s="4" t="str">
        <f ca="1">IFERROR(_xludf.XLOOKUP(C395,Milestones!$A$2:$A$501,Milestones!$B$2:$B$501),"")</f>
        <v/>
      </c>
      <c r="E395" s="4" t="str">
        <f ca="1">IFERROR(_xludf.XLOOKUP(D395,Projekty!$A$2:$A$501,Projekty!$B$2:$B$501),"")</f>
        <v/>
      </c>
      <c r="F395" s="4" t="str">
        <f ca="1">IFERROR(_xludf.XLOOKUP(C395,Milestones!$A$2:$A$501,Milestones!$C$2:$C$501),"")</f>
        <v/>
      </c>
      <c r="G395" s="4" t="str">
        <f ca="1">IFERROR(_xludf.XLOOKUP(C395,Milestones!$A$2:$A$501,Milestones!$F$2:$F$501),"")</f>
        <v/>
      </c>
      <c r="H395" s="4" t="str">
        <f ca="1">IFERROR(_xludf.XLOOKUP(C395,Milestones!$A$2:$A$501,Milestones!$M$2:$M$501),"")</f>
        <v/>
      </c>
      <c r="I395" s="4" t="str">
        <f t="shared" ca="1" si="24"/>
        <v/>
      </c>
      <c r="J395" s="4"/>
      <c r="K395" s="4" t="str">
        <f ca="1">IFERROR(_xludf.XLOOKUP(A395,Pracownicy!$A$2:$A$501,Pracownicy!$F$2:$F$501),"")</f>
        <v/>
      </c>
      <c r="L395" s="4"/>
      <c r="M395" s="4" t="str">
        <f t="shared" ca="1" si="25"/>
        <v/>
      </c>
      <c r="N395" s="4" t="str">
        <f t="shared" si="26"/>
        <v/>
      </c>
      <c r="O395" s="4" t="str">
        <f t="shared" ca="1" si="27"/>
        <v/>
      </c>
    </row>
    <row r="396" spans="1:15" x14ac:dyDescent="0.25">
      <c r="A396" s="4"/>
      <c r="B396" s="4" t="str">
        <f ca="1">IFERROR(_xludf.XLOOKUP(A396,Pracownicy!$A$2:$A$501,Pracownicy!$B$2:$B$501),"")</f>
        <v/>
      </c>
      <c r="C396" s="4"/>
      <c r="D396" s="4" t="str">
        <f ca="1">IFERROR(_xludf.XLOOKUP(C396,Milestones!$A$2:$A$501,Milestones!$B$2:$B$501),"")</f>
        <v/>
      </c>
      <c r="E396" s="4" t="str">
        <f ca="1">IFERROR(_xludf.XLOOKUP(D396,Projekty!$A$2:$A$501,Projekty!$B$2:$B$501),"")</f>
        <v/>
      </c>
      <c r="F396" s="4" t="str">
        <f ca="1">IFERROR(_xludf.XLOOKUP(C396,Milestones!$A$2:$A$501,Milestones!$C$2:$C$501),"")</f>
        <v/>
      </c>
      <c r="G396" s="4" t="str">
        <f ca="1">IFERROR(_xludf.XLOOKUP(C396,Milestones!$A$2:$A$501,Milestones!$F$2:$F$501),"")</f>
        <v/>
      </c>
      <c r="H396" s="4" t="str">
        <f ca="1">IFERROR(_xludf.XLOOKUP(C396,Milestones!$A$2:$A$501,Milestones!$M$2:$M$501),"")</f>
        <v/>
      </c>
      <c r="I396" s="4" t="str">
        <f t="shared" ca="1" si="24"/>
        <v/>
      </c>
      <c r="J396" s="4"/>
      <c r="K396" s="4" t="str">
        <f ca="1">IFERROR(_xludf.XLOOKUP(A396,Pracownicy!$A$2:$A$501,Pracownicy!$F$2:$F$501),"")</f>
        <v/>
      </c>
      <c r="L396" s="4"/>
      <c r="M396" s="4" t="str">
        <f t="shared" ca="1" si="25"/>
        <v/>
      </c>
      <c r="N396" s="4" t="str">
        <f t="shared" si="26"/>
        <v/>
      </c>
      <c r="O396" s="4" t="str">
        <f t="shared" ca="1" si="27"/>
        <v/>
      </c>
    </row>
    <row r="397" spans="1:15" x14ac:dyDescent="0.25">
      <c r="A397" s="4"/>
      <c r="B397" s="4" t="str">
        <f ca="1">IFERROR(_xludf.XLOOKUP(A397,Pracownicy!$A$2:$A$501,Pracownicy!$B$2:$B$501),"")</f>
        <v/>
      </c>
      <c r="C397" s="4"/>
      <c r="D397" s="4" t="str">
        <f ca="1">IFERROR(_xludf.XLOOKUP(C397,Milestones!$A$2:$A$501,Milestones!$B$2:$B$501),"")</f>
        <v/>
      </c>
      <c r="E397" s="4" t="str">
        <f ca="1">IFERROR(_xludf.XLOOKUP(D397,Projekty!$A$2:$A$501,Projekty!$B$2:$B$501),"")</f>
        <v/>
      </c>
      <c r="F397" s="4" t="str">
        <f ca="1">IFERROR(_xludf.XLOOKUP(C397,Milestones!$A$2:$A$501,Milestones!$C$2:$C$501),"")</f>
        <v/>
      </c>
      <c r="G397" s="4" t="str">
        <f ca="1">IFERROR(_xludf.XLOOKUP(C397,Milestones!$A$2:$A$501,Milestones!$F$2:$F$501),"")</f>
        <v/>
      </c>
      <c r="H397" s="4" t="str">
        <f ca="1">IFERROR(_xludf.XLOOKUP(C397,Milestones!$A$2:$A$501,Milestones!$M$2:$M$501),"")</f>
        <v/>
      </c>
      <c r="I397" s="4" t="str">
        <f t="shared" ca="1" si="24"/>
        <v/>
      </c>
      <c r="J397" s="4"/>
      <c r="K397" s="4" t="str">
        <f ca="1">IFERROR(_xludf.XLOOKUP(A397,Pracownicy!$A$2:$A$501,Pracownicy!$F$2:$F$501),"")</f>
        <v/>
      </c>
      <c r="L397" s="4"/>
      <c r="M397" s="4" t="str">
        <f t="shared" ca="1" si="25"/>
        <v/>
      </c>
      <c r="N397" s="4" t="str">
        <f t="shared" si="26"/>
        <v/>
      </c>
      <c r="O397" s="4" t="str">
        <f t="shared" ca="1" si="27"/>
        <v/>
      </c>
    </row>
    <row r="398" spans="1:15" x14ac:dyDescent="0.25">
      <c r="A398" s="4"/>
      <c r="B398" s="4" t="str">
        <f ca="1">IFERROR(_xludf.XLOOKUP(A398,Pracownicy!$A$2:$A$501,Pracownicy!$B$2:$B$501),"")</f>
        <v/>
      </c>
      <c r="C398" s="4"/>
      <c r="D398" s="4" t="str">
        <f ca="1">IFERROR(_xludf.XLOOKUP(C398,Milestones!$A$2:$A$501,Milestones!$B$2:$B$501),"")</f>
        <v/>
      </c>
      <c r="E398" s="4" t="str">
        <f ca="1">IFERROR(_xludf.XLOOKUP(D398,Projekty!$A$2:$A$501,Projekty!$B$2:$B$501),"")</f>
        <v/>
      </c>
      <c r="F398" s="4" t="str">
        <f ca="1">IFERROR(_xludf.XLOOKUP(C398,Milestones!$A$2:$A$501,Milestones!$C$2:$C$501),"")</f>
        <v/>
      </c>
      <c r="G398" s="4" t="str">
        <f ca="1">IFERROR(_xludf.XLOOKUP(C398,Milestones!$A$2:$A$501,Milestones!$F$2:$F$501),"")</f>
        <v/>
      </c>
      <c r="H398" s="4" t="str">
        <f ca="1">IFERROR(_xludf.XLOOKUP(C398,Milestones!$A$2:$A$501,Milestones!$M$2:$M$501),"")</f>
        <v/>
      </c>
      <c r="I398" s="4" t="str">
        <f t="shared" ca="1" si="24"/>
        <v/>
      </c>
      <c r="J398" s="4"/>
      <c r="K398" s="4" t="str">
        <f ca="1">IFERROR(_xludf.XLOOKUP(A398,Pracownicy!$A$2:$A$501,Pracownicy!$F$2:$F$501),"")</f>
        <v/>
      </c>
      <c r="L398" s="4"/>
      <c r="M398" s="4" t="str">
        <f t="shared" ca="1" si="25"/>
        <v/>
      </c>
      <c r="N398" s="4" t="str">
        <f t="shared" si="26"/>
        <v/>
      </c>
      <c r="O398" s="4" t="str">
        <f t="shared" ca="1" si="27"/>
        <v/>
      </c>
    </row>
    <row r="399" spans="1:15" x14ac:dyDescent="0.25">
      <c r="A399" s="4"/>
      <c r="B399" s="4" t="str">
        <f ca="1">IFERROR(_xludf.XLOOKUP(A399,Pracownicy!$A$2:$A$501,Pracownicy!$B$2:$B$501),"")</f>
        <v/>
      </c>
      <c r="C399" s="4"/>
      <c r="D399" s="4" t="str">
        <f ca="1">IFERROR(_xludf.XLOOKUP(C399,Milestones!$A$2:$A$501,Milestones!$B$2:$B$501),"")</f>
        <v/>
      </c>
      <c r="E399" s="4" t="str">
        <f ca="1">IFERROR(_xludf.XLOOKUP(D399,Projekty!$A$2:$A$501,Projekty!$B$2:$B$501),"")</f>
        <v/>
      </c>
      <c r="F399" s="4" t="str">
        <f ca="1">IFERROR(_xludf.XLOOKUP(C399,Milestones!$A$2:$A$501,Milestones!$C$2:$C$501),"")</f>
        <v/>
      </c>
      <c r="G399" s="4" t="str">
        <f ca="1">IFERROR(_xludf.XLOOKUP(C399,Milestones!$A$2:$A$501,Milestones!$F$2:$F$501),"")</f>
        <v/>
      </c>
      <c r="H399" s="4" t="str">
        <f ca="1">IFERROR(_xludf.XLOOKUP(C399,Milestones!$A$2:$A$501,Milestones!$M$2:$M$501),"")</f>
        <v/>
      </c>
      <c r="I399" s="4" t="str">
        <f t="shared" ca="1" si="24"/>
        <v/>
      </c>
      <c r="J399" s="4"/>
      <c r="K399" s="4" t="str">
        <f ca="1">IFERROR(_xludf.XLOOKUP(A399,Pracownicy!$A$2:$A$501,Pracownicy!$F$2:$F$501),"")</f>
        <v/>
      </c>
      <c r="L399" s="4"/>
      <c r="M399" s="4" t="str">
        <f t="shared" ca="1" si="25"/>
        <v/>
      </c>
      <c r="N399" s="4" t="str">
        <f t="shared" si="26"/>
        <v/>
      </c>
      <c r="O399" s="4" t="str">
        <f t="shared" ca="1" si="27"/>
        <v/>
      </c>
    </row>
    <row r="400" spans="1:15" x14ac:dyDescent="0.25">
      <c r="A400" s="4"/>
      <c r="B400" s="4" t="str">
        <f ca="1">IFERROR(_xludf.XLOOKUP(A400,Pracownicy!$A$2:$A$501,Pracownicy!$B$2:$B$501),"")</f>
        <v/>
      </c>
      <c r="C400" s="4"/>
      <c r="D400" s="4" t="str">
        <f ca="1">IFERROR(_xludf.XLOOKUP(C400,Milestones!$A$2:$A$501,Milestones!$B$2:$B$501),"")</f>
        <v/>
      </c>
      <c r="E400" s="4" t="str">
        <f ca="1">IFERROR(_xludf.XLOOKUP(D400,Projekty!$A$2:$A$501,Projekty!$B$2:$B$501),"")</f>
        <v/>
      </c>
      <c r="F400" s="4" t="str">
        <f ca="1">IFERROR(_xludf.XLOOKUP(C400,Milestones!$A$2:$A$501,Milestones!$C$2:$C$501),"")</f>
        <v/>
      </c>
      <c r="G400" s="4" t="str">
        <f ca="1">IFERROR(_xludf.XLOOKUP(C400,Milestones!$A$2:$A$501,Milestones!$F$2:$F$501),"")</f>
        <v/>
      </c>
      <c r="H400" s="4" t="str">
        <f ca="1">IFERROR(_xludf.XLOOKUP(C400,Milestones!$A$2:$A$501,Milestones!$M$2:$M$501),"")</f>
        <v/>
      </c>
      <c r="I400" s="4" t="str">
        <f t="shared" ca="1" si="24"/>
        <v/>
      </c>
      <c r="J400" s="4"/>
      <c r="K400" s="4" t="str">
        <f ca="1">IFERROR(_xludf.XLOOKUP(A400,Pracownicy!$A$2:$A$501,Pracownicy!$F$2:$F$501),"")</f>
        <v/>
      </c>
      <c r="L400" s="4"/>
      <c r="M400" s="4" t="str">
        <f t="shared" ca="1" si="25"/>
        <v/>
      </c>
      <c r="N400" s="4" t="str">
        <f t="shared" si="26"/>
        <v/>
      </c>
      <c r="O400" s="4" t="str">
        <f t="shared" ca="1" si="27"/>
        <v/>
      </c>
    </row>
    <row r="401" spans="1:15" x14ac:dyDescent="0.25">
      <c r="A401" s="4"/>
      <c r="B401" s="4" t="str">
        <f ca="1">IFERROR(_xludf.XLOOKUP(A401,Pracownicy!$A$2:$A$501,Pracownicy!$B$2:$B$501),"")</f>
        <v/>
      </c>
      <c r="C401" s="4"/>
      <c r="D401" s="4" t="str">
        <f ca="1">IFERROR(_xludf.XLOOKUP(C401,Milestones!$A$2:$A$501,Milestones!$B$2:$B$501),"")</f>
        <v/>
      </c>
      <c r="E401" s="4" t="str">
        <f ca="1">IFERROR(_xludf.XLOOKUP(D401,Projekty!$A$2:$A$501,Projekty!$B$2:$B$501),"")</f>
        <v/>
      </c>
      <c r="F401" s="4" t="str">
        <f ca="1">IFERROR(_xludf.XLOOKUP(C401,Milestones!$A$2:$A$501,Milestones!$C$2:$C$501),"")</f>
        <v/>
      </c>
      <c r="G401" s="4" t="str">
        <f ca="1">IFERROR(_xludf.XLOOKUP(C401,Milestones!$A$2:$A$501,Milestones!$F$2:$F$501),"")</f>
        <v/>
      </c>
      <c r="H401" s="4" t="str">
        <f ca="1">IFERROR(_xludf.XLOOKUP(C401,Milestones!$A$2:$A$501,Milestones!$M$2:$M$501),"")</f>
        <v/>
      </c>
      <c r="I401" s="4" t="str">
        <f t="shared" ca="1" si="24"/>
        <v/>
      </c>
      <c r="J401" s="4"/>
      <c r="K401" s="4" t="str">
        <f ca="1">IFERROR(_xludf.XLOOKUP(A401,Pracownicy!$A$2:$A$501,Pracownicy!$F$2:$F$501),"")</f>
        <v/>
      </c>
      <c r="L401" s="4"/>
      <c r="M401" s="4" t="str">
        <f t="shared" ca="1" si="25"/>
        <v/>
      </c>
      <c r="N401" s="4" t="str">
        <f t="shared" si="26"/>
        <v/>
      </c>
      <c r="O401" s="4" t="str">
        <f t="shared" ca="1" si="27"/>
        <v/>
      </c>
    </row>
    <row r="402" spans="1:15" x14ac:dyDescent="0.25">
      <c r="A402" s="4"/>
      <c r="B402" s="4" t="str">
        <f ca="1">IFERROR(_xludf.XLOOKUP(A402,Pracownicy!$A$2:$A$501,Pracownicy!$B$2:$B$501),"")</f>
        <v/>
      </c>
      <c r="C402" s="4"/>
      <c r="D402" s="4" t="str">
        <f ca="1">IFERROR(_xludf.XLOOKUP(C402,Milestones!$A$2:$A$501,Milestones!$B$2:$B$501),"")</f>
        <v/>
      </c>
      <c r="E402" s="4" t="str">
        <f ca="1">IFERROR(_xludf.XLOOKUP(D402,Projekty!$A$2:$A$501,Projekty!$B$2:$B$501),"")</f>
        <v/>
      </c>
      <c r="F402" s="4" t="str">
        <f ca="1">IFERROR(_xludf.XLOOKUP(C402,Milestones!$A$2:$A$501,Milestones!$C$2:$C$501),"")</f>
        <v/>
      </c>
      <c r="G402" s="4" t="str">
        <f ca="1">IFERROR(_xludf.XLOOKUP(C402,Milestones!$A$2:$A$501,Milestones!$F$2:$F$501),"")</f>
        <v/>
      </c>
      <c r="H402" s="4" t="str">
        <f ca="1">IFERROR(_xludf.XLOOKUP(C402,Milestones!$A$2:$A$501,Milestones!$M$2:$M$501),"")</f>
        <v/>
      </c>
      <c r="I402" s="4" t="str">
        <f t="shared" ca="1" si="24"/>
        <v/>
      </c>
      <c r="J402" s="4"/>
      <c r="K402" s="4" t="str">
        <f ca="1">IFERROR(_xludf.XLOOKUP(A402,Pracownicy!$A$2:$A$501,Pracownicy!$F$2:$F$501),"")</f>
        <v/>
      </c>
      <c r="L402" s="4"/>
      <c r="M402" s="4" t="str">
        <f t="shared" ca="1" si="25"/>
        <v/>
      </c>
      <c r="N402" s="4" t="str">
        <f t="shared" si="26"/>
        <v/>
      </c>
      <c r="O402" s="4" t="str">
        <f t="shared" ca="1" si="27"/>
        <v/>
      </c>
    </row>
    <row r="403" spans="1:15" x14ac:dyDescent="0.25">
      <c r="A403" s="4"/>
      <c r="B403" s="4" t="str">
        <f ca="1">IFERROR(_xludf.XLOOKUP(A403,Pracownicy!$A$2:$A$501,Pracownicy!$B$2:$B$501),"")</f>
        <v/>
      </c>
      <c r="C403" s="4"/>
      <c r="D403" s="4" t="str">
        <f ca="1">IFERROR(_xludf.XLOOKUP(C403,Milestones!$A$2:$A$501,Milestones!$B$2:$B$501),"")</f>
        <v/>
      </c>
      <c r="E403" s="4" t="str">
        <f ca="1">IFERROR(_xludf.XLOOKUP(D403,Projekty!$A$2:$A$501,Projekty!$B$2:$B$501),"")</f>
        <v/>
      </c>
      <c r="F403" s="4" t="str">
        <f ca="1">IFERROR(_xludf.XLOOKUP(C403,Milestones!$A$2:$A$501,Milestones!$C$2:$C$501),"")</f>
        <v/>
      </c>
      <c r="G403" s="4" t="str">
        <f ca="1">IFERROR(_xludf.XLOOKUP(C403,Milestones!$A$2:$A$501,Milestones!$F$2:$F$501),"")</f>
        <v/>
      </c>
      <c r="H403" s="4" t="str">
        <f ca="1">IFERROR(_xludf.XLOOKUP(C403,Milestones!$A$2:$A$501,Milestones!$M$2:$M$501),"")</f>
        <v/>
      </c>
      <c r="I403" s="4" t="str">
        <f t="shared" ca="1" si="24"/>
        <v/>
      </c>
      <c r="J403" s="4"/>
      <c r="K403" s="4" t="str">
        <f ca="1">IFERROR(_xludf.XLOOKUP(A403,Pracownicy!$A$2:$A$501,Pracownicy!$F$2:$F$501),"")</f>
        <v/>
      </c>
      <c r="L403" s="4"/>
      <c r="M403" s="4" t="str">
        <f t="shared" ca="1" si="25"/>
        <v/>
      </c>
      <c r="N403" s="4" t="str">
        <f t="shared" si="26"/>
        <v/>
      </c>
      <c r="O403" s="4" t="str">
        <f t="shared" ca="1" si="27"/>
        <v/>
      </c>
    </row>
    <row r="404" spans="1:15" x14ac:dyDescent="0.25">
      <c r="A404" s="4"/>
      <c r="B404" s="4" t="str">
        <f ca="1">IFERROR(_xludf.XLOOKUP(A404,Pracownicy!$A$2:$A$501,Pracownicy!$B$2:$B$501),"")</f>
        <v/>
      </c>
      <c r="C404" s="4"/>
      <c r="D404" s="4" t="str">
        <f ca="1">IFERROR(_xludf.XLOOKUP(C404,Milestones!$A$2:$A$501,Milestones!$B$2:$B$501),"")</f>
        <v/>
      </c>
      <c r="E404" s="4" t="str">
        <f ca="1">IFERROR(_xludf.XLOOKUP(D404,Projekty!$A$2:$A$501,Projekty!$B$2:$B$501),"")</f>
        <v/>
      </c>
      <c r="F404" s="4" t="str">
        <f ca="1">IFERROR(_xludf.XLOOKUP(C404,Milestones!$A$2:$A$501,Milestones!$C$2:$C$501),"")</f>
        <v/>
      </c>
      <c r="G404" s="4" t="str">
        <f ca="1">IFERROR(_xludf.XLOOKUP(C404,Milestones!$A$2:$A$501,Milestones!$F$2:$F$501),"")</f>
        <v/>
      </c>
      <c r="H404" s="4" t="str">
        <f ca="1">IFERROR(_xludf.XLOOKUP(C404,Milestones!$A$2:$A$501,Milestones!$M$2:$M$501),"")</f>
        <v/>
      </c>
      <c r="I404" s="4" t="str">
        <f t="shared" ca="1" si="24"/>
        <v/>
      </c>
      <c r="J404" s="4"/>
      <c r="K404" s="4" t="str">
        <f ca="1">IFERROR(_xludf.XLOOKUP(A404,Pracownicy!$A$2:$A$501,Pracownicy!$F$2:$F$501),"")</f>
        <v/>
      </c>
      <c r="L404" s="4"/>
      <c r="M404" s="4" t="str">
        <f t="shared" ca="1" si="25"/>
        <v/>
      </c>
      <c r="N404" s="4" t="str">
        <f t="shared" si="26"/>
        <v/>
      </c>
      <c r="O404" s="4" t="str">
        <f t="shared" ca="1" si="27"/>
        <v/>
      </c>
    </row>
    <row r="405" spans="1:15" x14ac:dyDescent="0.25">
      <c r="A405" s="4"/>
      <c r="B405" s="4" t="str">
        <f ca="1">IFERROR(_xludf.XLOOKUP(A405,Pracownicy!$A$2:$A$501,Pracownicy!$B$2:$B$501),"")</f>
        <v/>
      </c>
      <c r="C405" s="4"/>
      <c r="D405" s="4" t="str">
        <f ca="1">IFERROR(_xludf.XLOOKUP(C405,Milestones!$A$2:$A$501,Milestones!$B$2:$B$501),"")</f>
        <v/>
      </c>
      <c r="E405" s="4" t="str">
        <f ca="1">IFERROR(_xludf.XLOOKUP(D405,Projekty!$A$2:$A$501,Projekty!$B$2:$B$501),"")</f>
        <v/>
      </c>
      <c r="F405" s="4" t="str">
        <f ca="1">IFERROR(_xludf.XLOOKUP(C405,Milestones!$A$2:$A$501,Milestones!$C$2:$C$501),"")</f>
        <v/>
      </c>
      <c r="G405" s="4" t="str">
        <f ca="1">IFERROR(_xludf.XLOOKUP(C405,Milestones!$A$2:$A$501,Milestones!$F$2:$F$501),"")</f>
        <v/>
      </c>
      <c r="H405" s="4" t="str">
        <f ca="1">IFERROR(_xludf.XLOOKUP(C405,Milestones!$A$2:$A$501,Milestones!$M$2:$M$501),"")</f>
        <v/>
      </c>
      <c r="I405" s="4" t="str">
        <f t="shared" ca="1" si="24"/>
        <v/>
      </c>
      <c r="J405" s="4"/>
      <c r="K405" s="4" t="str">
        <f ca="1">IFERROR(_xludf.XLOOKUP(A405,Pracownicy!$A$2:$A$501,Pracownicy!$F$2:$F$501),"")</f>
        <v/>
      </c>
      <c r="L405" s="4"/>
      <c r="M405" s="4" t="str">
        <f t="shared" ca="1" si="25"/>
        <v/>
      </c>
      <c r="N405" s="4" t="str">
        <f t="shared" si="26"/>
        <v/>
      </c>
      <c r="O405" s="4" t="str">
        <f t="shared" ca="1" si="27"/>
        <v/>
      </c>
    </row>
    <row r="406" spans="1:15" x14ac:dyDescent="0.25">
      <c r="A406" s="4"/>
      <c r="B406" s="4" t="str">
        <f ca="1">IFERROR(_xludf.XLOOKUP(A406,Pracownicy!$A$2:$A$501,Pracownicy!$B$2:$B$501),"")</f>
        <v/>
      </c>
      <c r="C406" s="4"/>
      <c r="D406" s="4" t="str">
        <f ca="1">IFERROR(_xludf.XLOOKUP(C406,Milestones!$A$2:$A$501,Milestones!$B$2:$B$501),"")</f>
        <v/>
      </c>
      <c r="E406" s="4" t="str">
        <f ca="1">IFERROR(_xludf.XLOOKUP(D406,Projekty!$A$2:$A$501,Projekty!$B$2:$B$501),"")</f>
        <v/>
      </c>
      <c r="F406" s="4" t="str">
        <f ca="1">IFERROR(_xludf.XLOOKUP(C406,Milestones!$A$2:$A$501,Milestones!$C$2:$C$501),"")</f>
        <v/>
      </c>
      <c r="G406" s="4" t="str">
        <f ca="1">IFERROR(_xludf.XLOOKUP(C406,Milestones!$A$2:$A$501,Milestones!$F$2:$F$501),"")</f>
        <v/>
      </c>
      <c r="H406" s="4" t="str">
        <f ca="1">IFERROR(_xludf.XLOOKUP(C406,Milestones!$A$2:$A$501,Milestones!$M$2:$M$501),"")</f>
        <v/>
      </c>
      <c r="I406" s="4" t="str">
        <f t="shared" ca="1" si="24"/>
        <v/>
      </c>
      <c r="J406" s="4"/>
      <c r="K406" s="4" t="str">
        <f ca="1">IFERROR(_xludf.XLOOKUP(A406,Pracownicy!$A$2:$A$501,Pracownicy!$F$2:$F$501),"")</f>
        <v/>
      </c>
      <c r="L406" s="4"/>
      <c r="M406" s="4" t="str">
        <f t="shared" ca="1" si="25"/>
        <v/>
      </c>
      <c r="N406" s="4" t="str">
        <f t="shared" si="26"/>
        <v/>
      </c>
      <c r="O406" s="4" t="str">
        <f t="shared" ca="1" si="27"/>
        <v/>
      </c>
    </row>
    <row r="407" spans="1:15" x14ac:dyDescent="0.25">
      <c r="A407" s="4"/>
      <c r="B407" s="4" t="str">
        <f ca="1">IFERROR(_xludf.XLOOKUP(A407,Pracownicy!$A$2:$A$501,Pracownicy!$B$2:$B$501),"")</f>
        <v/>
      </c>
      <c r="C407" s="4"/>
      <c r="D407" s="4" t="str">
        <f ca="1">IFERROR(_xludf.XLOOKUP(C407,Milestones!$A$2:$A$501,Milestones!$B$2:$B$501),"")</f>
        <v/>
      </c>
      <c r="E407" s="4" t="str">
        <f ca="1">IFERROR(_xludf.XLOOKUP(D407,Projekty!$A$2:$A$501,Projekty!$B$2:$B$501),"")</f>
        <v/>
      </c>
      <c r="F407" s="4" t="str">
        <f ca="1">IFERROR(_xludf.XLOOKUP(C407,Milestones!$A$2:$A$501,Milestones!$C$2:$C$501),"")</f>
        <v/>
      </c>
      <c r="G407" s="4" t="str">
        <f ca="1">IFERROR(_xludf.XLOOKUP(C407,Milestones!$A$2:$A$501,Milestones!$F$2:$F$501),"")</f>
        <v/>
      </c>
      <c r="H407" s="4" t="str">
        <f ca="1">IFERROR(_xludf.XLOOKUP(C407,Milestones!$A$2:$A$501,Milestones!$M$2:$M$501),"")</f>
        <v/>
      </c>
      <c r="I407" s="4" t="str">
        <f t="shared" ca="1" si="24"/>
        <v/>
      </c>
      <c r="J407" s="4"/>
      <c r="K407" s="4" t="str">
        <f ca="1">IFERROR(_xludf.XLOOKUP(A407,Pracownicy!$A$2:$A$501,Pracownicy!$F$2:$F$501),"")</f>
        <v/>
      </c>
      <c r="L407" s="4"/>
      <c r="M407" s="4" t="str">
        <f t="shared" ca="1" si="25"/>
        <v/>
      </c>
      <c r="N407" s="4" t="str">
        <f t="shared" si="26"/>
        <v/>
      </c>
      <c r="O407" s="4" t="str">
        <f t="shared" ca="1" si="27"/>
        <v/>
      </c>
    </row>
    <row r="408" spans="1:15" x14ac:dyDescent="0.25">
      <c r="A408" s="4"/>
      <c r="B408" s="4" t="str">
        <f ca="1">IFERROR(_xludf.XLOOKUP(A408,Pracownicy!$A$2:$A$501,Pracownicy!$B$2:$B$501),"")</f>
        <v/>
      </c>
      <c r="C408" s="4"/>
      <c r="D408" s="4" t="str">
        <f ca="1">IFERROR(_xludf.XLOOKUP(C408,Milestones!$A$2:$A$501,Milestones!$B$2:$B$501),"")</f>
        <v/>
      </c>
      <c r="E408" s="4" t="str">
        <f ca="1">IFERROR(_xludf.XLOOKUP(D408,Projekty!$A$2:$A$501,Projekty!$B$2:$B$501),"")</f>
        <v/>
      </c>
      <c r="F408" s="4" t="str">
        <f ca="1">IFERROR(_xludf.XLOOKUP(C408,Milestones!$A$2:$A$501,Milestones!$C$2:$C$501),"")</f>
        <v/>
      </c>
      <c r="G408" s="4" t="str">
        <f ca="1">IFERROR(_xludf.XLOOKUP(C408,Milestones!$A$2:$A$501,Milestones!$F$2:$F$501),"")</f>
        <v/>
      </c>
      <c r="H408" s="4" t="str">
        <f ca="1">IFERROR(_xludf.XLOOKUP(C408,Milestones!$A$2:$A$501,Milestones!$M$2:$M$501),"")</f>
        <v/>
      </c>
      <c r="I408" s="4" t="str">
        <f t="shared" ca="1" si="24"/>
        <v/>
      </c>
      <c r="J408" s="4"/>
      <c r="K408" s="4" t="str">
        <f ca="1">IFERROR(_xludf.XLOOKUP(A408,Pracownicy!$A$2:$A$501,Pracownicy!$F$2:$F$501),"")</f>
        <v/>
      </c>
      <c r="L408" s="4"/>
      <c r="M408" s="4" t="str">
        <f t="shared" ca="1" si="25"/>
        <v/>
      </c>
      <c r="N408" s="4" t="str">
        <f t="shared" si="26"/>
        <v/>
      </c>
      <c r="O408" s="4" t="str">
        <f t="shared" ca="1" si="27"/>
        <v/>
      </c>
    </row>
    <row r="409" spans="1:15" x14ac:dyDescent="0.25">
      <c r="A409" s="4"/>
      <c r="B409" s="4" t="str">
        <f ca="1">IFERROR(_xludf.XLOOKUP(A409,Pracownicy!$A$2:$A$501,Pracownicy!$B$2:$B$501),"")</f>
        <v/>
      </c>
      <c r="C409" s="4"/>
      <c r="D409" s="4" t="str">
        <f ca="1">IFERROR(_xludf.XLOOKUP(C409,Milestones!$A$2:$A$501,Milestones!$B$2:$B$501),"")</f>
        <v/>
      </c>
      <c r="E409" s="4" t="str">
        <f ca="1">IFERROR(_xludf.XLOOKUP(D409,Projekty!$A$2:$A$501,Projekty!$B$2:$B$501),"")</f>
        <v/>
      </c>
      <c r="F409" s="4" t="str">
        <f ca="1">IFERROR(_xludf.XLOOKUP(C409,Milestones!$A$2:$A$501,Milestones!$C$2:$C$501),"")</f>
        <v/>
      </c>
      <c r="G409" s="4" t="str">
        <f ca="1">IFERROR(_xludf.XLOOKUP(C409,Milestones!$A$2:$A$501,Milestones!$F$2:$F$501),"")</f>
        <v/>
      </c>
      <c r="H409" s="4" t="str">
        <f ca="1">IFERROR(_xludf.XLOOKUP(C409,Milestones!$A$2:$A$501,Milestones!$M$2:$M$501),"")</f>
        <v/>
      </c>
      <c r="I409" s="4" t="str">
        <f t="shared" ca="1" si="24"/>
        <v/>
      </c>
      <c r="J409" s="4"/>
      <c r="K409" s="4" t="str">
        <f ca="1">IFERROR(_xludf.XLOOKUP(A409,Pracownicy!$A$2:$A$501,Pracownicy!$F$2:$F$501),"")</f>
        <v/>
      </c>
      <c r="L409" s="4"/>
      <c r="M409" s="4" t="str">
        <f t="shared" ca="1" si="25"/>
        <v/>
      </c>
      <c r="N409" s="4" t="str">
        <f t="shared" si="26"/>
        <v/>
      </c>
      <c r="O409" s="4" t="str">
        <f t="shared" ca="1" si="27"/>
        <v/>
      </c>
    </row>
    <row r="410" spans="1:15" x14ac:dyDescent="0.25">
      <c r="A410" s="4"/>
      <c r="B410" s="4" t="str">
        <f ca="1">IFERROR(_xludf.XLOOKUP(A410,Pracownicy!$A$2:$A$501,Pracownicy!$B$2:$B$501),"")</f>
        <v/>
      </c>
      <c r="C410" s="4"/>
      <c r="D410" s="4" t="str">
        <f ca="1">IFERROR(_xludf.XLOOKUP(C410,Milestones!$A$2:$A$501,Milestones!$B$2:$B$501),"")</f>
        <v/>
      </c>
      <c r="E410" s="4" t="str">
        <f ca="1">IFERROR(_xludf.XLOOKUP(D410,Projekty!$A$2:$A$501,Projekty!$B$2:$B$501),"")</f>
        <v/>
      </c>
      <c r="F410" s="4" t="str">
        <f ca="1">IFERROR(_xludf.XLOOKUP(C410,Milestones!$A$2:$A$501,Milestones!$C$2:$C$501),"")</f>
        <v/>
      </c>
      <c r="G410" s="4" t="str">
        <f ca="1">IFERROR(_xludf.XLOOKUP(C410,Milestones!$A$2:$A$501,Milestones!$F$2:$F$501),"")</f>
        <v/>
      </c>
      <c r="H410" s="4" t="str">
        <f ca="1">IFERROR(_xludf.XLOOKUP(C410,Milestones!$A$2:$A$501,Milestones!$M$2:$M$501),"")</f>
        <v/>
      </c>
      <c r="I410" s="4" t="str">
        <f t="shared" ca="1" si="24"/>
        <v/>
      </c>
      <c r="J410" s="4"/>
      <c r="K410" s="4" t="str">
        <f ca="1">IFERROR(_xludf.XLOOKUP(A410,Pracownicy!$A$2:$A$501,Pracownicy!$F$2:$F$501),"")</f>
        <v/>
      </c>
      <c r="L410" s="4"/>
      <c r="M410" s="4" t="str">
        <f t="shared" ca="1" si="25"/>
        <v/>
      </c>
      <c r="N410" s="4" t="str">
        <f t="shared" si="26"/>
        <v/>
      </c>
      <c r="O410" s="4" t="str">
        <f t="shared" ca="1" si="27"/>
        <v/>
      </c>
    </row>
    <row r="411" spans="1:15" x14ac:dyDescent="0.25">
      <c r="A411" s="4"/>
      <c r="B411" s="4" t="str">
        <f ca="1">IFERROR(_xludf.XLOOKUP(A411,Pracownicy!$A$2:$A$501,Pracownicy!$B$2:$B$501),"")</f>
        <v/>
      </c>
      <c r="C411" s="4"/>
      <c r="D411" s="4" t="str">
        <f ca="1">IFERROR(_xludf.XLOOKUP(C411,Milestones!$A$2:$A$501,Milestones!$B$2:$B$501),"")</f>
        <v/>
      </c>
      <c r="E411" s="4" t="str">
        <f ca="1">IFERROR(_xludf.XLOOKUP(D411,Projekty!$A$2:$A$501,Projekty!$B$2:$B$501),"")</f>
        <v/>
      </c>
      <c r="F411" s="4" t="str">
        <f ca="1">IFERROR(_xludf.XLOOKUP(C411,Milestones!$A$2:$A$501,Milestones!$C$2:$C$501),"")</f>
        <v/>
      </c>
      <c r="G411" s="4" t="str">
        <f ca="1">IFERROR(_xludf.XLOOKUP(C411,Milestones!$A$2:$A$501,Milestones!$F$2:$F$501),"")</f>
        <v/>
      </c>
      <c r="H411" s="4" t="str">
        <f ca="1">IFERROR(_xludf.XLOOKUP(C411,Milestones!$A$2:$A$501,Milestones!$M$2:$M$501),"")</f>
        <v/>
      </c>
      <c r="I411" s="4" t="str">
        <f t="shared" ca="1" si="24"/>
        <v/>
      </c>
      <c r="J411" s="4"/>
      <c r="K411" s="4" t="str">
        <f ca="1">IFERROR(_xludf.XLOOKUP(A411,Pracownicy!$A$2:$A$501,Pracownicy!$F$2:$F$501),"")</f>
        <v/>
      </c>
      <c r="L411" s="4"/>
      <c r="M411" s="4" t="str">
        <f t="shared" ca="1" si="25"/>
        <v/>
      </c>
      <c r="N411" s="4" t="str">
        <f t="shared" si="26"/>
        <v/>
      </c>
      <c r="O411" s="4" t="str">
        <f t="shared" ca="1" si="27"/>
        <v/>
      </c>
    </row>
    <row r="412" spans="1:15" x14ac:dyDescent="0.25">
      <c r="A412" s="4"/>
      <c r="B412" s="4" t="str">
        <f ca="1">IFERROR(_xludf.XLOOKUP(A412,Pracownicy!$A$2:$A$501,Pracownicy!$B$2:$B$501),"")</f>
        <v/>
      </c>
      <c r="C412" s="4"/>
      <c r="D412" s="4" t="str">
        <f ca="1">IFERROR(_xludf.XLOOKUP(C412,Milestones!$A$2:$A$501,Milestones!$B$2:$B$501),"")</f>
        <v/>
      </c>
      <c r="E412" s="4" t="str">
        <f ca="1">IFERROR(_xludf.XLOOKUP(D412,Projekty!$A$2:$A$501,Projekty!$B$2:$B$501),"")</f>
        <v/>
      </c>
      <c r="F412" s="4" t="str">
        <f ca="1">IFERROR(_xludf.XLOOKUP(C412,Milestones!$A$2:$A$501,Milestones!$C$2:$C$501),"")</f>
        <v/>
      </c>
      <c r="G412" s="4" t="str">
        <f ca="1">IFERROR(_xludf.XLOOKUP(C412,Milestones!$A$2:$A$501,Milestones!$F$2:$F$501),"")</f>
        <v/>
      </c>
      <c r="H412" s="4" t="str">
        <f ca="1">IFERROR(_xludf.XLOOKUP(C412,Milestones!$A$2:$A$501,Milestones!$M$2:$M$501),"")</f>
        <v/>
      </c>
      <c r="I412" s="4" t="str">
        <f t="shared" ca="1" si="24"/>
        <v/>
      </c>
      <c r="J412" s="4"/>
      <c r="K412" s="4" t="str">
        <f ca="1">IFERROR(_xludf.XLOOKUP(A412,Pracownicy!$A$2:$A$501,Pracownicy!$F$2:$F$501),"")</f>
        <v/>
      </c>
      <c r="L412" s="4"/>
      <c r="M412" s="4" t="str">
        <f t="shared" ca="1" si="25"/>
        <v/>
      </c>
      <c r="N412" s="4" t="str">
        <f t="shared" si="26"/>
        <v/>
      </c>
      <c r="O412" s="4" t="str">
        <f t="shared" ca="1" si="27"/>
        <v/>
      </c>
    </row>
    <row r="413" spans="1:15" x14ac:dyDescent="0.25">
      <c r="A413" s="4"/>
      <c r="B413" s="4" t="str">
        <f ca="1">IFERROR(_xludf.XLOOKUP(A413,Pracownicy!$A$2:$A$501,Pracownicy!$B$2:$B$501),"")</f>
        <v/>
      </c>
      <c r="C413" s="4"/>
      <c r="D413" s="4" t="str">
        <f ca="1">IFERROR(_xludf.XLOOKUP(C413,Milestones!$A$2:$A$501,Milestones!$B$2:$B$501),"")</f>
        <v/>
      </c>
      <c r="E413" s="4" t="str">
        <f ca="1">IFERROR(_xludf.XLOOKUP(D413,Projekty!$A$2:$A$501,Projekty!$B$2:$B$501),"")</f>
        <v/>
      </c>
      <c r="F413" s="4" t="str">
        <f ca="1">IFERROR(_xludf.XLOOKUP(C413,Milestones!$A$2:$A$501,Milestones!$C$2:$C$501),"")</f>
        <v/>
      </c>
      <c r="G413" s="4" t="str">
        <f ca="1">IFERROR(_xludf.XLOOKUP(C413,Milestones!$A$2:$A$501,Milestones!$F$2:$F$501),"")</f>
        <v/>
      </c>
      <c r="H413" s="4" t="str">
        <f ca="1">IFERROR(_xludf.XLOOKUP(C413,Milestones!$A$2:$A$501,Milestones!$M$2:$M$501),"")</f>
        <v/>
      </c>
      <c r="I413" s="4" t="str">
        <f t="shared" ca="1" si="24"/>
        <v/>
      </c>
      <c r="J413" s="4"/>
      <c r="K413" s="4" t="str">
        <f ca="1">IFERROR(_xludf.XLOOKUP(A413,Pracownicy!$A$2:$A$501,Pracownicy!$F$2:$F$501),"")</f>
        <v/>
      </c>
      <c r="L413" s="4"/>
      <c r="M413" s="4" t="str">
        <f t="shared" ca="1" si="25"/>
        <v/>
      </c>
      <c r="N413" s="4" t="str">
        <f t="shared" si="26"/>
        <v/>
      </c>
      <c r="O413" s="4" t="str">
        <f t="shared" ca="1" si="27"/>
        <v/>
      </c>
    </row>
    <row r="414" spans="1:15" x14ac:dyDescent="0.25">
      <c r="A414" s="4"/>
      <c r="B414" s="4" t="str">
        <f ca="1">IFERROR(_xludf.XLOOKUP(A414,Pracownicy!$A$2:$A$501,Pracownicy!$B$2:$B$501),"")</f>
        <v/>
      </c>
      <c r="C414" s="4"/>
      <c r="D414" s="4" t="str">
        <f ca="1">IFERROR(_xludf.XLOOKUP(C414,Milestones!$A$2:$A$501,Milestones!$B$2:$B$501),"")</f>
        <v/>
      </c>
      <c r="E414" s="4" t="str">
        <f ca="1">IFERROR(_xludf.XLOOKUP(D414,Projekty!$A$2:$A$501,Projekty!$B$2:$B$501),"")</f>
        <v/>
      </c>
      <c r="F414" s="4" t="str">
        <f ca="1">IFERROR(_xludf.XLOOKUP(C414,Milestones!$A$2:$A$501,Milestones!$C$2:$C$501),"")</f>
        <v/>
      </c>
      <c r="G414" s="4" t="str">
        <f ca="1">IFERROR(_xludf.XLOOKUP(C414,Milestones!$A$2:$A$501,Milestones!$F$2:$F$501),"")</f>
        <v/>
      </c>
      <c r="H414" s="4" t="str">
        <f ca="1">IFERROR(_xludf.XLOOKUP(C414,Milestones!$A$2:$A$501,Milestones!$M$2:$M$501),"")</f>
        <v/>
      </c>
      <c r="I414" s="4" t="str">
        <f t="shared" ca="1" si="24"/>
        <v/>
      </c>
      <c r="J414" s="4"/>
      <c r="K414" s="4" t="str">
        <f ca="1">IFERROR(_xludf.XLOOKUP(A414,Pracownicy!$A$2:$A$501,Pracownicy!$F$2:$F$501),"")</f>
        <v/>
      </c>
      <c r="L414" s="4"/>
      <c r="M414" s="4" t="str">
        <f t="shared" ca="1" si="25"/>
        <v/>
      </c>
      <c r="N414" s="4" t="str">
        <f t="shared" si="26"/>
        <v/>
      </c>
      <c r="O414" s="4" t="str">
        <f t="shared" ca="1" si="27"/>
        <v/>
      </c>
    </row>
    <row r="415" spans="1:15" x14ac:dyDescent="0.25">
      <c r="A415" s="4"/>
      <c r="B415" s="4" t="str">
        <f ca="1">IFERROR(_xludf.XLOOKUP(A415,Pracownicy!$A$2:$A$501,Pracownicy!$B$2:$B$501),"")</f>
        <v/>
      </c>
      <c r="C415" s="4"/>
      <c r="D415" s="4" t="str">
        <f ca="1">IFERROR(_xludf.XLOOKUP(C415,Milestones!$A$2:$A$501,Milestones!$B$2:$B$501),"")</f>
        <v/>
      </c>
      <c r="E415" s="4" t="str">
        <f ca="1">IFERROR(_xludf.XLOOKUP(D415,Projekty!$A$2:$A$501,Projekty!$B$2:$B$501),"")</f>
        <v/>
      </c>
      <c r="F415" s="4" t="str">
        <f ca="1">IFERROR(_xludf.XLOOKUP(C415,Milestones!$A$2:$A$501,Milestones!$C$2:$C$501),"")</f>
        <v/>
      </c>
      <c r="G415" s="4" t="str">
        <f ca="1">IFERROR(_xludf.XLOOKUP(C415,Milestones!$A$2:$A$501,Milestones!$F$2:$F$501),"")</f>
        <v/>
      </c>
      <c r="H415" s="4" t="str">
        <f ca="1">IFERROR(_xludf.XLOOKUP(C415,Milestones!$A$2:$A$501,Milestones!$M$2:$M$501),"")</f>
        <v/>
      </c>
      <c r="I415" s="4" t="str">
        <f t="shared" ca="1" si="24"/>
        <v/>
      </c>
      <c r="J415" s="4"/>
      <c r="K415" s="4" t="str">
        <f ca="1">IFERROR(_xludf.XLOOKUP(A415,Pracownicy!$A$2:$A$501,Pracownicy!$F$2:$F$501),"")</f>
        <v/>
      </c>
      <c r="L415" s="4"/>
      <c r="M415" s="4" t="str">
        <f t="shared" ca="1" si="25"/>
        <v/>
      </c>
      <c r="N415" s="4" t="str">
        <f t="shared" si="26"/>
        <v/>
      </c>
      <c r="O415" s="4" t="str">
        <f t="shared" ca="1" si="27"/>
        <v/>
      </c>
    </row>
    <row r="416" spans="1:15" x14ac:dyDescent="0.25">
      <c r="A416" s="4"/>
      <c r="B416" s="4" t="str">
        <f ca="1">IFERROR(_xludf.XLOOKUP(A416,Pracownicy!$A$2:$A$501,Pracownicy!$B$2:$B$501),"")</f>
        <v/>
      </c>
      <c r="C416" s="4"/>
      <c r="D416" s="4" t="str">
        <f ca="1">IFERROR(_xludf.XLOOKUP(C416,Milestones!$A$2:$A$501,Milestones!$B$2:$B$501),"")</f>
        <v/>
      </c>
      <c r="E416" s="4" t="str">
        <f ca="1">IFERROR(_xludf.XLOOKUP(D416,Projekty!$A$2:$A$501,Projekty!$B$2:$B$501),"")</f>
        <v/>
      </c>
      <c r="F416" s="4" t="str">
        <f ca="1">IFERROR(_xludf.XLOOKUP(C416,Milestones!$A$2:$A$501,Milestones!$C$2:$C$501),"")</f>
        <v/>
      </c>
      <c r="G416" s="4" t="str">
        <f ca="1">IFERROR(_xludf.XLOOKUP(C416,Milestones!$A$2:$A$501,Milestones!$F$2:$F$501),"")</f>
        <v/>
      </c>
      <c r="H416" s="4" t="str">
        <f ca="1">IFERROR(_xludf.XLOOKUP(C416,Milestones!$A$2:$A$501,Milestones!$M$2:$M$501),"")</f>
        <v/>
      </c>
      <c r="I416" s="4" t="str">
        <f t="shared" ca="1" si="24"/>
        <v/>
      </c>
      <c r="J416" s="4"/>
      <c r="K416" s="4" t="str">
        <f ca="1">IFERROR(_xludf.XLOOKUP(A416,Pracownicy!$A$2:$A$501,Pracownicy!$F$2:$F$501),"")</f>
        <v/>
      </c>
      <c r="L416" s="4"/>
      <c r="M416" s="4" t="str">
        <f t="shared" ca="1" si="25"/>
        <v/>
      </c>
      <c r="N416" s="4" t="str">
        <f t="shared" si="26"/>
        <v/>
      </c>
      <c r="O416" s="4" t="str">
        <f t="shared" ca="1" si="27"/>
        <v/>
      </c>
    </row>
    <row r="417" spans="1:15" x14ac:dyDescent="0.25">
      <c r="A417" s="4"/>
      <c r="B417" s="4" t="str">
        <f ca="1">IFERROR(_xludf.XLOOKUP(A417,Pracownicy!$A$2:$A$501,Pracownicy!$B$2:$B$501),"")</f>
        <v/>
      </c>
      <c r="C417" s="4"/>
      <c r="D417" s="4" t="str">
        <f ca="1">IFERROR(_xludf.XLOOKUP(C417,Milestones!$A$2:$A$501,Milestones!$B$2:$B$501),"")</f>
        <v/>
      </c>
      <c r="E417" s="4" t="str">
        <f ca="1">IFERROR(_xludf.XLOOKUP(D417,Projekty!$A$2:$A$501,Projekty!$B$2:$B$501),"")</f>
        <v/>
      </c>
      <c r="F417" s="4" t="str">
        <f ca="1">IFERROR(_xludf.XLOOKUP(C417,Milestones!$A$2:$A$501,Milestones!$C$2:$C$501),"")</f>
        <v/>
      </c>
      <c r="G417" s="4" t="str">
        <f ca="1">IFERROR(_xludf.XLOOKUP(C417,Milestones!$A$2:$A$501,Milestones!$F$2:$F$501),"")</f>
        <v/>
      </c>
      <c r="H417" s="4" t="str">
        <f ca="1">IFERROR(_xludf.XLOOKUP(C417,Milestones!$A$2:$A$501,Milestones!$M$2:$M$501),"")</f>
        <v/>
      </c>
      <c r="I417" s="4" t="str">
        <f t="shared" ca="1" si="24"/>
        <v/>
      </c>
      <c r="J417" s="4"/>
      <c r="K417" s="4" t="str">
        <f ca="1">IFERROR(_xludf.XLOOKUP(A417,Pracownicy!$A$2:$A$501,Pracownicy!$F$2:$F$501),"")</f>
        <v/>
      </c>
      <c r="L417" s="4"/>
      <c r="M417" s="4" t="str">
        <f t="shared" ca="1" si="25"/>
        <v/>
      </c>
      <c r="N417" s="4" t="str">
        <f t="shared" si="26"/>
        <v/>
      </c>
      <c r="O417" s="4" t="str">
        <f t="shared" ca="1" si="27"/>
        <v/>
      </c>
    </row>
    <row r="418" spans="1:15" x14ac:dyDescent="0.25">
      <c r="A418" s="4"/>
      <c r="B418" s="4" t="str">
        <f ca="1">IFERROR(_xludf.XLOOKUP(A418,Pracownicy!$A$2:$A$501,Pracownicy!$B$2:$B$501),"")</f>
        <v/>
      </c>
      <c r="C418" s="4"/>
      <c r="D418" s="4" t="str">
        <f ca="1">IFERROR(_xludf.XLOOKUP(C418,Milestones!$A$2:$A$501,Milestones!$B$2:$B$501),"")</f>
        <v/>
      </c>
      <c r="E418" s="4" t="str">
        <f ca="1">IFERROR(_xludf.XLOOKUP(D418,Projekty!$A$2:$A$501,Projekty!$B$2:$B$501),"")</f>
        <v/>
      </c>
      <c r="F418" s="4" t="str">
        <f ca="1">IFERROR(_xludf.XLOOKUP(C418,Milestones!$A$2:$A$501,Milestones!$C$2:$C$501),"")</f>
        <v/>
      </c>
      <c r="G418" s="4" t="str">
        <f ca="1">IFERROR(_xludf.XLOOKUP(C418,Milestones!$A$2:$A$501,Milestones!$F$2:$F$501),"")</f>
        <v/>
      </c>
      <c r="H418" s="4" t="str">
        <f ca="1">IFERROR(_xludf.XLOOKUP(C418,Milestones!$A$2:$A$501,Milestones!$M$2:$M$501),"")</f>
        <v/>
      </c>
      <c r="I418" s="4" t="str">
        <f t="shared" ca="1" si="24"/>
        <v/>
      </c>
      <c r="J418" s="4"/>
      <c r="K418" s="4" t="str">
        <f ca="1">IFERROR(_xludf.XLOOKUP(A418,Pracownicy!$A$2:$A$501,Pracownicy!$F$2:$F$501),"")</f>
        <v/>
      </c>
      <c r="L418" s="4"/>
      <c r="M418" s="4" t="str">
        <f t="shared" ca="1" si="25"/>
        <v/>
      </c>
      <c r="N418" s="4" t="str">
        <f t="shared" si="26"/>
        <v/>
      </c>
      <c r="O418" s="4" t="str">
        <f t="shared" ca="1" si="27"/>
        <v/>
      </c>
    </row>
    <row r="419" spans="1:15" x14ac:dyDescent="0.25">
      <c r="A419" s="4"/>
      <c r="B419" s="4" t="str">
        <f ca="1">IFERROR(_xludf.XLOOKUP(A419,Pracownicy!$A$2:$A$501,Pracownicy!$B$2:$B$501),"")</f>
        <v/>
      </c>
      <c r="C419" s="4"/>
      <c r="D419" s="4" t="str">
        <f ca="1">IFERROR(_xludf.XLOOKUP(C419,Milestones!$A$2:$A$501,Milestones!$B$2:$B$501),"")</f>
        <v/>
      </c>
      <c r="E419" s="4" t="str">
        <f ca="1">IFERROR(_xludf.XLOOKUP(D419,Projekty!$A$2:$A$501,Projekty!$B$2:$B$501),"")</f>
        <v/>
      </c>
      <c r="F419" s="4" t="str">
        <f ca="1">IFERROR(_xludf.XLOOKUP(C419,Milestones!$A$2:$A$501,Milestones!$C$2:$C$501),"")</f>
        <v/>
      </c>
      <c r="G419" s="4" t="str">
        <f ca="1">IFERROR(_xludf.XLOOKUP(C419,Milestones!$A$2:$A$501,Milestones!$F$2:$F$501),"")</f>
        <v/>
      </c>
      <c r="H419" s="4" t="str">
        <f ca="1">IFERROR(_xludf.XLOOKUP(C419,Milestones!$A$2:$A$501,Milestones!$M$2:$M$501),"")</f>
        <v/>
      </c>
      <c r="I419" s="4" t="str">
        <f t="shared" ca="1" si="24"/>
        <v/>
      </c>
      <c r="J419" s="4"/>
      <c r="K419" s="4" t="str">
        <f ca="1">IFERROR(_xludf.XLOOKUP(A419,Pracownicy!$A$2:$A$501,Pracownicy!$F$2:$F$501),"")</f>
        <v/>
      </c>
      <c r="L419" s="4"/>
      <c r="M419" s="4" t="str">
        <f t="shared" ca="1" si="25"/>
        <v/>
      </c>
      <c r="N419" s="4" t="str">
        <f t="shared" si="26"/>
        <v/>
      </c>
      <c r="O419" s="4" t="str">
        <f t="shared" ca="1" si="27"/>
        <v/>
      </c>
    </row>
    <row r="420" spans="1:15" x14ac:dyDescent="0.25">
      <c r="A420" s="4"/>
      <c r="B420" s="4" t="str">
        <f ca="1">IFERROR(_xludf.XLOOKUP(A420,Pracownicy!$A$2:$A$501,Pracownicy!$B$2:$B$501),"")</f>
        <v/>
      </c>
      <c r="C420" s="4"/>
      <c r="D420" s="4" t="str">
        <f ca="1">IFERROR(_xludf.XLOOKUP(C420,Milestones!$A$2:$A$501,Milestones!$B$2:$B$501),"")</f>
        <v/>
      </c>
      <c r="E420" s="4" t="str">
        <f ca="1">IFERROR(_xludf.XLOOKUP(D420,Projekty!$A$2:$A$501,Projekty!$B$2:$B$501),"")</f>
        <v/>
      </c>
      <c r="F420" s="4" t="str">
        <f ca="1">IFERROR(_xludf.XLOOKUP(C420,Milestones!$A$2:$A$501,Milestones!$C$2:$C$501),"")</f>
        <v/>
      </c>
      <c r="G420" s="4" t="str">
        <f ca="1">IFERROR(_xludf.XLOOKUP(C420,Milestones!$A$2:$A$501,Milestones!$F$2:$F$501),"")</f>
        <v/>
      </c>
      <c r="H420" s="4" t="str">
        <f ca="1">IFERROR(_xludf.XLOOKUP(C420,Milestones!$A$2:$A$501,Milestones!$M$2:$M$501),"")</f>
        <v/>
      </c>
      <c r="I420" s="4" t="str">
        <f t="shared" ca="1" si="24"/>
        <v/>
      </c>
      <c r="J420" s="4"/>
      <c r="K420" s="4" t="str">
        <f ca="1">IFERROR(_xludf.XLOOKUP(A420,Pracownicy!$A$2:$A$501,Pracownicy!$F$2:$F$501),"")</f>
        <v/>
      </c>
      <c r="L420" s="4"/>
      <c r="M420" s="4" t="str">
        <f t="shared" ca="1" si="25"/>
        <v/>
      </c>
      <c r="N420" s="4" t="str">
        <f t="shared" si="26"/>
        <v/>
      </c>
      <c r="O420" s="4" t="str">
        <f t="shared" ca="1" si="27"/>
        <v/>
      </c>
    </row>
    <row r="421" spans="1:15" x14ac:dyDescent="0.25">
      <c r="A421" s="4"/>
      <c r="B421" s="4" t="str">
        <f ca="1">IFERROR(_xludf.XLOOKUP(A421,Pracownicy!$A$2:$A$501,Pracownicy!$B$2:$B$501),"")</f>
        <v/>
      </c>
      <c r="C421" s="4"/>
      <c r="D421" s="4" t="str">
        <f ca="1">IFERROR(_xludf.XLOOKUP(C421,Milestones!$A$2:$A$501,Milestones!$B$2:$B$501),"")</f>
        <v/>
      </c>
      <c r="E421" s="4" t="str">
        <f ca="1">IFERROR(_xludf.XLOOKUP(D421,Projekty!$A$2:$A$501,Projekty!$B$2:$B$501),"")</f>
        <v/>
      </c>
      <c r="F421" s="4" t="str">
        <f ca="1">IFERROR(_xludf.XLOOKUP(C421,Milestones!$A$2:$A$501,Milestones!$C$2:$C$501),"")</f>
        <v/>
      </c>
      <c r="G421" s="4" t="str">
        <f ca="1">IFERROR(_xludf.XLOOKUP(C421,Milestones!$A$2:$A$501,Milestones!$F$2:$F$501),"")</f>
        <v/>
      </c>
      <c r="H421" s="4" t="str">
        <f ca="1">IFERROR(_xludf.XLOOKUP(C421,Milestones!$A$2:$A$501,Milestones!$M$2:$M$501),"")</f>
        <v/>
      </c>
      <c r="I421" s="4" t="str">
        <f t="shared" ca="1" si="24"/>
        <v/>
      </c>
      <c r="J421" s="4"/>
      <c r="K421" s="4" t="str">
        <f ca="1">IFERROR(_xludf.XLOOKUP(A421,Pracownicy!$A$2:$A$501,Pracownicy!$F$2:$F$501),"")</f>
        <v/>
      </c>
      <c r="L421" s="4"/>
      <c r="M421" s="4" t="str">
        <f t="shared" ca="1" si="25"/>
        <v/>
      </c>
      <c r="N421" s="4" t="str">
        <f t="shared" si="26"/>
        <v/>
      </c>
      <c r="O421" s="4" t="str">
        <f t="shared" ca="1" si="27"/>
        <v/>
      </c>
    </row>
    <row r="422" spans="1:15" x14ac:dyDescent="0.25">
      <c r="A422" s="4"/>
      <c r="B422" s="4" t="str">
        <f ca="1">IFERROR(_xludf.XLOOKUP(A422,Pracownicy!$A$2:$A$501,Pracownicy!$B$2:$B$501),"")</f>
        <v/>
      </c>
      <c r="C422" s="4"/>
      <c r="D422" s="4" t="str">
        <f ca="1">IFERROR(_xludf.XLOOKUP(C422,Milestones!$A$2:$A$501,Milestones!$B$2:$B$501),"")</f>
        <v/>
      </c>
      <c r="E422" s="4" t="str">
        <f ca="1">IFERROR(_xludf.XLOOKUP(D422,Projekty!$A$2:$A$501,Projekty!$B$2:$B$501),"")</f>
        <v/>
      </c>
      <c r="F422" s="4" t="str">
        <f ca="1">IFERROR(_xludf.XLOOKUP(C422,Milestones!$A$2:$A$501,Milestones!$C$2:$C$501),"")</f>
        <v/>
      </c>
      <c r="G422" s="4" t="str">
        <f ca="1">IFERROR(_xludf.XLOOKUP(C422,Milestones!$A$2:$A$501,Milestones!$F$2:$F$501),"")</f>
        <v/>
      </c>
      <c r="H422" s="4" t="str">
        <f ca="1">IFERROR(_xludf.XLOOKUP(C422,Milestones!$A$2:$A$501,Milestones!$M$2:$M$501),"")</f>
        <v/>
      </c>
      <c r="I422" s="4" t="str">
        <f t="shared" ca="1" si="24"/>
        <v/>
      </c>
      <c r="J422" s="4"/>
      <c r="K422" s="4" t="str">
        <f ca="1">IFERROR(_xludf.XLOOKUP(A422,Pracownicy!$A$2:$A$501,Pracownicy!$F$2:$F$501),"")</f>
        <v/>
      </c>
      <c r="L422" s="4"/>
      <c r="M422" s="4" t="str">
        <f t="shared" ca="1" si="25"/>
        <v/>
      </c>
      <c r="N422" s="4" t="str">
        <f t="shared" si="26"/>
        <v/>
      </c>
      <c r="O422" s="4" t="str">
        <f t="shared" ca="1" si="27"/>
        <v/>
      </c>
    </row>
    <row r="423" spans="1:15" x14ac:dyDescent="0.25">
      <c r="A423" s="4"/>
      <c r="B423" s="4" t="str">
        <f ca="1">IFERROR(_xludf.XLOOKUP(A423,Pracownicy!$A$2:$A$501,Pracownicy!$B$2:$B$501),"")</f>
        <v/>
      </c>
      <c r="C423" s="4"/>
      <c r="D423" s="4" t="str">
        <f ca="1">IFERROR(_xludf.XLOOKUP(C423,Milestones!$A$2:$A$501,Milestones!$B$2:$B$501),"")</f>
        <v/>
      </c>
      <c r="E423" s="4" t="str">
        <f ca="1">IFERROR(_xludf.XLOOKUP(D423,Projekty!$A$2:$A$501,Projekty!$B$2:$B$501),"")</f>
        <v/>
      </c>
      <c r="F423" s="4" t="str">
        <f ca="1">IFERROR(_xludf.XLOOKUP(C423,Milestones!$A$2:$A$501,Milestones!$C$2:$C$501),"")</f>
        <v/>
      </c>
      <c r="G423" s="4" t="str">
        <f ca="1">IFERROR(_xludf.XLOOKUP(C423,Milestones!$A$2:$A$501,Milestones!$F$2:$F$501),"")</f>
        <v/>
      </c>
      <c r="H423" s="4" t="str">
        <f ca="1">IFERROR(_xludf.XLOOKUP(C423,Milestones!$A$2:$A$501,Milestones!$M$2:$M$501),"")</f>
        <v/>
      </c>
      <c r="I423" s="4" t="str">
        <f t="shared" ca="1" si="24"/>
        <v/>
      </c>
      <c r="J423" s="4"/>
      <c r="K423" s="4" t="str">
        <f ca="1">IFERROR(_xludf.XLOOKUP(A423,Pracownicy!$A$2:$A$501,Pracownicy!$F$2:$F$501),"")</f>
        <v/>
      </c>
      <c r="L423" s="4"/>
      <c r="M423" s="4" t="str">
        <f t="shared" ca="1" si="25"/>
        <v/>
      </c>
      <c r="N423" s="4" t="str">
        <f t="shared" si="26"/>
        <v/>
      </c>
      <c r="O423" s="4" t="str">
        <f t="shared" ca="1" si="27"/>
        <v/>
      </c>
    </row>
    <row r="424" spans="1:15" x14ac:dyDescent="0.25">
      <c r="A424" s="4"/>
      <c r="B424" s="4" t="str">
        <f ca="1">IFERROR(_xludf.XLOOKUP(A424,Pracownicy!$A$2:$A$501,Pracownicy!$B$2:$B$501),"")</f>
        <v/>
      </c>
      <c r="C424" s="4"/>
      <c r="D424" s="4" t="str">
        <f ca="1">IFERROR(_xludf.XLOOKUP(C424,Milestones!$A$2:$A$501,Milestones!$B$2:$B$501),"")</f>
        <v/>
      </c>
      <c r="E424" s="4" t="str">
        <f ca="1">IFERROR(_xludf.XLOOKUP(D424,Projekty!$A$2:$A$501,Projekty!$B$2:$B$501),"")</f>
        <v/>
      </c>
      <c r="F424" s="4" t="str">
        <f ca="1">IFERROR(_xludf.XLOOKUP(C424,Milestones!$A$2:$A$501,Milestones!$C$2:$C$501),"")</f>
        <v/>
      </c>
      <c r="G424" s="4" t="str">
        <f ca="1">IFERROR(_xludf.XLOOKUP(C424,Milestones!$A$2:$A$501,Milestones!$F$2:$F$501),"")</f>
        <v/>
      </c>
      <c r="H424" s="4" t="str">
        <f ca="1">IFERROR(_xludf.XLOOKUP(C424,Milestones!$A$2:$A$501,Milestones!$M$2:$M$501),"")</f>
        <v/>
      </c>
      <c r="I424" s="4" t="str">
        <f t="shared" ca="1" si="24"/>
        <v/>
      </c>
      <c r="J424" s="4"/>
      <c r="K424" s="4" t="str">
        <f ca="1">IFERROR(_xludf.XLOOKUP(A424,Pracownicy!$A$2:$A$501,Pracownicy!$F$2:$F$501),"")</f>
        <v/>
      </c>
      <c r="L424" s="4"/>
      <c r="M424" s="4" t="str">
        <f t="shared" ca="1" si="25"/>
        <v/>
      </c>
      <c r="N424" s="4" t="str">
        <f t="shared" si="26"/>
        <v/>
      </c>
      <c r="O424" s="4" t="str">
        <f t="shared" ca="1" si="27"/>
        <v/>
      </c>
    </row>
    <row r="425" spans="1:15" x14ac:dyDescent="0.25">
      <c r="A425" s="4"/>
      <c r="B425" s="4" t="str">
        <f ca="1">IFERROR(_xludf.XLOOKUP(A425,Pracownicy!$A$2:$A$501,Pracownicy!$B$2:$B$501),"")</f>
        <v/>
      </c>
      <c r="C425" s="4"/>
      <c r="D425" s="4" t="str">
        <f ca="1">IFERROR(_xludf.XLOOKUP(C425,Milestones!$A$2:$A$501,Milestones!$B$2:$B$501),"")</f>
        <v/>
      </c>
      <c r="E425" s="4" t="str">
        <f ca="1">IFERROR(_xludf.XLOOKUP(D425,Projekty!$A$2:$A$501,Projekty!$B$2:$B$501),"")</f>
        <v/>
      </c>
      <c r="F425" s="4" t="str">
        <f ca="1">IFERROR(_xludf.XLOOKUP(C425,Milestones!$A$2:$A$501,Milestones!$C$2:$C$501),"")</f>
        <v/>
      </c>
      <c r="G425" s="4" t="str">
        <f ca="1">IFERROR(_xludf.XLOOKUP(C425,Milestones!$A$2:$A$501,Milestones!$F$2:$F$501),"")</f>
        <v/>
      </c>
      <c r="H425" s="4" t="str">
        <f ca="1">IFERROR(_xludf.XLOOKUP(C425,Milestones!$A$2:$A$501,Milestones!$M$2:$M$501),"")</f>
        <v/>
      </c>
      <c r="I425" s="4" t="str">
        <f t="shared" ca="1" si="24"/>
        <v/>
      </c>
      <c r="J425" s="4"/>
      <c r="K425" s="4" t="str">
        <f ca="1">IFERROR(_xludf.XLOOKUP(A425,Pracownicy!$A$2:$A$501,Pracownicy!$F$2:$F$501),"")</f>
        <v/>
      </c>
      <c r="L425" s="4"/>
      <c r="M425" s="4" t="str">
        <f t="shared" ca="1" si="25"/>
        <v/>
      </c>
      <c r="N425" s="4" t="str">
        <f t="shared" si="26"/>
        <v/>
      </c>
      <c r="O425" s="4" t="str">
        <f t="shared" ca="1" si="27"/>
        <v/>
      </c>
    </row>
    <row r="426" spans="1:15" x14ac:dyDescent="0.25">
      <c r="A426" s="4"/>
      <c r="B426" s="4" t="str">
        <f ca="1">IFERROR(_xludf.XLOOKUP(A426,Pracownicy!$A$2:$A$501,Pracownicy!$B$2:$B$501),"")</f>
        <v/>
      </c>
      <c r="C426" s="4"/>
      <c r="D426" s="4" t="str">
        <f ca="1">IFERROR(_xludf.XLOOKUP(C426,Milestones!$A$2:$A$501,Milestones!$B$2:$B$501),"")</f>
        <v/>
      </c>
      <c r="E426" s="4" t="str">
        <f ca="1">IFERROR(_xludf.XLOOKUP(D426,Projekty!$A$2:$A$501,Projekty!$B$2:$B$501),"")</f>
        <v/>
      </c>
      <c r="F426" s="4" t="str">
        <f ca="1">IFERROR(_xludf.XLOOKUP(C426,Milestones!$A$2:$A$501,Milestones!$C$2:$C$501),"")</f>
        <v/>
      </c>
      <c r="G426" s="4" t="str">
        <f ca="1">IFERROR(_xludf.XLOOKUP(C426,Milestones!$A$2:$A$501,Milestones!$F$2:$F$501),"")</f>
        <v/>
      </c>
      <c r="H426" s="4" t="str">
        <f ca="1">IFERROR(_xludf.XLOOKUP(C426,Milestones!$A$2:$A$501,Milestones!$M$2:$M$501),"")</f>
        <v/>
      </c>
      <c r="I426" s="4" t="str">
        <f t="shared" ca="1" si="24"/>
        <v/>
      </c>
      <c r="J426" s="4"/>
      <c r="K426" s="4" t="str">
        <f ca="1">IFERROR(_xludf.XLOOKUP(A426,Pracownicy!$A$2:$A$501,Pracownicy!$F$2:$F$501),"")</f>
        <v/>
      </c>
      <c r="L426" s="4"/>
      <c r="M426" s="4" t="str">
        <f t="shared" ca="1" si="25"/>
        <v/>
      </c>
      <c r="N426" s="4" t="str">
        <f t="shared" si="26"/>
        <v/>
      </c>
      <c r="O426" s="4" t="str">
        <f t="shared" ca="1" si="27"/>
        <v/>
      </c>
    </row>
    <row r="427" spans="1:15" x14ac:dyDescent="0.25">
      <c r="A427" s="4"/>
      <c r="B427" s="4" t="str">
        <f ca="1">IFERROR(_xludf.XLOOKUP(A427,Pracownicy!$A$2:$A$501,Pracownicy!$B$2:$B$501),"")</f>
        <v/>
      </c>
      <c r="C427" s="4"/>
      <c r="D427" s="4" t="str">
        <f ca="1">IFERROR(_xludf.XLOOKUP(C427,Milestones!$A$2:$A$501,Milestones!$B$2:$B$501),"")</f>
        <v/>
      </c>
      <c r="E427" s="4" t="str">
        <f ca="1">IFERROR(_xludf.XLOOKUP(D427,Projekty!$A$2:$A$501,Projekty!$B$2:$B$501),"")</f>
        <v/>
      </c>
      <c r="F427" s="4" t="str">
        <f ca="1">IFERROR(_xludf.XLOOKUP(C427,Milestones!$A$2:$A$501,Milestones!$C$2:$C$501),"")</f>
        <v/>
      </c>
      <c r="G427" s="4" t="str">
        <f ca="1">IFERROR(_xludf.XLOOKUP(C427,Milestones!$A$2:$A$501,Milestones!$F$2:$F$501),"")</f>
        <v/>
      </c>
      <c r="H427" s="4" t="str">
        <f ca="1">IFERROR(_xludf.XLOOKUP(C427,Milestones!$A$2:$A$501,Milestones!$M$2:$M$501),"")</f>
        <v/>
      </c>
      <c r="I427" s="4" t="str">
        <f t="shared" ca="1" si="24"/>
        <v/>
      </c>
      <c r="J427" s="4"/>
      <c r="K427" s="4" t="str">
        <f ca="1">IFERROR(_xludf.XLOOKUP(A427,Pracownicy!$A$2:$A$501,Pracownicy!$F$2:$F$501),"")</f>
        <v/>
      </c>
      <c r="L427" s="4"/>
      <c r="M427" s="4" t="str">
        <f t="shared" ca="1" si="25"/>
        <v/>
      </c>
      <c r="N427" s="4" t="str">
        <f t="shared" si="26"/>
        <v/>
      </c>
      <c r="O427" s="4" t="str">
        <f t="shared" ca="1" si="27"/>
        <v/>
      </c>
    </row>
    <row r="428" spans="1:15" x14ac:dyDescent="0.25">
      <c r="A428" s="4"/>
      <c r="B428" s="4" t="str">
        <f ca="1">IFERROR(_xludf.XLOOKUP(A428,Pracownicy!$A$2:$A$501,Pracownicy!$B$2:$B$501),"")</f>
        <v/>
      </c>
      <c r="C428" s="4"/>
      <c r="D428" s="4" t="str">
        <f ca="1">IFERROR(_xludf.XLOOKUP(C428,Milestones!$A$2:$A$501,Milestones!$B$2:$B$501),"")</f>
        <v/>
      </c>
      <c r="E428" s="4" t="str">
        <f ca="1">IFERROR(_xludf.XLOOKUP(D428,Projekty!$A$2:$A$501,Projekty!$B$2:$B$501),"")</f>
        <v/>
      </c>
      <c r="F428" s="4" t="str">
        <f ca="1">IFERROR(_xludf.XLOOKUP(C428,Milestones!$A$2:$A$501,Milestones!$C$2:$C$501),"")</f>
        <v/>
      </c>
      <c r="G428" s="4" t="str">
        <f ca="1">IFERROR(_xludf.XLOOKUP(C428,Milestones!$A$2:$A$501,Milestones!$F$2:$F$501),"")</f>
        <v/>
      </c>
      <c r="H428" s="4" t="str">
        <f ca="1">IFERROR(_xludf.XLOOKUP(C428,Milestones!$A$2:$A$501,Milestones!$M$2:$M$501),"")</f>
        <v/>
      </c>
      <c r="I428" s="4" t="str">
        <f t="shared" ca="1" si="24"/>
        <v/>
      </c>
      <c r="J428" s="4"/>
      <c r="K428" s="4" t="str">
        <f ca="1">IFERROR(_xludf.XLOOKUP(A428,Pracownicy!$A$2:$A$501,Pracownicy!$F$2:$F$501),"")</f>
        <v/>
      </c>
      <c r="L428" s="4"/>
      <c r="M428" s="4" t="str">
        <f t="shared" ca="1" si="25"/>
        <v/>
      </c>
      <c r="N428" s="4" t="str">
        <f t="shared" si="26"/>
        <v/>
      </c>
      <c r="O428" s="4" t="str">
        <f t="shared" ca="1" si="27"/>
        <v/>
      </c>
    </row>
    <row r="429" spans="1:15" x14ac:dyDescent="0.25">
      <c r="A429" s="4"/>
      <c r="B429" s="4" t="str">
        <f ca="1">IFERROR(_xludf.XLOOKUP(A429,Pracownicy!$A$2:$A$501,Pracownicy!$B$2:$B$501),"")</f>
        <v/>
      </c>
      <c r="C429" s="4"/>
      <c r="D429" s="4" t="str">
        <f ca="1">IFERROR(_xludf.XLOOKUP(C429,Milestones!$A$2:$A$501,Milestones!$B$2:$B$501),"")</f>
        <v/>
      </c>
      <c r="E429" s="4" t="str">
        <f ca="1">IFERROR(_xludf.XLOOKUP(D429,Projekty!$A$2:$A$501,Projekty!$B$2:$B$501),"")</f>
        <v/>
      </c>
      <c r="F429" s="4" t="str">
        <f ca="1">IFERROR(_xludf.XLOOKUP(C429,Milestones!$A$2:$A$501,Milestones!$C$2:$C$501),"")</f>
        <v/>
      </c>
      <c r="G429" s="4" t="str">
        <f ca="1">IFERROR(_xludf.XLOOKUP(C429,Milestones!$A$2:$A$501,Milestones!$F$2:$F$501),"")</f>
        <v/>
      </c>
      <c r="H429" s="4" t="str">
        <f ca="1">IFERROR(_xludf.XLOOKUP(C429,Milestones!$A$2:$A$501,Milestones!$M$2:$M$501),"")</f>
        <v/>
      </c>
      <c r="I429" s="4" t="str">
        <f t="shared" ca="1" si="24"/>
        <v/>
      </c>
      <c r="J429" s="4"/>
      <c r="K429" s="4" t="str">
        <f ca="1">IFERROR(_xludf.XLOOKUP(A429,Pracownicy!$A$2:$A$501,Pracownicy!$F$2:$F$501),"")</f>
        <v/>
      </c>
      <c r="L429" s="4"/>
      <c r="M429" s="4" t="str">
        <f t="shared" ca="1" si="25"/>
        <v/>
      </c>
      <c r="N429" s="4" t="str">
        <f t="shared" si="26"/>
        <v/>
      </c>
      <c r="O429" s="4" t="str">
        <f t="shared" ca="1" si="27"/>
        <v/>
      </c>
    </row>
    <row r="430" spans="1:15" x14ac:dyDescent="0.25">
      <c r="A430" s="4"/>
      <c r="B430" s="4" t="str">
        <f ca="1">IFERROR(_xludf.XLOOKUP(A430,Pracownicy!$A$2:$A$501,Pracownicy!$B$2:$B$501),"")</f>
        <v/>
      </c>
      <c r="C430" s="4"/>
      <c r="D430" s="4" t="str">
        <f ca="1">IFERROR(_xludf.XLOOKUP(C430,Milestones!$A$2:$A$501,Milestones!$B$2:$B$501),"")</f>
        <v/>
      </c>
      <c r="E430" s="4" t="str">
        <f ca="1">IFERROR(_xludf.XLOOKUP(D430,Projekty!$A$2:$A$501,Projekty!$B$2:$B$501),"")</f>
        <v/>
      </c>
      <c r="F430" s="4" t="str">
        <f ca="1">IFERROR(_xludf.XLOOKUP(C430,Milestones!$A$2:$A$501,Milestones!$C$2:$C$501),"")</f>
        <v/>
      </c>
      <c r="G430" s="4" t="str">
        <f ca="1">IFERROR(_xludf.XLOOKUP(C430,Milestones!$A$2:$A$501,Milestones!$F$2:$F$501),"")</f>
        <v/>
      </c>
      <c r="H430" s="4" t="str">
        <f ca="1">IFERROR(_xludf.XLOOKUP(C430,Milestones!$A$2:$A$501,Milestones!$M$2:$M$501),"")</f>
        <v/>
      </c>
      <c r="I430" s="4" t="str">
        <f t="shared" ca="1" si="24"/>
        <v/>
      </c>
      <c r="J430" s="4"/>
      <c r="K430" s="4" t="str">
        <f ca="1">IFERROR(_xludf.XLOOKUP(A430,Pracownicy!$A$2:$A$501,Pracownicy!$F$2:$F$501),"")</f>
        <v/>
      </c>
      <c r="L430" s="4"/>
      <c r="M430" s="4" t="str">
        <f t="shared" ca="1" si="25"/>
        <v/>
      </c>
      <c r="N430" s="4" t="str">
        <f t="shared" si="26"/>
        <v/>
      </c>
      <c r="O430" s="4" t="str">
        <f t="shared" ca="1" si="27"/>
        <v/>
      </c>
    </row>
    <row r="431" spans="1:15" x14ac:dyDescent="0.25">
      <c r="A431" s="4"/>
      <c r="B431" s="4" t="str">
        <f ca="1">IFERROR(_xludf.XLOOKUP(A431,Pracownicy!$A$2:$A$501,Pracownicy!$B$2:$B$501),"")</f>
        <v/>
      </c>
      <c r="C431" s="4"/>
      <c r="D431" s="4" t="str">
        <f ca="1">IFERROR(_xludf.XLOOKUP(C431,Milestones!$A$2:$A$501,Milestones!$B$2:$B$501),"")</f>
        <v/>
      </c>
      <c r="E431" s="4" t="str">
        <f ca="1">IFERROR(_xludf.XLOOKUP(D431,Projekty!$A$2:$A$501,Projekty!$B$2:$B$501),"")</f>
        <v/>
      </c>
      <c r="F431" s="4" t="str">
        <f ca="1">IFERROR(_xludf.XLOOKUP(C431,Milestones!$A$2:$A$501,Milestones!$C$2:$C$501),"")</f>
        <v/>
      </c>
      <c r="G431" s="4" t="str">
        <f ca="1">IFERROR(_xludf.XLOOKUP(C431,Milestones!$A$2:$A$501,Milestones!$F$2:$F$501),"")</f>
        <v/>
      </c>
      <c r="H431" s="4" t="str">
        <f ca="1">IFERROR(_xludf.XLOOKUP(C431,Milestones!$A$2:$A$501,Milestones!$M$2:$M$501),"")</f>
        <v/>
      </c>
      <c r="I431" s="4" t="str">
        <f t="shared" ca="1" si="24"/>
        <v/>
      </c>
      <c r="J431" s="4"/>
      <c r="K431" s="4" t="str">
        <f ca="1">IFERROR(_xludf.XLOOKUP(A431,Pracownicy!$A$2:$A$501,Pracownicy!$F$2:$F$501),"")</f>
        <v/>
      </c>
      <c r="L431" s="4"/>
      <c r="M431" s="4" t="str">
        <f t="shared" ca="1" si="25"/>
        <v/>
      </c>
      <c r="N431" s="4" t="str">
        <f t="shared" si="26"/>
        <v/>
      </c>
      <c r="O431" s="4" t="str">
        <f t="shared" ca="1" si="27"/>
        <v/>
      </c>
    </row>
    <row r="432" spans="1:15" x14ac:dyDescent="0.25">
      <c r="A432" s="4"/>
      <c r="B432" s="4" t="str">
        <f ca="1">IFERROR(_xludf.XLOOKUP(A432,Pracownicy!$A$2:$A$501,Pracownicy!$B$2:$B$501),"")</f>
        <v/>
      </c>
      <c r="C432" s="4"/>
      <c r="D432" s="4" t="str">
        <f ca="1">IFERROR(_xludf.XLOOKUP(C432,Milestones!$A$2:$A$501,Milestones!$B$2:$B$501),"")</f>
        <v/>
      </c>
      <c r="E432" s="4" t="str">
        <f ca="1">IFERROR(_xludf.XLOOKUP(D432,Projekty!$A$2:$A$501,Projekty!$B$2:$B$501),"")</f>
        <v/>
      </c>
      <c r="F432" s="4" t="str">
        <f ca="1">IFERROR(_xludf.XLOOKUP(C432,Milestones!$A$2:$A$501,Milestones!$C$2:$C$501),"")</f>
        <v/>
      </c>
      <c r="G432" s="4" t="str">
        <f ca="1">IFERROR(_xludf.XLOOKUP(C432,Milestones!$A$2:$A$501,Milestones!$F$2:$F$501),"")</f>
        <v/>
      </c>
      <c r="H432" s="4" t="str">
        <f ca="1">IFERROR(_xludf.XLOOKUP(C432,Milestones!$A$2:$A$501,Milestones!$M$2:$M$501),"")</f>
        <v/>
      </c>
      <c r="I432" s="4" t="str">
        <f t="shared" ca="1" si="24"/>
        <v/>
      </c>
      <c r="J432" s="4"/>
      <c r="K432" s="4" t="str">
        <f ca="1">IFERROR(_xludf.XLOOKUP(A432,Pracownicy!$A$2:$A$501,Pracownicy!$F$2:$F$501),"")</f>
        <v/>
      </c>
      <c r="L432" s="4"/>
      <c r="M432" s="4" t="str">
        <f t="shared" ca="1" si="25"/>
        <v/>
      </c>
      <c r="N432" s="4" t="str">
        <f t="shared" si="26"/>
        <v/>
      </c>
      <c r="O432" s="4" t="str">
        <f t="shared" ca="1" si="27"/>
        <v/>
      </c>
    </row>
    <row r="433" spans="1:15" x14ac:dyDescent="0.25">
      <c r="A433" s="4"/>
      <c r="B433" s="4" t="str">
        <f ca="1">IFERROR(_xludf.XLOOKUP(A433,Pracownicy!$A$2:$A$501,Pracownicy!$B$2:$B$501),"")</f>
        <v/>
      </c>
      <c r="C433" s="4"/>
      <c r="D433" s="4" t="str">
        <f ca="1">IFERROR(_xludf.XLOOKUP(C433,Milestones!$A$2:$A$501,Milestones!$B$2:$B$501),"")</f>
        <v/>
      </c>
      <c r="E433" s="4" t="str">
        <f ca="1">IFERROR(_xludf.XLOOKUP(D433,Projekty!$A$2:$A$501,Projekty!$B$2:$B$501),"")</f>
        <v/>
      </c>
      <c r="F433" s="4" t="str">
        <f ca="1">IFERROR(_xludf.XLOOKUP(C433,Milestones!$A$2:$A$501,Milestones!$C$2:$C$501),"")</f>
        <v/>
      </c>
      <c r="G433" s="4" t="str">
        <f ca="1">IFERROR(_xludf.XLOOKUP(C433,Milestones!$A$2:$A$501,Milestones!$F$2:$F$501),"")</f>
        <v/>
      </c>
      <c r="H433" s="4" t="str">
        <f ca="1">IFERROR(_xludf.XLOOKUP(C433,Milestones!$A$2:$A$501,Milestones!$M$2:$M$501),"")</f>
        <v/>
      </c>
      <c r="I433" s="4" t="str">
        <f t="shared" ca="1" si="24"/>
        <v/>
      </c>
      <c r="J433" s="4"/>
      <c r="K433" s="4" t="str">
        <f ca="1">IFERROR(_xludf.XLOOKUP(A433,Pracownicy!$A$2:$A$501,Pracownicy!$F$2:$F$501),"")</f>
        <v/>
      </c>
      <c r="L433" s="4"/>
      <c r="M433" s="4" t="str">
        <f t="shared" ca="1" si="25"/>
        <v/>
      </c>
      <c r="N433" s="4" t="str">
        <f t="shared" si="26"/>
        <v/>
      </c>
      <c r="O433" s="4" t="str">
        <f t="shared" ca="1" si="27"/>
        <v/>
      </c>
    </row>
    <row r="434" spans="1:15" x14ac:dyDescent="0.25">
      <c r="A434" s="4"/>
      <c r="B434" s="4" t="str">
        <f ca="1">IFERROR(_xludf.XLOOKUP(A434,Pracownicy!$A$2:$A$501,Pracownicy!$B$2:$B$501),"")</f>
        <v/>
      </c>
      <c r="C434" s="4"/>
      <c r="D434" s="4" t="str">
        <f ca="1">IFERROR(_xludf.XLOOKUP(C434,Milestones!$A$2:$A$501,Milestones!$B$2:$B$501),"")</f>
        <v/>
      </c>
      <c r="E434" s="4" t="str">
        <f ca="1">IFERROR(_xludf.XLOOKUP(D434,Projekty!$A$2:$A$501,Projekty!$B$2:$B$501),"")</f>
        <v/>
      </c>
      <c r="F434" s="4" t="str">
        <f ca="1">IFERROR(_xludf.XLOOKUP(C434,Milestones!$A$2:$A$501,Milestones!$C$2:$C$501),"")</f>
        <v/>
      </c>
      <c r="G434" s="4" t="str">
        <f ca="1">IFERROR(_xludf.XLOOKUP(C434,Milestones!$A$2:$A$501,Milestones!$F$2:$F$501),"")</f>
        <v/>
      </c>
      <c r="H434" s="4" t="str">
        <f ca="1">IFERROR(_xludf.XLOOKUP(C434,Milestones!$A$2:$A$501,Milestones!$M$2:$M$501),"")</f>
        <v/>
      </c>
      <c r="I434" s="4" t="str">
        <f t="shared" ca="1" si="24"/>
        <v/>
      </c>
      <c r="J434" s="4"/>
      <c r="K434" s="4" t="str">
        <f ca="1">IFERROR(_xludf.XLOOKUP(A434,Pracownicy!$A$2:$A$501,Pracownicy!$F$2:$F$501),"")</f>
        <v/>
      </c>
      <c r="L434" s="4"/>
      <c r="M434" s="4" t="str">
        <f t="shared" ca="1" si="25"/>
        <v/>
      </c>
      <c r="N434" s="4" t="str">
        <f t="shared" si="26"/>
        <v/>
      </c>
      <c r="O434" s="4" t="str">
        <f t="shared" ca="1" si="27"/>
        <v/>
      </c>
    </row>
    <row r="435" spans="1:15" x14ac:dyDescent="0.25">
      <c r="A435" s="4"/>
      <c r="B435" s="4" t="str">
        <f ca="1">IFERROR(_xludf.XLOOKUP(A435,Pracownicy!$A$2:$A$501,Pracownicy!$B$2:$B$501),"")</f>
        <v/>
      </c>
      <c r="C435" s="4"/>
      <c r="D435" s="4" t="str">
        <f ca="1">IFERROR(_xludf.XLOOKUP(C435,Milestones!$A$2:$A$501,Milestones!$B$2:$B$501),"")</f>
        <v/>
      </c>
      <c r="E435" s="4" t="str">
        <f ca="1">IFERROR(_xludf.XLOOKUP(D435,Projekty!$A$2:$A$501,Projekty!$B$2:$B$501),"")</f>
        <v/>
      </c>
      <c r="F435" s="4" t="str">
        <f ca="1">IFERROR(_xludf.XLOOKUP(C435,Milestones!$A$2:$A$501,Milestones!$C$2:$C$501),"")</f>
        <v/>
      </c>
      <c r="G435" s="4" t="str">
        <f ca="1">IFERROR(_xludf.XLOOKUP(C435,Milestones!$A$2:$A$501,Milestones!$F$2:$F$501),"")</f>
        <v/>
      </c>
      <c r="H435" s="4" t="str">
        <f ca="1">IFERROR(_xludf.XLOOKUP(C435,Milestones!$A$2:$A$501,Milestones!$M$2:$M$501),"")</f>
        <v/>
      </c>
      <c r="I435" s="4" t="str">
        <f t="shared" ca="1" si="24"/>
        <v/>
      </c>
      <c r="J435" s="4"/>
      <c r="K435" s="4" t="str">
        <f ca="1">IFERROR(_xludf.XLOOKUP(A435,Pracownicy!$A$2:$A$501,Pracownicy!$F$2:$F$501),"")</f>
        <v/>
      </c>
      <c r="L435" s="4"/>
      <c r="M435" s="4" t="str">
        <f t="shared" ca="1" si="25"/>
        <v/>
      </c>
      <c r="N435" s="4" t="str">
        <f t="shared" si="26"/>
        <v/>
      </c>
      <c r="O435" s="4" t="str">
        <f t="shared" ca="1" si="27"/>
        <v/>
      </c>
    </row>
    <row r="436" spans="1:15" x14ac:dyDescent="0.25">
      <c r="A436" s="4"/>
      <c r="B436" s="4" t="str">
        <f ca="1">IFERROR(_xludf.XLOOKUP(A436,Pracownicy!$A$2:$A$501,Pracownicy!$B$2:$B$501),"")</f>
        <v/>
      </c>
      <c r="C436" s="4"/>
      <c r="D436" s="4" t="str">
        <f ca="1">IFERROR(_xludf.XLOOKUP(C436,Milestones!$A$2:$A$501,Milestones!$B$2:$B$501),"")</f>
        <v/>
      </c>
      <c r="E436" s="4" t="str">
        <f ca="1">IFERROR(_xludf.XLOOKUP(D436,Projekty!$A$2:$A$501,Projekty!$B$2:$B$501),"")</f>
        <v/>
      </c>
      <c r="F436" s="4" t="str">
        <f ca="1">IFERROR(_xludf.XLOOKUP(C436,Milestones!$A$2:$A$501,Milestones!$C$2:$C$501),"")</f>
        <v/>
      </c>
      <c r="G436" s="4" t="str">
        <f ca="1">IFERROR(_xludf.XLOOKUP(C436,Milestones!$A$2:$A$501,Milestones!$F$2:$F$501),"")</f>
        <v/>
      </c>
      <c r="H436" s="4" t="str">
        <f ca="1">IFERROR(_xludf.XLOOKUP(C436,Milestones!$A$2:$A$501,Milestones!$M$2:$M$501),"")</f>
        <v/>
      </c>
      <c r="I436" s="4" t="str">
        <f t="shared" ca="1" si="24"/>
        <v/>
      </c>
      <c r="J436" s="4"/>
      <c r="K436" s="4" t="str">
        <f ca="1">IFERROR(_xludf.XLOOKUP(A436,Pracownicy!$A$2:$A$501,Pracownicy!$F$2:$F$501),"")</f>
        <v/>
      </c>
      <c r="L436" s="4"/>
      <c r="M436" s="4" t="str">
        <f t="shared" ca="1" si="25"/>
        <v/>
      </c>
      <c r="N436" s="4" t="str">
        <f t="shared" si="26"/>
        <v/>
      </c>
      <c r="O436" s="4" t="str">
        <f t="shared" ca="1" si="27"/>
        <v/>
      </c>
    </row>
    <row r="437" spans="1:15" x14ac:dyDescent="0.25">
      <c r="A437" s="4"/>
      <c r="B437" s="4" t="str">
        <f ca="1">IFERROR(_xludf.XLOOKUP(A437,Pracownicy!$A$2:$A$501,Pracownicy!$B$2:$B$501),"")</f>
        <v/>
      </c>
      <c r="C437" s="4"/>
      <c r="D437" s="4" t="str">
        <f ca="1">IFERROR(_xludf.XLOOKUP(C437,Milestones!$A$2:$A$501,Milestones!$B$2:$B$501),"")</f>
        <v/>
      </c>
      <c r="E437" s="4" t="str">
        <f ca="1">IFERROR(_xludf.XLOOKUP(D437,Projekty!$A$2:$A$501,Projekty!$B$2:$B$501),"")</f>
        <v/>
      </c>
      <c r="F437" s="4" t="str">
        <f ca="1">IFERROR(_xludf.XLOOKUP(C437,Milestones!$A$2:$A$501,Milestones!$C$2:$C$501),"")</f>
        <v/>
      </c>
      <c r="G437" s="4" t="str">
        <f ca="1">IFERROR(_xludf.XLOOKUP(C437,Milestones!$A$2:$A$501,Milestones!$F$2:$F$501),"")</f>
        <v/>
      </c>
      <c r="H437" s="4" t="str">
        <f ca="1">IFERROR(_xludf.XLOOKUP(C437,Milestones!$A$2:$A$501,Milestones!$M$2:$M$501),"")</f>
        <v/>
      </c>
      <c r="I437" s="4" t="str">
        <f t="shared" ca="1" si="24"/>
        <v/>
      </c>
      <c r="J437" s="4"/>
      <c r="K437" s="4" t="str">
        <f ca="1">IFERROR(_xludf.XLOOKUP(A437,Pracownicy!$A$2:$A$501,Pracownicy!$F$2:$F$501),"")</f>
        <v/>
      </c>
      <c r="L437" s="4"/>
      <c r="M437" s="4" t="str">
        <f t="shared" ca="1" si="25"/>
        <v/>
      </c>
      <c r="N437" s="4" t="str">
        <f t="shared" si="26"/>
        <v/>
      </c>
      <c r="O437" s="4" t="str">
        <f t="shared" ca="1" si="27"/>
        <v/>
      </c>
    </row>
    <row r="438" spans="1:15" x14ac:dyDescent="0.25">
      <c r="A438" s="4"/>
      <c r="B438" s="4" t="str">
        <f ca="1">IFERROR(_xludf.XLOOKUP(A438,Pracownicy!$A$2:$A$501,Pracownicy!$B$2:$B$501),"")</f>
        <v/>
      </c>
      <c r="C438" s="4"/>
      <c r="D438" s="4" t="str">
        <f ca="1">IFERROR(_xludf.XLOOKUP(C438,Milestones!$A$2:$A$501,Milestones!$B$2:$B$501),"")</f>
        <v/>
      </c>
      <c r="E438" s="4" t="str">
        <f ca="1">IFERROR(_xludf.XLOOKUP(D438,Projekty!$A$2:$A$501,Projekty!$B$2:$B$501),"")</f>
        <v/>
      </c>
      <c r="F438" s="4" t="str">
        <f ca="1">IFERROR(_xludf.XLOOKUP(C438,Milestones!$A$2:$A$501,Milestones!$C$2:$C$501),"")</f>
        <v/>
      </c>
      <c r="G438" s="4" t="str">
        <f ca="1">IFERROR(_xludf.XLOOKUP(C438,Milestones!$A$2:$A$501,Milestones!$F$2:$F$501),"")</f>
        <v/>
      </c>
      <c r="H438" s="4" t="str">
        <f ca="1">IFERROR(_xludf.XLOOKUP(C438,Milestones!$A$2:$A$501,Milestones!$M$2:$M$501),"")</f>
        <v/>
      </c>
      <c r="I438" s="4" t="str">
        <f t="shared" ca="1" si="24"/>
        <v/>
      </c>
      <c r="J438" s="4"/>
      <c r="K438" s="4" t="str">
        <f ca="1">IFERROR(_xludf.XLOOKUP(A438,Pracownicy!$A$2:$A$501,Pracownicy!$F$2:$F$501),"")</f>
        <v/>
      </c>
      <c r="L438" s="4"/>
      <c r="M438" s="4" t="str">
        <f t="shared" ca="1" si="25"/>
        <v/>
      </c>
      <c r="N438" s="4" t="str">
        <f t="shared" si="26"/>
        <v/>
      </c>
      <c r="O438" s="4" t="str">
        <f t="shared" ca="1" si="27"/>
        <v/>
      </c>
    </row>
    <row r="439" spans="1:15" x14ac:dyDescent="0.25">
      <c r="A439" s="4"/>
      <c r="B439" s="4" t="str">
        <f ca="1">IFERROR(_xludf.XLOOKUP(A439,Pracownicy!$A$2:$A$501,Pracownicy!$B$2:$B$501),"")</f>
        <v/>
      </c>
      <c r="C439" s="4"/>
      <c r="D439" s="4" t="str">
        <f ca="1">IFERROR(_xludf.XLOOKUP(C439,Milestones!$A$2:$A$501,Milestones!$B$2:$B$501),"")</f>
        <v/>
      </c>
      <c r="E439" s="4" t="str">
        <f ca="1">IFERROR(_xludf.XLOOKUP(D439,Projekty!$A$2:$A$501,Projekty!$B$2:$B$501),"")</f>
        <v/>
      </c>
      <c r="F439" s="4" t="str">
        <f ca="1">IFERROR(_xludf.XLOOKUP(C439,Milestones!$A$2:$A$501,Milestones!$C$2:$C$501),"")</f>
        <v/>
      </c>
      <c r="G439" s="4" t="str">
        <f ca="1">IFERROR(_xludf.XLOOKUP(C439,Milestones!$A$2:$A$501,Milestones!$F$2:$F$501),"")</f>
        <v/>
      </c>
      <c r="H439" s="4" t="str">
        <f ca="1">IFERROR(_xludf.XLOOKUP(C439,Milestones!$A$2:$A$501,Milestones!$M$2:$M$501),"")</f>
        <v/>
      </c>
      <c r="I439" s="4" t="str">
        <f t="shared" ca="1" si="24"/>
        <v/>
      </c>
      <c r="J439" s="4"/>
      <c r="K439" s="4" t="str">
        <f ca="1">IFERROR(_xludf.XLOOKUP(A439,Pracownicy!$A$2:$A$501,Pracownicy!$F$2:$F$501),"")</f>
        <v/>
      </c>
      <c r="L439" s="4"/>
      <c r="M439" s="4" t="str">
        <f t="shared" ca="1" si="25"/>
        <v/>
      </c>
      <c r="N439" s="4" t="str">
        <f t="shared" si="26"/>
        <v/>
      </c>
      <c r="O439" s="4" t="str">
        <f t="shared" ca="1" si="27"/>
        <v/>
      </c>
    </row>
    <row r="440" spans="1:15" x14ac:dyDescent="0.25">
      <c r="A440" s="4"/>
      <c r="B440" s="4" t="str">
        <f ca="1">IFERROR(_xludf.XLOOKUP(A440,Pracownicy!$A$2:$A$501,Pracownicy!$B$2:$B$501),"")</f>
        <v/>
      </c>
      <c r="C440" s="4"/>
      <c r="D440" s="4" t="str">
        <f ca="1">IFERROR(_xludf.XLOOKUP(C440,Milestones!$A$2:$A$501,Milestones!$B$2:$B$501),"")</f>
        <v/>
      </c>
      <c r="E440" s="4" t="str">
        <f ca="1">IFERROR(_xludf.XLOOKUP(D440,Projekty!$A$2:$A$501,Projekty!$B$2:$B$501),"")</f>
        <v/>
      </c>
      <c r="F440" s="4" t="str">
        <f ca="1">IFERROR(_xludf.XLOOKUP(C440,Milestones!$A$2:$A$501,Milestones!$C$2:$C$501),"")</f>
        <v/>
      </c>
      <c r="G440" s="4" t="str">
        <f ca="1">IFERROR(_xludf.XLOOKUP(C440,Milestones!$A$2:$A$501,Milestones!$F$2:$F$501),"")</f>
        <v/>
      </c>
      <c r="H440" s="4" t="str">
        <f ca="1">IFERROR(_xludf.XLOOKUP(C440,Milestones!$A$2:$A$501,Milestones!$M$2:$M$501),"")</f>
        <v/>
      </c>
      <c r="I440" s="4" t="str">
        <f t="shared" ca="1" si="24"/>
        <v/>
      </c>
      <c r="J440" s="4"/>
      <c r="K440" s="4" t="str">
        <f ca="1">IFERROR(_xludf.XLOOKUP(A440,Pracownicy!$A$2:$A$501,Pracownicy!$F$2:$F$501),"")</f>
        <v/>
      </c>
      <c r="L440" s="4"/>
      <c r="M440" s="4" t="str">
        <f t="shared" ca="1" si="25"/>
        <v/>
      </c>
      <c r="N440" s="4" t="str">
        <f t="shared" si="26"/>
        <v/>
      </c>
      <c r="O440" s="4" t="str">
        <f t="shared" ca="1" si="27"/>
        <v/>
      </c>
    </row>
    <row r="441" spans="1:15" x14ac:dyDescent="0.25">
      <c r="A441" s="4"/>
      <c r="B441" s="4" t="str">
        <f ca="1">IFERROR(_xludf.XLOOKUP(A441,Pracownicy!$A$2:$A$501,Pracownicy!$B$2:$B$501),"")</f>
        <v/>
      </c>
      <c r="C441" s="4"/>
      <c r="D441" s="4" t="str">
        <f ca="1">IFERROR(_xludf.XLOOKUP(C441,Milestones!$A$2:$A$501,Milestones!$B$2:$B$501),"")</f>
        <v/>
      </c>
      <c r="E441" s="4" t="str">
        <f ca="1">IFERROR(_xludf.XLOOKUP(D441,Projekty!$A$2:$A$501,Projekty!$B$2:$B$501),"")</f>
        <v/>
      </c>
      <c r="F441" s="4" t="str">
        <f ca="1">IFERROR(_xludf.XLOOKUP(C441,Milestones!$A$2:$A$501,Milestones!$C$2:$C$501),"")</f>
        <v/>
      </c>
      <c r="G441" s="4" t="str">
        <f ca="1">IFERROR(_xludf.XLOOKUP(C441,Milestones!$A$2:$A$501,Milestones!$F$2:$F$501),"")</f>
        <v/>
      </c>
      <c r="H441" s="4" t="str">
        <f ca="1">IFERROR(_xludf.XLOOKUP(C441,Milestones!$A$2:$A$501,Milestones!$M$2:$M$501),"")</f>
        <v/>
      </c>
      <c r="I441" s="4" t="str">
        <f t="shared" ca="1" si="24"/>
        <v/>
      </c>
      <c r="J441" s="4"/>
      <c r="K441" s="4" t="str">
        <f ca="1">IFERROR(_xludf.XLOOKUP(A441,Pracownicy!$A$2:$A$501,Pracownicy!$F$2:$F$501),"")</f>
        <v/>
      </c>
      <c r="L441" s="4"/>
      <c r="M441" s="4" t="str">
        <f t="shared" ca="1" si="25"/>
        <v/>
      </c>
      <c r="N441" s="4" t="str">
        <f t="shared" si="26"/>
        <v/>
      </c>
      <c r="O441" s="4" t="str">
        <f t="shared" ca="1" si="27"/>
        <v/>
      </c>
    </row>
    <row r="442" spans="1:15" x14ac:dyDescent="0.25">
      <c r="A442" s="4"/>
      <c r="B442" s="4" t="str">
        <f ca="1">IFERROR(_xludf.XLOOKUP(A442,Pracownicy!$A$2:$A$501,Pracownicy!$B$2:$B$501),"")</f>
        <v/>
      </c>
      <c r="C442" s="4"/>
      <c r="D442" s="4" t="str">
        <f ca="1">IFERROR(_xludf.XLOOKUP(C442,Milestones!$A$2:$A$501,Milestones!$B$2:$B$501),"")</f>
        <v/>
      </c>
      <c r="E442" s="4" t="str">
        <f ca="1">IFERROR(_xludf.XLOOKUP(D442,Projekty!$A$2:$A$501,Projekty!$B$2:$B$501),"")</f>
        <v/>
      </c>
      <c r="F442" s="4" t="str">
        <f ca="1">IFERROR(_xludf.XLOOKUP(C442,Milestones!$A$2:$A$501,Milestones!$C$2:$C$501),"")</f>
        <v/>
      </c>
      <c r="G442" s="4" t="str">
        <f ca="1">IFERROR(_xludf.XLOOKUP(C442,Milestones!$A$2:$A$501,Milestones!$F$2:$F$501),"")</f>
        <v/>
      </c>
      <c r="H442" s="4" t="str">
        <f ca="1">IFERROR(_xludf.XLOOKUP(C442,Milestones!$A$2:$A$501,Milestones!$M$2:$M$501),"")</f>
        <v/>
      </c>
      <c r="I442" s="4" t="str">
        <f t="shared" ca="1" si="24"/>
        <v/>
      </c>
      <c r="J442" s="4"/>
      <c r="K442" s="4" t="str">
        <f ca="1">IFERROR(_xludf.XLOOKUP(A442,Pracownicy!$A$2:$A$501,Pracownicy!$F$2:$F$501),"")</f>
        <v/>
      </c>
      <c r="L442" s="4"/>
      <c r="M442" s="4" t="str">
        <f t="shared" ca="1" si="25"/>
        <v/>
      </c>
      <c r="N442" s="4" t="str">
        <f t="shared" si="26"/>
        <v/>
      </c>
      <c r="O442" s="4" t="str">
        <f t="shared" ca="1" si="27"/>
        <v/>
      </c>
    </row>
    <row r="443" spans="1:15" x14ac:dyDescent="0.25">
      <c r="A443" s="4"/>
      <c r="B443" s="4" t="str">
        <f ca="1">IFERROR(_xludf.XLOOKUP(A443,Pracownicy!$A$2:$A$501,Pracownicy!$B$2:$B$501),"")</f>
        <v/>
      </c>
      <c r="C443" s="4"/>
      <c r="D443" s="4" t="str">
        <f ca="1">IFERROR(_xludf.XLOOKUP(C443,Milestones!$A$2:$A$501,Milestones!$B$2:$B$501),"")</f>
        <v/>
      </c>
      <c r="E443" s="4" t="str">
        <f ca="1">IFERROR(_xludf.XLOOKUP(D443,Projekty!$A$2:$A$501,Projekty!$B$2:$B$501),"")</f>
        <v/>
      </c>
      <c r="F443" s="4" t="str">
        <f ca="1">IFERROR(_xludf.XLOOKUP(C443,Milestones!$A$2:$A$501,Milestones!$C$2:$C$501),"")</f>
        <v/>
      </c>
      <c r="G443" s="4" t="str">
        <f ca="1">IFERROR(_xludf.XLOOKUP(C443,Milestones!$A$2:$A$501,Milestones!$F$2:$F$501),"")</f>
        <v/>
      </c>
      <c r="H443" s="4" t="str">
        <f ca="1">IFERROR(_xludf.XLOOKUP(C443,Milestones!$A$2:$A$501,Milestones!$M$2:$M$501),"")</f>
        <v/>
      </c>
      <c r="I443" s="4" t="str">
        <f t="shared" ca="1" si="24"/>
        <v/>
      </c>
      <c r="J443" s="4"/>
      <c r="K443" s="4" t="str">
        <f ca="1">IFERROR(_xludf.XLOOKUP(A443,Pracownicy!$A$2:$A$501,Pracownicy!$F$2:$F$501),"")</f>
        <v/>
      </c>
      <c r="L443" s="4"/>
      <c r="M443" s="4" t="str">
        <f t="shared" ca="1" si="25"/>
        <v/>
      </c>
      <c r="N443" s="4" t="str">
        <f t="shared" si="26"/>
        <v/>
      </c>
      <c r="O443" s="4" t="str">
        <f t="shared" ca="1" si="27"/>
        <v/>
      </c>
    </row>
    <row r="444" spans="1:15" x14ac:dyDescent="0.25">
      <c r="A444" s="4"/>
      <c r="B444" s="4" t="str">
        <f ca="1">IFERROR(_xludf.XLOOKUP(A444,Pracownicy!$A$2:$A$501,Pracownicy!$B$2:$B$501),"")</f>
        <v/>
      </c>
      <c r="C444" s="4"/>
      <c r="D444" s="4" t="str">
        <f ca="1">IFERROR(_xludf.XLOOKUP(C444,Milestones!$A$2:$A$501,Milestones!$B$2:$B$501),"")</f>
        <v/>
      </c>
      <c r="E444" s="4" t="str">
        <f ca="1">IFERROR(_xludf.XLOOKUP(D444,Projekty!$A$2:$A$501,Projekty!$B$2:$B$501),"")</f>
        <v/>
      </c>
      <c r="F444" s="4" t="str">
        <f ca="1">IFERROR(_xludf.XLOOKUP(C444,Milestones!$A$2:$A$501,Milestones!$C$2:$C$501),"")</f>
        <v/>
      </c>
      <c r="G444" s="4" t="str">
        <f ca="1">IFERROR(_xludf.XLOOKUP(C444,Milestones!$A$2:$A$501,Milestones!$F$2:$F$501),"")</f>
        <v/>
      </c>
      <c r="H444" s="4" t="str">
        <f ca="1">IFERROR(_xludf.XLOOKUP(C444,Milestones!$A$2:$A$501,Milestones!$M$2:$M$501),"")</f>
        <v/>
      </c>
      <c r="I444" s="4" t="str">
        <f t="shared" ca="1" si="24"/>
        <v/>
      </c>
      <c r="J444" s="4"/>
      <c r="K444" s="4" t="str">
        <f ca="1">IFERROR(_xludf.XLOOKUP(A444,Pracownicy!$A$2:$A$501,Pracownicy!$F$2:$F$501),"")</f>
        <v/>
      </c>
      <c r="L444" s="4"/>
      <c r="M444" s="4" t="str">
        <f t="shared" ca="1" si="25"/>
        <v/>
      </c>
      <c r="N444" s="4" t="str">
        <f t="shared" si="26"/>
        <v/>
      </c>
      <c r="O444" s="4" t="str">
        <f t="shared" ca="1" si="27"/>
        <v/>
      </c>
    </row>
    <row r="445" spans="1:15" x14ac:dyDescent="0.25">
      <c r="A445" s="4"/>
      <c r="B445" s="4" t="str">
        <f ca="1">IFERROR(_xludf.XLOOKUP(A445,Pracownicy!$A$2:$A$501,Pracownicy!$B$2:$B$501),"")</f>
        <v/>
      </c>
      <c r="C445" s="4"/>
      <c r="D445" s="4" t="str">
        <f ca="1">IFERROR(_xludf.XLOOKUP(C445,Milestones!$A$2:$A$501,Milestones!$B$2:$B$501),"")</f>
        <v/>
      </c>
      <c r="E445" s="4" t="str">
        <f ca="1">IFERROR(_xludf.XLOOKUP(D445,Projekty!$A$2:$A$501,Projekty!$B$2:$B$501),"")</f>
        <v/>
      </c>
      <c r="F445" s="4" t="str">
        <f ca="1">IFERROR(_xludf.XLOOKUP(C445,Milestones!$A$2:$A$501,Milestones!$C$2:$C$501),"")</f>
        <v/>
      </c>
      <c r="G445" s="4" t="str">
        <f ca="1">IFERROR(_xludf.XLOOKUP(C445,Milestones!$A$2:$A$501,Milestones!$F$2:$F$501),"")</f>
        <v/>
      </c>
      <c r="H445" s="4" t="str">
        <f ca="1">IFERROR(_xludf.XLOOKUP(C445,Milestones!$A$2:$A$501,Milestones!$M$2:$M$501),"")</f>
        <v/>
      </c>
      <c r="I445" s="4" t="str">
        <f t="shared" ca="1" si="24"/>
        <v/>
      </c>
      <c r="J445" s="4"/>
      <c r="K445" s="4" t="str">
        <f ca="1">IFERROR(_xludf.XLOOKUP(A445,Pracownicy!$A$2:$A$501,Pracownicy!$F$2:$F$501),"")</f>
        <v/>
      </c>
      <c r="L445" s="4"/>
      <c r="M445" s="4" t="str">
        <f t="shared" ca="1" si="25"/>
        <v/>
      </c>
      <c r="N445" s="4" t="str">
        <f t="shared" si="26"/>
        <v/>
      </c>
      <c r="O445" s="4" t="str">
        <f t="shared" ca="1" si="27"/>
        <v/>
      </c>
    </row>
    <row r="446" spans="1:15" x14ac:dyDescent="0.25">
      <c r="A446" s="4"/>
      <c r="B446" s="4" t="str">
        <f ca="1">IFERROR(_xludf.XLOOKUP(A446,Pracownicy!$A$2:$A$501,Pracownicy!$B$2:$B$501),"")</f>
        <v/>
      </c>
      <c r="C446" s="4"/>
      <c r="D446" s="4" t="str">
        <f ca="1">IFERROR(_xludf.XLOOKUP(C446,Milestones!$A$2:$A$501,Milestones!$B$2:$B$501),"")</f>
        <v/>
      </c>
      <c r="E446" s="4" t="str">
        <f ca="1">IFERROR(_xludf.XLOOKUP(D446,Projekty!$A$2:$A$501,Projekty!$B$2:$B$501),"")</f>
        <v/>
      </c>
      <c r="F446" s="4" t="str">
        <f ca="1">IFERROR(_xludf.XLOOKUP(C446,Milestones!$A$2:$A$501,Milestones!$C$2:$C$501),"")</f>
        <v/>
      </c>
      <c r="G446" s="4" t="str">
        <f ca="1">IFERROR(_xludf.XLOOKUP(C446,Milestones!$A$2:$A$501,Milestones!$F$2:$F$501),"")</f>
        <v/>
      </c>
      <c r="H446" s="4" t="str">
        <f ca="1">IFERROR(_xludf.XLOOKUP(C446,Milestones!$A$2:$A$501,Milestones!$M$2:$M$501),"")</f>
        <v/>
      </c>
      <c r="I446" s="4" t="str">
        <f t="shared" ca="1" si="24"/>
        <v/>
      </c>
      <c r="J446" s="4"/>
      <c r="K446" s="4" t="str">
        <f ca="1">IFERROR(_xludf.XLOOKUP(A446,Pracownicy!$A$2:$A$501,Pracownicy!$F$2:$F$501),"")</f>
        <v/>
      </c>
      <c r="L446" s="4"/>
      <c r="M446" s="4" t="str">
        <f t="shared" ca="1" si="25"/>
        <v/>
      </c>
      <c r="N446" s="4" t="str">
        <f t="shared" si="26"/>
        <v/>
      </c>
      <c r="O446" s="4" t="str">
        <f t="shared" ca="1" si="27"/>
        <v/>
      </c>
    </row>
    <row r="447" spans="1:15" x14ac:dyDescent="0.25">
      <c r="A447" s="4"/>
      <c r="B447" s="4" t="str">
        <f ca="1">IFERROR(_xludf.XLOOKUP(A447,Pracownicy!$A$2:$A$501,Pracownicy!$B$2:$B$501),"")</f>
        <v/>
      </c>
      <c r="C447" s="4"/>
      <c r="D447" s="4" t="str">
        <f ca="1">IFERROR(_xludf.XLOOKUP(C447,Milestones!$A$2:$A$501,Milestones!$B$2:$B$501),"")</f>
        <v/>
      </c>
      <c r="E447" s="4" t="str">
        <f ca="1">IFERROR(_xludf.XLOOKUP(D447,Projekty!$A$2:$A$501,Projekty!$B$2:$B$501),"")</f>
        <v/>
      </c>
      <c r="F447" s="4" t="str">
        <f ca="1">IFERROR(_xludf.XLOOKUP(C447,Milestones!$A$2:$A$501,Milestones!$C$2:$C$501),"")</f>
        <v/>
      </c>
      <c r="G447" s="4" t="str">
        <f ca="1">IFERROR(_xludf.XLOOKUP(C447,Milestones!$A$2:$A$501,Milestones!$F$2:$F$501),"")</f>
        <v/>
      </c>
      <c r="H447" s="4" t="str">
        <f ca="1">IFERROR(_xludf.XLOOKUP(C447,Milestones!$A$2:$A$501,Milestones!$M$2:$M$501),"")</f>
        <v/>
      </c>
      <c r="I447" s="4" t="str">
        <f t="shared" ca="1" si="24"/>
        <v/>
      </c>
      <c r="J447" s="4"/>
      <c r="K447" s="4" t="str">
        <f ca="1">IFERROR(_xludf.XLOOKUP(A447,Pracownicy!$A$2:$A$501,Pracownicy!$F$2:$F$501),"")</f>
        <v/>
      </c>
      <c r="L447" s="4"/>
      <c r="M447" s="4" t="str">
        <f t="shared" ca="1" si="25"/>
        <v/>
      </c>
      <c r="N447" s="4" t="str">
        <f t="shared" si="26"/>
        <v/>
      </c>
      <c r="O447" s="4" t="str">
        <f t="shared" ca="1" si="27"/>
        <v/>
      </c>
    </row>
    <row r="448" spans="1:15" x14ac:dyDescent="0.25">
      <c r="A448" s="4"/>
      <c r="B448" s="4" t="str">
        <f ca="1">IFERROR(_xludf.XLOOKUP(A448,Pracownicy!$A$2:$A$501,Pracownicy!$B$2:$B$501),"")</f>
        <v/>
      </c>
      <c r="C448" s="4"/>
      <c r="D448" s="4" t="str">
        <f ca="1">IFERROR(_xludf.XLOOKUP(C448,Milestones!$A$2:$A$501,Milestones!$B$2:$B$501),"")</f>
        <v/>
      </c>
      <c r="E448" s="4" t="str">
        <f ca="1">IFERROR(_xludf.XLOOKUP(D448,Projekty!$A$2:$A$501,Projekty!$B$2:$B$501),"")</f>
        <v/>
      </c>
      <c r="F448" s="4" t="str">
        <f ca="1">IFERROR(_xludf.XLOOKUP(C448,Milestones!$A$2:$A$501,Milestones!$C$2:$C$501),"")</f>
        <v/>
      </c>
      <c r="G448" s="4" t="str">
        <f ca="1">IFERROR(_xludf.XLOOKUP(C448,Milestones!$A$2:$A$501,Milestones!$F$2:$F$501),"")</f>
        <v/>
      </c>
      <c r="H448" s="4" t="str">
        <f ca="1">IFERROR(_xludf.XLOOKUP(C448,Milestones!$A$2:$A$501,Milestones!$M$2:$M$501),"")</f>
        <v/>
      </c>
      <c r="I448" s="4" t="str">
        <f t="shared" ca="1" si="24"/>
        <v/>
      </c>
      <c r="J448" s="4"/>
      <c r="K448" s="4" t="str">
        <f ca="1">IFERROR(_xludf.XLOOKUP(A448,Pracownicy!$A$2:$A$501,Pracownicy!$F$2:$F$501),"")</f>
        <v/>
      </c>
      <c r="L448" s="4"/>
      <c r="M448" s="4" t="str">
        <f t="shared" ca="1" si="25"/>
        <v/>
      </c>
      <c r="N448" s="4" t="str">
        <f t="shared" si="26"/>
        <v/>
      </c>
      <c r="O448" s="4" t="str">
        <f t="shared" ca="1" si="27"/>
        <v/>
      </c>
    </row>
    <row r="449" spans="1:15" x14ac:dyDescent="0.25">
      <c r="A449" s="4"/>
      <c r="B449" s="4" t="str">
        <f ca="1">IFERROR(_xludf.XLOOKUP(A449,Pracownicy!$A$2:$A$501,Pracownicy!$B$2:$B$501),"")</f>
        <v/>
      </c>
      <c r="C449" s="4"/>
      <c r="D449" s="4" t="str">
        <f ca="1">IFERROR(_xludf.XLOOKUP(C449,Milestones!$A$2:$A$501,Milestones!$B$2:$B$501),"")</f>
        <v/>
      </c>
      <c r="E449" s="4" t="str">
        <f ca="1">IFERROR(_xludf.XLOOKUP(D449,Projekty!$A$2:$A$501,Projekty!$B$2:$B$501),"")</f>
        <v/>
      </c>
      <c r="F449" s="4" t="str">
        <f ca="1">IFERROR(_xludf.XLOOKUP(C449,Milestones!$A$2:$A$501,Milestones!$C$2:$C$501),"")</f>
        <v/>
      </c>
      <c r="G449" s="4" t="str">
        <f ca="1">IFERROR(_xludf.XLOOKUP(C449,Milestones!$A$2:$A$501,Milestones!$F$2:$F$501),"")</f>
        <v/>
      </c>
      <c r="H449" s="4" t="str">
        <f ca="1">IFERROR(_xludf.XLOOKUP(C449,Milestones!$A$2:$A$501,Milestones!$M$2:$M$501),"")</f>
        <v/>
      </c>
      <c r="I449" s="4" t="str">
        <f t="shared" ca="1" si="24"/>
        <v/>
      </c>
      <c r="J449" s="4"/>
      <c r="K449" s="4" t="str">
        <f ca="1">IFERROR(_xludf.XLOOKUP(A449,Pracownicy!$A$2:$A$501,Pracownicy!$F$2:$F$501),"")</f>
        <v/>
      </c>
      <c r="L449" s="4"/>
      <c r="M449" s="4" t="str">
        <f t="shared" ca="1" si="25"/>
        <v/>
      </c>
      <c r="N449" s="4" t="str">
        <f t="shared" si="26"/>
        <v/>
      </c>
      <c r="O449" s="4" t="str">
        <f t="shared" ca="1" si="27"/>
        <v/>
      </c>
    </row>
    <row r="450" spans="1:15" x14ac:dyDescent="0.25">
      <c r="A450" s="4"/>
      <c r="B450" s="4" t="str">
        <f ca="1">IFERROR(_xludf.XLOOKUP(A450,Pracownicy!$A$2:$A$501,Pracownicy!$B$2:$B$501),"")</f>
        <v/>
      </c>
      <c r="C450" s="4"/>
      <c r="D450" s="4" t="str">
        <f ca="1">IFERROR(_xludf.XLOOKUP(C450,Milestones!$A$2:$A$501,Milestones!$B$2:$B$501),"")</f>
        <v/>
      </c>
      <c r="E450" s="4" t="str">
        <f ca="1">IFERROR(_xludf.XLOOKUP(D450,Projekty!$A$2:$A$501,Projekty!$B$2:$B$501),"")</f>
        <v/>
      </c>
      <c r="F450" s="4" t="str">
        <f ca="1">IFERROR(_xludf.XLOOKUP(C450,Milestones!$A$2:$A$501,Milestones!$C$2:$C$501),"")</f>
        <v/>
      </c>
      <c r="G450" s="4" t="str">
        <f ca="1">IFERROR(_xludf.XLOOKUP(C450,Milestones!$A$2:$A$501,Milestones!$F$2:$F$501),"")</f>
        <v/>
      </c>
      <c r="H450" s="4" t="str">
        <f ca="1">IFERROR(_xludf.XLOOKUP(C450,Milestones!$A$2:$A$501,Milestones!$M$2:$M$501),"")</f>
        <v/>
      </c>
      <c r="I450" s="4" t="str">
        <f t="shared" ref="I450:I501" ca="1" si="28">IF(H450="","",MIN(H450,1))</f>
        <v/>
      </c>
      <c r="J450" s="4"/>
      <c r="K450" s="4" t="str">
        <f ca="1">IFERROR(_xludf.XLOOKUP(A450,Pracownicy!$A$2:$A$501,Pracownicy!$F$2:$F$501),"")</f>
        <v/>
      </c>
      <c r="L450" s="4"/>
      <c r="M450" s="4" t="str">
        <f t="shared" ref="M450:M501" ca="1" si="29">IF(OR(J450="",K450="",L450=""),"",J450*K450*L450)</f>
        <v/>
      </c>
      <c r="N450" s="4" t="str">
        <f t="shared" ref="N450:N501" si="30">IF(C450="","",SUMIF($C$2:$C$501,C450,$M$2:$M$501))</f>
        <v/>
      </c>
      <c r="O450" s="4" t="str">
        <f t="shared" ref="O450:O501" ca="1" si="31">IF(OR(G450="",I450="",M450="",N450="",N450=0),"",ROUNDDOWN(G450*I450*(M450/N450),2))</f>
        <v/>
      </c>
    </row>
    <row r="451" spans="1:15" x14ac:dyDescent="0.25">
      <c r="A451" s="4"/>
      <c r="B451" s="4" t="str">
        <f ca="1">IFERROR(_xludf.XLOOKUP(A451,Pracownicy!$A$2:$A$501,Pracownicy!$B$2:$B$501),"")</f>
        <v/>
      </c>
      <c r="C451" s="4"/>
      <c r="D451" s="4" t="str">
        <f ca="1">IFERROR(_xludf.XLOOKUP(C451,Milestones!$A$2:$A$501,Milestones!$B$2:$B$501),"")</f>
        <v/>
      </c>
      <c r="E451" s="4" t="str">
        <f ca="1">IFERROR(_xludf.XLOOKUP(D451,Projekty!$A$2:$A$501,Projekty!$B$2:$B$501),"")</f>
        <v/>
      </c>
      <c r="F451" s="4" t="str">
        <f ca="1">IFERROR(_xludf.XLOOKUP(C451,Milestones!$A$2:$A$501,Milestones!$C$2:$C$501),"")</f>
        <v/>
      </c>
      <c r="G451" s="4" t="str">
        <f ca="1">IFERROR(_xludf.XLOOKUP(C451,Milestones!$A$2:$A$501,Milestones!$F$2:$F$501),"")</f>
        <v/>
      </c>
      <c r="H451" s="4" t="str">
        <f ca="1">IFERROR(_xludf.XLOOKUP(C451,Milestones!$A$2:$A$501,Milestones!$M$2:$M$501),"")</f>
        <v/>
      </c>
      <c r="I451" s="4" t="str">
        <f t="shared" ca="1" si="28"/>
        <v/>
      </c>
      <c r="J451" s="4"/>
      <c r="K451" s="4" t="str">
        <f ca="1">IFERROR(_xludf.XLOOKUP(A451,Pracownicy!$A$2:$A$501,Pracownicy!$F$2:$F$501),"")</f>
        <v/>
      </c>
      <c r="L451" s="4"/>
      <c r="M451" s="4" t="str">
        <f t="shared" ca="1" si="29"/>
        <v/>
      </c>
      <c r="N451" s="4" t="str">
        <f t="shared" si="30"/>
        <v/>
      </c>
      <c r="O451" s="4" t="str">
        <f t="shared" ca="1" si="31"/>
        <v/>
      </c>
    </row>
    <row r="452" spans="1:15" x14ac:dyDescent="0.25">
      <c r="A452" s="4"/>
      <c r="B452" s="4" t="str">
        <f ca="1">IFERROR(_xludf.XLOOKUP(A452,Pracownicy!$A$2:$A$501,Pracownicy!$B$2:$B$501),"")</f>
        <v/>
      </c>
      <c r="C452" s="4"/>
      <c r="D452" s="4" t="str">
        <f ca="1">IFERROR(_xludf.XLOOKUP(C452,Milestones!$A$2:$A$501,Milestones!$B$2:$B$501),"")</f>
        <v/>
      </c>
      <c r="E452" s="4" t="str">
        <f ca="1">IFERROR(_xludf.XLOOKUP(D452,Projekty!$A$2:$A$501,Projekty!$B$2:$B$501),"")</f>
        <v/>
      </c>
      <c r="F452" s="4" t="str">
        <f ca="1">IFERROR(_xludf.XLOOKUP(C452,Milestones!$A$2:$A$501,Milestones!$C$2:$C$501),"")</f>
        <v/>
      </c>
      <c r="G452" s="4" t="str">
        <f ca="1">IFERROR(_xludf.XLOOKUP(C452,Milestones!$A$2:$A$501,Milestones!$F$2:$F$501),"")</f>
        <v/>
      </c>
      <c r="H452" s="4" t="str">
        <f ca="1">IFERROR(_xludf.XLOOKUP(C452,Milestones!$A$2:$A$501,Milestones!$M$2:$M$501),"")</f>
        <v/>
      </c>
      <c r="I452" s="4" t="str">
        <f t="shared" ca="1" si="28"/>
        <v/>
      </c>
      <c r="J452" s="4"/>
      <c r="K452" s="4" t="str">
        <f ca="1">IFERROR(_xludf.XLOOKUP(A452,Pracownicy!$A$2:$A$501,Pracownicy!$F$2:$F$501),"")</f>
        <v/>
      </c>
      <c r="L452" s="4"/>
      <c r="M452" s="4" t="str">
        <f t="shared" ca="1" si="29"/>
        <v/>
      </c>
      <c r="N452" s="4" t="str">
        <f t="shared" si="30"/>
        <v/>
      </c>
      <c r="O452" s="4" t="str">
        <f t="shared" ca="1" si="31"/>
        <v/>
      </c>
    </row>
    <row r="453" spans="1:15" x14ac:dyDescent="0.25">
      <c r="A453" s="4"/>
      <c r="B453" s="4" t="str">
        <f ca="1">IFERROR(_xludf.XLOOKUP(A453,Pracownicy!$A$2:$A$501,Pracownicy!$B$2:$B$501),"")</f>
        <v/>
      </c>
      <c r="C453" s="4"/>
      <c r="D453" s="4" t="str">
        <f ca="1">IFERROR(_xludf.XLOOKUP(C453,Milestones!$A$2:$A$501,Milestones!$B$2:$B$501),"")</f>
        <v/>
      </c>
      <c r="E453" s="4" t="str">
        <f ca="1">IFERROR(_xludf.XLOOKUP(D453,Projekty!$A$2:$A$501,Projekty!$B$2:$B$501),"")</f>
        <v/>
      </c>
      <c r="F453" s="4" t="str">
        <f ca="1">IFERROR(_xludf.XLOOKUP(C453,Milestones!$A$2:$A$501,Milestones!$C$2:$C$501),"")</f>
        <v/>
      </c>
      <c r="G453" s="4" t="str">
        <f ca="1">IFERROR(_xludf.XLOOKUP(C453,Milestones!$A$2:$A$501,Milestones!$F$2:$F$501),"")</f>
        <v/>
      </c>
      <c r="H453" s="4" t="str">
        <f ca="1">IFERROR(_xludf.XLOOKUP(C453,Milestones!$A$2:$A$501,Milestones!$M$2:$M$501),"")</f>
        <v/>
      </c>
      <c r="I453" s="4" t="str">
        <f t="shared" ca="1" si="28"/>
        <v/>
      </c>
      <c r="J453" s="4"/>
      <c r="K453" s="4" t="str">
        <f ca="1">IFERROR(_xludf.XLOOKUP(A453,Pracownicy!$A$2:$A$501,Pracownicy!$F$2:$F$501),"")</f>
        <v/>
      </c>
      <c r="L453" s="4"/>
      <c r="M453" s="4" t="str">
        <f t="shared" ca="1" si="29"/>
        <v/>
      </c>
      <c r="N453" s="4" t="str">
        <f t="shared" si="30"/>
        <v/>
      </c>
      <c r="O453" s="4" t="str">
        <f t="shared" ca="1" si="31"/>
        <v/>
      </c>
    </row>
    <row r="454" spans="1:15" x14ac:dyDescent="0.25">
      <c r="A454" s="4"/>
      <c r="B454" s="4" t="str">
        <f ca="1">IFERROR(_xludf.XLOOKUP(A454,Pracownicy!$A$2:$A$501,Pracownicy!$B$2:$B$501),"")</f>
        <v/>
      </c>
      <c r="C454" s="4"/>
      <c r="D454" s="4" t="str">
        <f ca="1">IFERROR(_xludf.XLOOKUP(C454,Milestones!$A$2:$A$501,Milestones!$B$2:$B$501),"")</f>
        <v/>
      </c>
      <c r="E454" s="4" t="str">
        <f ca="1">IFERROR(_xludf.XLOOKUP(D454,Projekty!$A$2:$A$501,Projekty!$B$2:$B$501),"")</f>
        <v/>
      </c>
      <c r="F454" s="4" t="str">
        <f ca="1">IFERROR(_xludf.XLOOKUP(C454,Milestones!$A$2:$A$501,Milestones!$C$2:$C$501),"")</f>
        <v/>
      </c>
      <c r="G454" s="4" t="str">
        <f ca="1">IFERROR(_xludf.XLOOKUP(C454,Milestones!$A$2:$A$501,Milestones!$F$2:$F$501),"")</f>
        <v/>
      </c>
      <c r="H454" s="4" t="str">
        <f ca="1">IFERROR(_xludf.XLOOKUP(C454,Milestones!$A$2:$A$501,Milestones!$M$2:$M$501),"")</f>
        <v/>
      </c>
      <c r="I454" s="4" t="str">
        <f t="shared" ca="1" si="28"/>
        <v/>
      </c>
      <c r="J454" s="4"/>
      <c r="K454" s="4" t="str">
        <f ca="1">IFERROR(_xludf.XLOOKUP(A454,Pracownicy!$A$2:$A$501,Pracownicy!$F$2:$F$501),"")</f>
        <v/>
      </c>
      <c r="L454" s="4"/>
      <c r="M454" s="4" t="str">
        <f t="shared" ca="1" si="29"/>
        <v/>
      </c>
      <c r="N454" s="4" t="str">
        <f t="shared" si="30"/>
        <v/>
      </c>
      <c r="O454" s="4" t="str">
        <f t="shared" ca="1" si="31"/>
        <v/>
      </c>
    </row>
    <row r="455" spans="1:15" x14ac:dyDescent="0.25">
      <c r="A455" s="4"/>
      <c r="B455" s="4" t="str">
        <f ca="1">IFERROR(_xludf.XLOOKUP(A455,Pracownicy!$A$2:$A$501,Pracownicy!$B$2:$B$501),"")</f>
        <v/>
      </c>
      <c r="C455" s="4"/>
      <c r="D455" s="4" t="str">
        <f ca="1">IFERROR(_xludf.XLOOKUP(C455,Milestones!$A$2:$A$501,Milestones!$B$2:$B$501),"")</f>
        <v/>
      </c>
      <c r="E455" s="4" t="str">
        <f ca="1">IFERROR(_xludf.XLOOKUP(D455,Projekty!$A$2:$A$501,Projekty!$B$2:$B$501),"")</f>
        <v/>
      </c>
      <c r="F455" s="4" t="str">
        <f ca="1">IFERROR(_xludf.XLOOKUP(C455,Milestones!$A$2:$A$501,Milestones!$C$2:$C$501),"")</f>
        <v/>
      </c>
      <c r="G455" s="4" t="str">
        <f ca="1">IFERROR(_xludf.XLOOKUP(C455,Milestones!$A$2:$A$501,Milestones!$F$2:$F$501),"")</f>
        <v/>
      </c>
      <c r="H455" s="4" t="str">
        <f ca="1">IFERROR(_xludf.XLOOKUP(C455,Milestones!$A$2:$A$501,Milestones!$M$2:$M$501),"")</f>
        <v/>
      </c>
      <c r="I455" s="4" t="str">
        <f t="shared" ca="1" si="28"/>
        <v/>
      </c>
      <c r="J455" s="4"/>
      <c r="K455" s="4" t="str">
        <f ca="1">IFERROR(_xludf.XLOOKUP(A455,Pracownicy!$A$2:$A$501,Pracownicy!$F$2:$F$501),"")</f>
        <v/>
      </c>
      <c r="L455" s="4"/>
      <c r="M455" s="4" t="str">
        <f t="shared" ca="1" si="29"/>
        <v/>
      </c>
      <c r="N455" s="4" t="str">
        <f t="shared" si="30"/>
        <v/>
      </c>
      <c r="O455" s="4" t="str">
        <f t="shared" ca="1" si="31"/>
        <v/>
      </c>
    </row>
    <row r="456" spans="1:15" x14ac:dyDescent="0.25">
      <c r="A456" s="4"/>
      <c r="B456" s="4" t="str">
        <f ca="1">IFERROR(_xludf.XLOOKUP(A456,Pracownicy!$A$2:$A$501,Pracownicy!$B$2:$B$501),"")</f>
        <v/>
      </c>
      <c r="C456" s="4"/>
      <c r="D456" s="4" t="str">
        <f ca="1">IFERROR(_xludf.XLOOKUP(C456,Milestones!$A$2:$A$501,Milestones!$B$2:$B$501),"")</f>
        <v/>
      </c>
      <c r="E456" s="4" t="str">
        <f ca="1">IFERROR(_xludf.XLOOKUP(D456,Projekty!$A$2:$A$501,Projekty!$B$2:$B$501),"")</f>
        <v/>
      </c>
      <c r="F456" s="4" t="str">
        <f ca="1">IFERROR(_xludf.XLOOKUP(C456,Milestones!$A$2:$A$501,Milestones!$C$2:$C$501),"")</f>
        <v/>
      </c>
      <c r="G456" s="4" t="str">
        <f ca="1">IFERROR(_xludf.XLOOKUP(C456,Milestones!$A$2:$A$501,Milestones!$F$2:$F$501),"")</f>
        <v/>
      </c>
      <c r="H456" s="4" t="str">
        <f ca="1">IFERROR(_xludf.XLOOKUP(C456,Milestones!$A$2:$A$501,Milestones!$M$2:$M$501),"")</f>
        <v/>
      </c>
      <c r="I456" s="4" t="str">
        <f t="shared" ca="1" si="28"/>
        <v/>
      </c>
      <c r="J456" s="4"/>
      <c r="K456" s="4" t="str">
        <f ca="1">IFERROR(_xludf.XLOOKUP(A456,Pracownicy!$A$2:$A$501,Pracownicy!$F$2:$F$501),"")</f>
        <v/>
      </c>
      <c r="L456" s="4"/>
      <c r="M456" s="4" t="str">
        <f t="shared" ca="1" si="29"/>
        <v/>
      </c>
      <c r="N456" s="4" t="str">
        <f t="shared" si="30"/>
        <v/>
      </c>
      <c r="O456" s="4" t="str">
        <f t="shared" ca="1" si="31"/>
        <v/>
      </c>
    </row>
    <row r="457" spans="1:15" x14ac:dyDescent="0.25">
      <c r="A457" s="4"/>
      <c r="B457" s="4" t="str">
        <f ca="1">IFERROR(_xludf.XLOOKUP(A457,Pracownicy!$A$2:$A$501,Pracownicy!$B$2:$B$501),"")</f>
        <v/>
      </c>
      <c r="C457" s="4"/>
      <c r="D457" s="4" t="str">
        <f ca="1">IFERROR(_xludf.XLOOKUP(C457,Milestones!$A$2:$A$501,Milestones!$B$2:$B$501),"")</f>
        <v/>
      </c>
      <c r="E457" s="4" t="str">
        <f ca="1">IFERROR(_xludf.XLOOKUP(D457,Projekty!$A$2:$A$501,Projekty!$B$2:$B$501),"")</f>
        <v/>
      </c>
      <c r="F457" s="4" t="str">
        <f ca="1">IFERROR(_xludf.XLOOKUP(C457,Milestones!$A$2:$A$501,Milestones!$C$2:$C$501),"")</f>
        <v/>
      </c>
      <c r="G457" s="4" t="str">
        <f ca="1">IFERROR(_xludf.XLOOKUP(C457,Milestones!$A$2:$A$501,Milestones!$F$2:$F$501),"")</f>
        <v/>
      </c>
      <c r="H457" s="4" t="str">
        <f ca="1">IFERROR(_xludf.XLOOKUP(C457,Milestones!$A$2:$A$501,Milestones!$M$2:$M$501),"")</f>
        <v/>
      </c>
      <c r="I457" s="4" t="str">
        <f t="shared" ca="1" si="28"/>
        <v/>
      </c>
      <c r="J457" s="4"/>
      <c r="K457" s="4" t="str">
        <f ca="1">IFERROR(_xludf.XLOOKUP(A457,Pracownicy!$A$2:$A$501,Pracownicy!$F$2:$F$501),"")</f>
        <v/>
      </c>
      <c r="L457" s="4"/>
      <c r="M457" s="4" t="str">
        <f t="shared" ca="1" si="29"/>
        <v/>
      </c>
      <c r="N457" s="4" t="str">
        <f t="shared" si="30"/>
        <v/>
      </c>
      <c r="O457" s="4" t="str">
        <f t="shared" ca="1" si="31"/>
        <v/>
      </c>
    </row>
    <row r="458" spans="1:15" x14ac:dyDescent="0.25">
      <c r="A458" s="4"/>
      <c r="B458" s="4" t="str">
        <f ca="1">IFERROR(_xludf.XLOOKUP(A458,Pracownicy!$A$2:$A$501,Pracownicy!$B$2:$B$501),"")</f>
        <v/>
      </c>
      <c r="C458" s="4"/>
      <c r="D458" s="4" t="str">
        <f ca="1">IFERROR(_xludf.XLOOKUP(C458,Milestones!$A$2:$A$501,Milestones!$B$2:$B$501),"")</f>
        <v/>
      </c>
      <c r="E458" s="4" t="str">
        <f ca="1">IFERROR(_xludf.XLOOKUP(D458,Projekty!$A$2:$A$501,Projekty!$B$2:$B$501),"")</f>
        <v/>
      </c>
      <c r="F458" s="4" t="str">
        <f ca="1">IFERROR(_xludf.XLOOKUP(C458,Milestones!$A$2:$A$501,Milestones!$C$2:$C$501),"")</f>
        <v/>
      </c>
      <c r="G458" s="4" t="str">
        <f ca="1">IFERROR(_xludf.XLOOKUP(C458,Milestones!$A$2:$A$501,Milestones!$F$2:$F$501),"")</f>
        <v/>
      </c>
      <c r="H458" s="4" t="str">
        <f ca="1">IFERROR(_xludf.XLOOKUP(C458,Milestones!$A$2:$A$501,Milestones!$M$2:$M$501),"")</f>
        <v/>
      </c>
      <c r="I458" s="4" t="str">
        <f t="shared" ca="1" si="28"/>
        <v/>
      </c>
      <c r="J458" s="4"/>
      <c r="K458" s="4" t="str">
        <f ca="1">IFERROR(_xludf.XLOOKUP(A458,Pracownicy!$A$2:$A$501,Pracownicy!$F$2:$F$501),"")</f>
        <v/>
      </c>
      <c r="L458" s="4"/>
      <c r="M458" s="4" t="str">
        <f t="shared" ca="1" si="29"/>
        <v/>
      </c>
      <c r="N458" s="4" t="str">
        <f t="shared" si="30"/>
        <v/>
      </c>
      <c r="O458" s="4" t="str">
        <f t="shared" ca="1" si="31"/>
        <v/>
      </c>
    </row>
    <row r="459" spans="1:15" x14ac:dyDescent="0.25">
      <c r="A459" s="4"/>
      <c r="B459" s="4" t="str">
        <f ca="1">IFERROR(_xludf.XLOOKUP(A459,Pracownicy!$A$2:$A$501,Pracownicy!$B$2:$B$501),"")</f>
        <v/>
      </c>
      <c r="C459" s="4"/>
      <c r="D459" s="4" t="str">
        <f ca="1">IFERROR(_xludf.XLOOKUP(C459,Milestones!$A$2:$A$501,Milestones!$B$2:$B$501),"")</f>
        <v/>
      </c>
      <c r="E459" s="4" t="str">
        <f ca="1">IFERROR(_xludf.XLOOKUP(D459,Projekty!$A$2:$A$501,Projekty!$B$2:$B$501),"")</f>
        <v/>
      </c>
      <c r="F459" s="4" t="str">
        <f ca="1">IFERROR(_xludf.XLOOKUP(C459,Milestones!$A$2:$A$501,Milestones!$C$2:$C$501),"")</f>
        <v/>
      </c>
      <c r="G459" s="4" t="str">
        <f ca="1">IFERROR(_xludf.XLOOKUP(C459,Milestones!$A$2:$A$501,Milestones!$F$2:$F$501),"")</f>
        <v/>
      </c>
      <c r="H459" s="4" t="str">
        <f ca="1">IFERROR(_xludf.XLOOKUP(C459,Milestones!$A$2:$A$501,Milestones!$M$2:$M$501),"")</f>
        <v/>
      </c>
      <c r="I459" s="4" t="str">
        <f t="shared" ca="1" si="28"/>
        <v/>
      </c>
      <c r="J459" s="4"/>
      <c r="K459" s="4" t="str">
        <f ca="1">IFERROR(_xludf.XLOOKUP(A459,Pracownicy!$A$2:$A$501,Pracownicy!$F$2:$F$501),"")</f>
        <v/>
      </c>
      <c r="L459" s="4"/>
      <c r="M459" s="4" t="str">
        <f t="shared" ca="1" si="29"/>
        <v/>
      </c>
      <c r="N459" s="4" t="str">
        <f t="shared" si="30"/>
        <v/>
      </c>
      <c r="O459" s="4" t="str">
        <f t="shared" ca="1" si="31"/>
        <v/>
      </c>
    </row>
    <row r="460" spans="1:15" x14ac:dyDescent="0.25">
      <c r="A460" s="4"/>
      <c r="B460" s="4" t="str">
        <f ca="1">IFERROR(_xludf.XLOOKUP(A460,Pracownicy!$A$2:$A$501,Pracownicy!$B$2:$B$501),"")</f>
        <v/>
      </c>
      <c r="C460" s="4"/>
      <c r="D460" s="4" t="str">
        <f ca="1">IFERROR(_xludf.XLOOKUP(C460,Milestones!$A$2:$A$501,Milestones!$B$2:$B$501),"")</f>
        <v/>
      </c>
      <c r="E460" s="4" t="str">
        <f ca="1">IFERROR(_xludf.XLOOKUP(D460,Projekty!$A$2:$A$501,Projekty!$B$2:$B$501),"")</f>
        <v/>
      </c>
      <c r="F460" s="4" t="str">
        <f ca="1">IFERROR(_xludf.XLOOKUP(C460,Milestones!$A$2:$A$501,Milestones!$C$2:$C$501),"")</f>
        <v/>
      </c>
      <c r="G460" s="4" t="str">
        <f ca="1">IFERROR(_xludf.XLOOKUP(C460,Milestones!$A$2:$A$501,Milestones!$F$2:$F$501),"")</f>
        <v/>
      </c>
      <c r="H460" s="4" t="str">
        <f ca="1">IFERROR(_xludf.XLOOKUP(C460,Milestones!$A$2:$A$501,Milestones!$M$2:$M$501),"")</f>
        <v/>
      </c>
      <c r="I460" s="4" t="str">
        <f t="shared" ca="1" si="28"/>
        <v/>
      </c>
      <c r="J460" s="4"/>
      <c r="K460" s="4" t="str">
        <f ca="1">IFERROR(_xludf.XLOOKUP(A460,Pracownicy!$A$2:$A$501,Pracownicy!$F$2:$F$501),"")</f>
        <v/>
      </c>
      <c r="L460" s="4"/>
      <c r="M460" s="4" t="str">
        <f t="shared" ca="1" si="29"/>
        <v/>
      </c>
      <c r="N460" s="4" t="str">
        <f t="shared" si="30"/>
        <v/>
      </c>
      <c r="O460" s="4" t="str">
        <f t="shared" ca="1" si="31"/>
        <v/>
      </c>
    </row>
    <row r="461" spans="1:15" x14ac:dyDescent="0.25">
      <c r="A461" s="4"/>
      <c r="B461" s="4" t="str">
        <f ca="1">IFERROR(_xludf.XLOOKUP(A461,Pracownicy!$A$2:$A$501,Pracownicy!$B$2:$B$501),"")</f>
        <v/>
      </c>
      <c r="C461" s="4"/>
      <c r="D461" s="4" t="str">
        <f ca="1">IFERROR(_xludf.XLOOKUP(C461,Milestones!$A$2:$A$501,Milestones!$B$2:$B$501),"")</f>
        <v/>
      </c>
      <c r="E461" s="4" t="str">
        <f ca="1">IFERROR(_xludf.XLOOKUP(D461,Projekty!$A$2:$A$501,Projekty!$B$2:$B$501),"")</f>
        <v/>
      </c>
      <c r="F461" s="4" t="str">
        <f ca="1">IFERROR(_xludf.XLOOKUP(C461,Milestones!$A$2:$A$501,Milestones!$C$2:$C$501),"")</f>
        <v/>
      </c>
      <c r="G461" s="4" t="str">
        <f ca="1">IFERROR(_xludf.XLOOKUP(C461,Milestones!$A$2:$A$501,Milestones!$F$2:$F$501),"")</f>
        <v/>
      </c>
      <c r="H461" s="4" t="str">
        <f ca="1">IFERROR(_xludf.XLOOKUP(C461,Milestones!$A$2:$A$501,Milestones!$M$2:$M$501),"")</f>
        <v/>
      </c>
      <c r="I461" s="4" t="str">
        <f t="shared" ca="1" si="28"/>
        <v/>
      </c>
      <c r="J461" s="4"/>
      <c r="K461" s="4" t="str">
        <f ca="1">IFERROR(_xludf.XLOOKUP(A461,Pracownicy!$A$2:$A$501,Pracownicy!$F$2:$F$501),"")</f>
        <v/>
      </c>
      <c r="L461" s="4"/>
      <c r="M461" s="4" t="str">
        <f t="shared" ca="1" si="29"/>
        <v/>
      </c>
      <c r="N461" s="4" t="str">
        <f t="shared" si="30"/>
        <v/>
      </c>
      <c r="O461" s="4" t="str">
        <f t="shared" ca="1" si="31"/>
        <v/>
      </c>
    </row>
    <row r="462" spans="1:15" x14ac:dyDescent="0.25">
      <c r="A462" s="4"/>
      <c r="B462" s="4" t="str">
        <f ca="1">IFERROR(_xludf.XLOOKUP(A462,Pracownicy!$A$2:$A$501,Pracownicy!$B$2:$B$501),"")</f>
        <v/>
      </c>
      <c r="C462" s="4"/>
      <c r="D462" s="4" t="str">
        <f ca="1">IFERROR(_xludf.XLOOKUP(C462,Milestones!$A$2:$A$501,Milestones!$B$2:$B$501),"")</f>
        <v/>
      </c>
      <c r="E462" s="4" t="str">
        <f ca="1">IFERROR(_xludf.XLOOKUP(D462,Projekty!$A$2:$A$501,Projekty!$B$2:$B$501),"")</f>
        <v/>
      </c>
      <c r="F462" s="4" t="str">
        <f ca="1">IFERROR(_xludf.XLOOKUP(C462,Milestones!$A$2:$A$501,Milestones!$C$2:$C$501),"")</f>
        <v/>
      </c>
      <c r="G462" s="4" t="str">
        <f ca="1">IFERROR(_xludf.XLOOKUP(C462,Milestones!$A$2:$A$501,Milestones!$F$2:$F$501),"")</f>
        <v/>
      </c>
      <c r="H462" s="4" t="str">
        <f ca="1">IFERROR(_xludf.XLOOKUP(C462,Milestones!$A$2:$A$501,Milestones!$M$2:$M$501),"")</f>
        <v/>
      </c>
      <c r="I462" s="4" t="str">
        <f t="shared" ca="1" si="28"/>
        <v/>
      </c>
      <c r="J462" s="4"/>
      <c r="K462" s="4" t="str">
        <f ca="1">IFERROR(_xludf.XLOOKUP(A462,Pracownicy!$A$2:$A$501,Pracownicy!$F$2:$F$501),"")</f>
        <v/>
      </c>
      <c r="L462" s="4"/>
      <c r="M462" s="4" t="str">
        <f t="shared" ca="1" si="29"/>
        <v/>
      </c>
      <c r="N462" s="4" t="str">
        <f t="shared" si="30"/>
        <v/>
      </c>
      <c r="O462" s="4" t="str">
        <f t="shared" ca="1" si="31"/>
        <v/>
      </c>
    </row>
    <row r="463" spans="1:15" x14ac:dyDescent="0.25">
      <c r="A463" s="4"/>
      <c r="B463" s="4" t="str">
        <f ca="1">IFERROR(_xludf.XLOOKUP(A463,Pracownicy!$A$2:$A$501,Pracownicy!$B$2:$B$501),"")</f>
        <v/>
      </c>
      <c r="C463" s="4"/>
      <c r="D463" s="4" t="str">
        <f ca="1">IFERROR(_xludf.XLOOKUP(C463,Milestones!$A$2:$A$501,Milestones!$B$2:$B$501),"")</f>
        <v/>
      </c>
      <c r="E463" s="4" t="str">
        <f ca="1">IFERROR(_xludf.XLOOKUP(D463,Projekty!$A$2:$A$501,Projekty!$B$2:$B$501),"")</f>
        <v/>
      </c>
      <c r="F463" s="4" t="str">
        <f ca="1">IFERROR(_xludf.XLOOKUP(C463,Milestones!$A$2:$A$501,Milestones!$C$2:$C$501),"")</f>
        <v/>
      </c>
      <c r="G463" s="4" t="str">
        <f ca="1">IFERROR(_xludf.XLOOKUP(C463,Milestones!$A$2:$A$501,Milestones!$F$2:$F$501),"")</f>
        <v/>
      </c>
      <c r="H463" s="4" t="str">
        <f ca="1">IFERROR(_xludf.XLOOKUP(C463,Milestones!$A$2:$A$501,Milestones!$M$2:$M$501),"")</f>
        <v/>
      </c>
      <c r="I463" s="4" t="str">
        <f t="shared" ca="1" si="28"/>
        <v/>
      </c>
      <c r="J463" s="4"/>
      <c r="K463" s="4" t="str">
        <f ca="1">IFERROR(_xludf.XLOOKUP(A463,Pracownicy!$A$2:$A$501,Pracownicy!$F$2:$F$501),"")</f>
        <v/>
      </c>
      <c r="L463" s="4"/>
      <c r="M463" s="4" t="str">
        <f t="shared" ca="1" si="29"/>
        <v/>
      </c>
      <c r="N463" s="4" t="str">
        <f t="shared" si="30"/>
        <v/>
      </c>
      <c r="O463" s="4" t="str">
        <f t="shared" ca="1" si="31"/>
        <v/>
      </c>
    </row>
    <row r="464" spans="1:15" x14ac:dyDescent="0.25">
      <c r="A464" s="4"/>
      <c r="B464" s="4" t="str">
        <f ca="1">IFERROR(_xludf.XLOOKUP(A464,Pracownicy!$A$2:$A$501,Pracownicy!$B$2:$B$501),"")</f>
        <v/>
      </c>
      <c r="C464" s="4"/>
      <c r="D464" s="4" t="str">
        <f ca="1">IFERROR(_xludf.XLOOKUP(C464,Milestones!$A$2:$A$501,Milestones!$B$2:$B$501),"")</f>
        <v/>
      </c>
      <c r="E464" s="4" t="str">
        <f ca="1">IFERROR(_xludf.XLOOKUP(D464,Projekty!$A$2:$A$501,Projekty!$B$2:$B$501),"")</f>
        <v/>
      </c>
      <c r="F464" s="4" t="str">
        <f ca="1">IFERROR(_xludf.XLOOKUP(C464,Milestones!$A$2:$A$501,Milestones!$C$2:$C$501),"")</f>
        <v/>
      </c>
      <c r="G464" s="4" t="str">
        <f ca="1">IFERROR(_xludf.XLOOKUP(C464,Milestones!$A$2:$A$501,Milestones!$F$2:$F$501),"")</f>
        <v/>
      </c>
      <c r="H464" s="4" t="str">
        <f ca="1">IFERROR(_xludf.XLOOKUP(C464,Milestones!$A$2:$A$501,Milestones!$M$2:$M$501),"")</f>
        <v/>
      </c>
      <c r="I464" s="4" t="str">
        <f t="shared" ca="1" si="28"/>
        <v/>
      </c>
      <c r="J464" s="4"/>
      <c r="K464" s="4" t="str">
        <f ca="1">IFERROR(_xludf.XLOOKUP(A464,Pracownicy!$A$2:$A$501,Pracownicy!$F$2:$F$501),"")</f>
        <v/>
      </c>
      <c r="L464" s="4"/>
      <c r="M464" s="4" t="str">
        <f t="shared" ca="1" si="29"/>
        <v/>
      </c>
      <c r="N464" s="4" t="str">
        <f t="shared" si="30"/>
        <v/>
      </c>
      <c r="O464" s="4" t="str">
        <f t="shared" ca="1" si="31"/>
        <v/>
      </c>
    </row>
    <row r="465" spans="1:15" x14ac:dyDescent="0.25">
      <c r="A465" s="4"/>
      <c r="B465" s="4" t="str">
        <f ca="1">IFERROR(_xludf.XLOOKUP(A465,Pracownicy!$A$2:$A$501,Pracownicy!$B$2:$B$501),"")</f>
        <v/>
      </c>
      <c r="C465" s="4"/>
      <c r="D465" s="4" t="str">
        <f ca="1">IFERROR(_xludf.XLOOKUP(C465,Milestones!$A$2:$A$501,Milestones!$B$2:$B$501),"")</f>
        <v/>
      </c>
      <c r="E465" s="4" t="str">
        <f ca="1">IFERROR(_xludf.XLOOKUP(D465,Projekty!$A$2:$A$501,Projekty!$B$2:$B$501),"")</f>
        <v/>
      </c>
      <c r="F465" s="4" t="str">
        <f ca="1">IFERROR(_xludf.XLOOKUP(C465,Milestones!$A$2:$A$501,Milestones!$C$2:$C$501),"")</f>
        <v/>
      </c>
      <c r="G465" s="4" t="str">
        <f ca="1">IFERROR(_xludf.XLOOKUP(C465,Milestones!$A$2:$A$501,Milestones!$F$2:$F$501),"")</f>
        <v/>
      </c>
      <c r="H465" s="4" t="str">
        <f ca="1">IFERROR(_xludf.XLOOKUP(C465,Milestones!$A$2:$A$501,Milestones!$M$2:$M$501),"")</f>
        <v/>
      </c>
      <c r="I465" s="4" t="str">
        <f t="shared" ca="1" si="28"/>
        <v/>
      </c>
      <c r="J465" s="4"/>
      <c r="K465" s="4" t="str">
        <f ca="1">IFERROR(_xludf.XLOOKUP(A465,Pracownicy!$A$2:$A$501,Pracownicy!$F$2:$F$501),"")</f>
        <v/>
      </c>
      <c r="L465" s="4"/>
      <c r="M465" s="4" t="str">
        <f t="shared" ca="1" si="29"/>
        <v/>
      </c>
      <c r="N465" s="4" t="str">
        <f t="shared" si="30"/>
        <v/>
      </c>
      <c r="O465" s="4" t="str">
        <f t="shared" ca="1" si="31"/>
        <v/>
      </c>
    </row>
    <row r="466" spans="1:15" x14ac:dyDescent="0.25">
      <c r="A466" s="4"/>
      <c r="B466" s="4" t="str">
        <f ca="1">IFERROR(_xludf.XLOOKUP(A466,Pracownicy!$A$2:$A$501,Pracownicy!$B$2:$B$501),"")</f>
        <v/>
      </c>
      <c r="C466" s="4"/>
      <c r="D466" s="4" t="str">
        <f ca="1">IFERROR(_xludf.XLOOKUP(C466,Milestones!$A$2:$A$501,Milestones!$B$2:$B$501),"")</f>
        <v/>
      </c>
      <c r="E466" s="4" t="str">
        <f ca="1">IFERROR(_xludf.XLOOKUP(D466,Projekty!$A$2:$A$501,Projekty!$B$2:$B$501),"")</f>
        <v/>
      </c>
      <c r="F466" s="4" t="str">
        <f ca="1">IFERROR(_xludf.XLOOKUP(C466,Milestones!$A$2:$A$501,Milestones!$C$2:$C$501),"")</f>
        <v/>
      </c>
      <c r="G466" s="4" t="str">
        <f ca="1">IFERROR(_xludf.XLOOKUP(C466,Milestones!$A$2:$A$501,Milestones!$F$2:$F$501),"")</f>
        <v/>
      </c>
      <c r="H466" s="4" t="str">
        <f ca="1">IFERROR(_xludf.XLOOKUP(C466,Milestones!$A$2:$A$501,Milestones!$M$2:$M$501),"")</f>
        <v/>
      </c>
      <c r="I466" s="4" t="str">
        <f t="shared" ca="1" si="28"/>
        <v/>
      </c>
      <c r="J466" s="4"/>
      <c r="K466" s="4" t="str">
        <f ca="1">IFERROR(_xludf.XLOOKUP(A466,Pracownicy!$A$2:$A$501,Pracownicy!$F$2:$F$501),"")</f>
        <v/>
      </c>
      <c r="L466" s="4"/>
      <c r="M466" s="4" t="str">
        <f t="shared" ca="1" si="29"/>
        <v/>
      </c>
      <c r="N466" s="4" t="str">
        <f t="shared" si="30"/>
        <v/>
      </c>
      <c r="O466" s="4" t="str">
        <f t="shared" ca="1" si="31"/>
        <v/>
      </c>
    </row>
    <row r="467" spans="1:15" x14ac:dyDescent="0.25">
      <c r="A467" s="4"/>
      <c r="B467" s="4" t="str">
        <f ca="1">IFERROR(_xludf.XLOOKUP(A467,Pracownicy!$A$2:$A$501,Pracownicy!$B$2:$B$501),"")</f>
        <v/>
      </c>
      <c r="C467" s="4"/>
      <c r="D467" s="4" t="str">
        <f ca="1">IFERROR(_xludf.XLOOKUP(C467,Milestones!$A$2:$A$501,Milestones!$B$2:$B$501),"")</f>
        <v/>
      </c>
      <c r="E467" s="4" t="str">
        <f ca="1">IFERROR(_xludf.XLOOKUP(D467,Projekty!$A$2:$A$501,Projekty!$B$2:$B$501),"")</f>
        <v/>
      </c>
      <c r="F467" s="4" t="str">
        <f ca="1">IFERROR(_xludf.XLOOKUP(C467,Milestones!$A$2:$A$501,Milestones!$C$2:$C$501),"")</f>
        <v/>
      </c>
      <c r="G467" s="4" t="str">
        <f ca="1">IFERROR(_xludf.XLOOKUP(C467,Milestones!$A$2:$A$501,Milestones!$F$2:$F$501),"")</f>
        <v/>
      </c>
      <c r="H467" s="4" t="str">
        <f ca="1">IFERROR(_xludf.XLOOKUP(C467,Milestones!$A$2:$A$501,Milestones!$M$2:$M$501),"")</f>
        <v/>
      </c>
      <c r="I467" s="4" t="str">
        <f t="shared" ca="1" si="28"/>
        <v/>
      </c>
      <c r="J467" s="4"/>
      <c r="K467" s="4" t="str">
        <f ca="1">IFERROR(_xludf.XLOOKUP(A467,Pracownicy!$A$2:$A$501,Pracownicy!$F$2:$F$501),"")</f>
        <v/>
      </c>
      <c r="L467" s="4"/>
      <c r="M467" s="4" t="str">
        <f t="shared" ca="1" si="29"/>
        <v/>
      </c>
      <c r="N467" s="4" t="str">
        <f t="shared" si="30"/>
        <v/>
      </c>
      <c r="O467" s="4" t="str">
        <f t="shared" ca="1" si="31"/>
        <v/>
      </c>
    </row>
    <row r="468" spans="1:15" x14ac:dyDescent="0.25">
      <c r="A468" s="4"/>
      <c r="B468" s="4" t="str">
        <f ca="1">IFERROR(_xludf.XLOOKUP(A468,Pracownicy!$A$2:$A$501,Pracownicy!$B$2:$B$501),"")</f>
        <v/>
      </c>
      <c r="C468" s="4"/>
      <c r="D468" s="4" t="str">
        <f ca="1">IFERROR(_xludf.XLOOKUP(C468,Milestones!$A$2:$A$501,Milestones!$B$2:$B$501),"")</f>
        <v/>
      </c>
      <c r="E468" s="4" t="str">
        <f ca="1">IFERROR(_xludf.XLOOKUP(D468,Projekty!$A$2:$A$501,Projekty!$B$2:$B$501),"")</f>
        <v/>
      </c>
      <c r="F468" s="4" t="str">
        <f ca="1">IFERROR(_xludf.XLOOKUP(C468,Milestones!$A$2:$A$501,Milestones!$C$2:$C$501),"")</f>
        <v/>
      </c>
      <c r="G468" s="4" t="str">
        <f ca="1">IFERROR(_xludf.XLOOKUP(C468,Milestones!$A$2:$A$501,Milestones!$F$2:$F$501),"")</f>
        <v/>
      </c>
      <c r="H468" s="4" t="str">
        <f ca="1">IFERROR(_xludf.XLOOKUP(C468,Milestones!$A$2:$A$501,Milestones!$M$2:$M$501),"")</f>
        <v/>
      </c>
      <c r="I468" s="4" t="str">
        <f t="shared" ca="1" si="28"/>
        <v/>
      </c>
      <c r="J468" s="4"/>
      <c r="K468" s="4" t="str">
        <f ca="1">IFERROR(_xludf.XLOOKUP(A468,Pracownicy!$A$2:$A$501,Pracownicy!$F$2:$F$501),"")</f>
        <v/>
      </c>
      <c r="L468" s="4"/>
      <c r="M468" s="4" t="str">
        <f t="shared" ca="1" si="29"/>
        <v/>
      </c>
      <c r="N468" s="4" t="str">
        <f t="shared" si="30"/>
        <v/>
      </c>
      <c r="O468" s="4" t="str">
        <f t="shared" ca="1" si="31"/>
        <v/>
      </c>
    </row>
    <row r="469" spans="1:15" x14ac:dyDescent="0.25">
      <c r="A469" s="4"/>
      <c r="B469" s="4" t="str">
        <f ca="1">IFERROR(_xludf.XLOOKUP(A469,Pracownicy!$A$2:$A$501,Pracownicy!$B$2:$B$501),"")</f>
        <v/>
      </c>
      <c r="C469" s="4"/>
      <c r="D469" s="4" t="str">
        <f ca="1">IFERROR(_xludf.XLOOKUP(C469,Milestones!$A$2:$A$501,Milestones!$B$2:$B$501),"")</f>
        <v/>
      </c>
      <c r="E469" s="4" t="str">
        <f ca="1">IFERROR(_xludf.XLOOKUP(D469,Projekty!$A$2:$A$501,Projekty!$B$2:$B$501),"")</f>
        <v/>
      </c>
      <c r="F469" s="4" t="str">
        <f ca="1">IFERROR(_xludf.XLOOKUP(C469,Milestones!$A$2:$A$501,Milestones!$C$2:$C$501),"")</f>
        <v/>
      </c>
      <c r="G469" s="4" t="str">
        <f ca="1">IFERROR(_xludf.XLOOKUP(C469,Milestones!$A$2:$A$501,Milestones!$F$2:$F$501),"")</f>
        <v/>
      </c>
      <c r="H469" s="4" t="str">
        <f ca="1">IFERROR(_xludf.XLOOKUP(C469,Milestones!$A$2:$A$501,Milestones!$M$2:$M$501),"")</f>
        <v/>
      </c>
      <c r="I469" s="4" t="str">
        <f t="shared" ca="1" si="28"/>
        <v/>
      </c>
      <c r="J469" s="4"/>
      <c r="K469" s="4" t="str">
        <f ca="1">IFERROR(_xludf.XLOOKUP(A469,Pracownicy!$A$2:$A$501,Pracownicy!$F$2:$F$501),"")</f>
        <v/>
      </c>
      <c r="L469" s="4"/>
      <c r="M469" s="4" t="str">
        <f t="shared" ca="1" si="29"/>
        <v/>
      </c>
      <c r="N469" s="4" t="str">
        <f t="shared" si="30"/>
        <v/>
      </c>
      <c r="O469" s="4" t="str">
        <f t="shared" ca="1" si="31"/>
        <v/>
      </c>
    </row>
    <row r="470" spans="1:15" x14ac:dyDescent="0.25">
      <c r="A470" s="4"/>
      <c r="B470" s="4" t="str">
        <f ca="1">IFERROR(_xludf.XLOOKUP(A470,Pracownicy!$A$2:$A$501,Pracownicy!$B$2:$B$501),"")</f>
        <v/>
      </c>
      <c r="C470" s="4"/>
      <c r="D470" s="4" t="str">
        <f ca="1">IFERROR(_xludf.XLOOKUP(C470,Milestones!$A$2:$A$501,Milestones!$B$2:$B$501),"")</f>
        <v/>
      </c>
      <c r="E470" s="4" t="str">
        <f ca="1">IFERROR(_xludf.XLOOKUP(D470,Projekty!$A$2:$A$501,Projekty!$B$2:$B$501),"")</f>
        <v/>
      </c>
      <c r="F470" s="4" t="str">
        <f ca="1">IFERROR(_xludf.XLOOKUP(C470,Milestones!$A$2:$A$501,Milestones!$C$2:$C$501),"")</f>
        <v/>
      </c>
      <c r="G470" s="4" t="str">
        <f ca="1">IFERROR(_xludf.XLOOKUP(C470,Milestones!$A$2:$A$501,Milestones!$F$2:$F$501),"")</f>
        <v/>
      </c>
      <c r="H470" s="4" t="str">
        <f ca="1">IFERROR(_xludf.XLOOKUP(C470,Milestones!$A$2:$A$501,Milestones!$M$2:$M$501),"")</f>
        <v/>
      </c>
      <c r="I470" s="4" t="str">
        <f t="shared" ca="1" si="28"/>
        <v/>
      </c>
      <c r="J470" s="4"/>
      <c r="K470" s="4" t="str">
        <f ca="1">IFERROR(_xludf.XLOOKUP(A470,Pracownicy!$A$2:$A$501,Pracownicy!$F$2:$F$501),"")</f>
        <v/>
      </c>
      <c r="L470" s="4"/>
      <c r="M470" s="4" t="str">
        <f t="shared" ca="1" si="29"/>
        <v/>
      </c>
      <c r="N470" s="4" t="str">
        <f t="shared" si="30"/>
        <v/>
      </c>
      <c r="O470" s="4" t="str">
        <f t="shared" ca="1" si="31"/>
        <v/>
      </c>
    </row>
    <row r="471" spans="1:15" x14ac:dyDescent="0.25">
      <c r="A471" s="4"/>
      <c r="B471" s="4" t="str">
        <f ca="1">IFERROR(_xludf.XLOOKUP(A471,Pracownicy!$A$2:$A$501,Pracownicy!$B$2:$B$501),"")</f>
        <v/>
      </c>
      <c r="C471" s="4"/>
      <c r="D471" s="4" t="str">
        <f ca="1">IFERROR(_xludf.XLOOKUP(C471,Milestones!$A$2:$A$501,Milestones!$B$2:$B$501),"")</f>
        <v/>
      </c>
      <c r="E471" s="4" t="str">
        <f ca="1">IFERROR(_xludf.XLOOKUP(D471,Projekty!$A$2:$A$501,Projekty!$B$2:$B$501),"")</f>
        <v/>
      </c>
      <c r="F471" s="4" t="str">
        <f ca="1">IFERROR(_xludf.XLOOKUP(C471,Milestones!$A$2:$A$501,Milestones!$C$2:$C$501),"")</f>
        <v/>
      </c>
      <c r="G471" s="4" t="str">
        <f ca="1">IFERROR(_xludf.XLOOKUP(C471,Milestones!$A$2:$A$501,Milestones!$F$2:$F$501),"")</f>
        <v/>
      </c>
      <c r="H471" s="4" t="str">
        <f ca="1">IFERROR(_xludf.XLOOKUP(C471,Milestones!$A$2:$A$501,Milestones!$M$2:$M$501),"")</f>
        <v/>
      </c>
      <c r="I471" s="4" t="str">
        <f t="shared" ca="1" si="28"/>
        <v/>
      </c>
      <c r="J471" s="4"/>
      <c r="K471" s="4" t="str">
        <f ca="1">IFERROR(_xludf.XLOOKUP(A471,Pracownicy!$A$2:$A$501,Pracownicy!$F$2:$F$501),"")</f>
        <v/>
      </c>
      <c r="L471" s="4"/>
      <c r="M471" s="4" t="str">
        <f t="shared" ca="1" si="29"/>
        <v/>
      </c>
      <c r="N471" s="4" t="str">
        <f t="shared" si="30"/>
        <v/>
      </c>
      <c r="O471" s="4" t="str">
        <f t="shared" ca="1" si="31"/>
        <v/>
      </c>
    </row>
    <row r="472" spans="1:15" x14ac:dyDescent="0.25">
      <c r="A472" s="4"/>
      <c r="B472" s="4" t="str">
        <f ca="1">IFERROR(_xludf.XLOOKUP(A472,Pracownicy!$A$2:$A$501,Pracownicy!$B$2:$B$501),"")</f>
        <v/>
      </c>
      <c r="C472" s="4"/>
      <c r="D472" s="4" t="str">
        <f ca="1">IFERROR(_xludf.XLOOKUP(C472,Milestones!$A$2:$A$501,Milestones!$B$2:$B$501),"")</f>
        <v/>
      </c>
      <c r="E472" s="4" t="str">
        <f ca="1">IFERROR(_xludf.XLOOKUP(D472,Projekty!$A$2:$A$501,Projekty!$B$2:$B$501),"")</f>
        <v/>
      </c>
      <c r="F472" s="4" t="str">
        <f ca="1">IFERROR(_xludf.XLOOKUP(C472,Milestones!$A$2:$A$501,Milestones!$C$2:$C$501),"")</f>
        <v/>
      </c>
      <c r="G472" s="4" t="str">
        <f ca="1">IFERROR(_xludf.XLOOKUP(C472,Milestones!$A$2:$A$501,Milestones!$F$2:$F$501),"")</f>
        <v/>
      </c>
      <c r="H472" s="4" t="str">
        <f ca="1">IFERROR(_xludf.XLOOKUP(C472,Milestones!$A$2:$A$501,Milestones!$M$2:$M$501),"")</f>
        <v/>
      </c>
      <c r="I472" s="4" t="str">
        <f t="shared" ca="1" si="28"/>
        <v/>
      </c>
      <c r="J472" s="4"/>
      <c r="K472" s="4" t="str">
        <f ca="1">IFERROR(_xludf.XLOOKUP(A472,Pracownicy!$A$2:$A$501,Pracownicy!$F$2:$F$501),"")</f>
        <v/>
      </c>
      <c r="L472" s="4"/>
      <c r="M472" s="4" t="str">
        <f t="shared" ca="1" si="29"/>
        <v/>
      </c>
      <c r="N472" s="4" t="str">
        <f t="shared" si="30"/>
        <v/>
      </c>
      <c r="O472" s="4" t="str">
        <f t="shared" ca="1" si="31"/>
        <v/>
      </c>
    </row>
    <row r="473" spans="1:15" x14ac:dyDescent="0.25">
      <c r="A473" s="4"/>
      <c r="B473" s="4" t="str">
        <f ca="1">IFERROR(_xludf.XLOOKUP(A473,Pracownicy!$A$2:$A$501,Pracownicy!$B$2:$B$501),"")</f>
        <v/>
      </c>
      <c r="C473" s="4"/>
      <c r="D473" s="4" t="str">
        <f ca="1">IFERROR(_xludf.XLOOKUP(C473,Milestones!$A$2:$A$501,Milestones!$B$2:$B$501),"")</f>
        <v/>
      </c>
      <c r="E473" s="4" t="str">
        <f ca="1">IFERROR(_xludf.XLOOKUP(D473,Projekty!$A$2:$A$501,Projekty!$B$2:$B$501),"")</f>
        <v/>
      </c>
      <c r="F473" s="4" t="str">
        <f ca="1">IFERROR(_xludf.XLOOKUP(C473,Milestones!$A$2:$A$501,Milestones!$C$2:$C$501),"")</f>
        <v/>
      </c>
      <c r="G473" s="4" t="str">
        <f ca="1">IFERROR(_xludf.XLOOKUP(C473,Milestones!$A$2:$A$501,Milestones!$F$2:$F$501),"")</f>
        <v/>
      </c>
      <c r="H473" s="4" t="str">
        <f ca="1">IFERROR(_xludf.XLOOKUP(C473,Milestones!$A$2:$A$501,Milestones!$M$2:$M$501),"")</f>
        <v/>
      </c>
      <c r="I473" s="4" t="str">
        <f t="shared" ca="1" si="28"/>
        <v/>
      </c>
      <c r="J473" s="4"/>
      <c r="K473" s="4" t="str">
        <f ca="1">IFERROR(_xludf.XLOOKUP(A473,Pracownicy!$A$2:$A$501,Pracownicy!$F$2:$F$501),"")</f>
        <v/>
      </c>
      <c r="L473" s="4"/>
      <c r="M473" s="4" t="str">
        <f t="shared" ca="1" si="29"/>
        <v/>
      </c>
      <c r="N473" s="4" t="str">
        <f t="shared" si="30"/>
        <v/>
      </c>
      <c r="O473" s="4" t="str">
        <f t="shared" ca="1" si="31"/>
        <v/>
      </c>
    </row>
    <row r="474" spans="1:15" x14ac:dyDescent="0.25">
      <c r="A474" s="4"/>
      <c r="B474" s="4" t="str">
        <f ca="1">IFERROR(_xludf.XLOOKUP(A474,Pracownicy!$A$2:$A$501,Pracownicy!$B$2:$B$501),"")</f>
        <v/>
      </c>
      <c r="C474" s="4"/>
      <c r="D474" s="4" t="str">
        <f ca="1">IFERROR(_xludf.XLOOKUP(C474,Milestones!$A$2:$A$501,Milestones!$B$2:$B$501),"")</f>
        <v/>
      </c>
      <c r="E474" s="4" t="str">
        <f ca="1">IFERROR(_xludf.XLOOKUP(D474,Projekty!$A$2:$A$501,Projekty!$B$2:$B$501),"")</f>
        <v/>
      </c>
      <c r="F474" s="4" t="str">
        <f ca="1">IFERROR(_xludf.XLOOKUP(C474,Milestones!$A$2:$A$501,Milestones!$C$2:$C$501),"")</f>
        <v/>
      </c>
      <c r="G474" s="4" t="str">
        <f ca="1">IFERROR(_xludf.XLOOKUP(C474,Milestones!$A$2:$A$501,Milestones!$F$2:$F$501),"")</f>
        <v/>
      </c>
      <c r="H474" s="4" t="str">
        <f ca="1">IFERROR(_xludf.XLOOKUP(C474,Milestones!$A$2:$A$501,Milestones!$M$2:$M$501),"")</f>
        <v/>
      </c>
      <c r="I474" s="4" t="str">
        <f t="shared" ca="1" si="28"/>
        <v/>
      </c>
      <c r="J474" s="4"/>
      <c r="K474" s="4" t="str">
        <f ca="1">IFERROR(_xludf.XLOOKUP(A474,Pracownicy!$A$2:$A$501,Pracownicy!$F$2:$F$501),"")</f>
        <v/>
      </c>
      <c r="L474" s="4"/>
      <c r="M474" s="4" t="str">
        <f t="shared" ca="1" si="29"/>
        <v/>
      </c>
      <c r="N474" s="4" t="str">
        <f t="shared" si="30"/>
        <v/>
      </c>
      <c r="O474" s="4" t="str">
        <f t="shared" ca="1" si="31"/>
        <v/>
      </c>
    </row>
    <row r="475" spans="1:15" x14ac:dyDescent="0.25">
      <c r="A475" s="4"/>
      <c r="B475" s="4" t="str">
        <f ca="1">IFERROR(_xludf.XLOOKUP(A475,Pracownicy!$A$2:$A$501,Pracownicy!$B$2:$B$501),"")</f>
        <v/>
      </c>
      <c r="C475" s="4"/>
      <c r="D475" s="4" t="str">
        <f ca="1">IFERROR(_xludf.XLOOKUP(C475,Milestones!$A$2:$A$501,Milestones!$B$2:$B$501),"")</f>
        <v/>
      </c>
      <c r="E475" s="4" t="str">
        <f ca="1">IFERROR(_xludf.XLOOKUP(D475,Projekty!$A$2:$A$501,Projekty!$B$2:$B$501),"")</f>
        <v/>
      </c>
      <c r="F475" s="4" t="str">
        <f ca="1">IFERROR(_xludf.XLOOKUP(C475,Milestones!$A$2:$A$501,Milestones!$C$2:$C$501),"")</f>
        <v/>
      </c>
      <c r="G475" s="4" t="str">
        <f ca="1">IFERROR(_xludf.XLOOKUP(C475,Milestones!$A$2:$A$501,Milestones!$F$2:$F$501),"")</f>
        <v/>
      </c>
      <c r="H475" s="4" t="str">
        <f ca="1">IFERROR(_xludf.XLOOKUP(C475,Milestones!$A$2:$A$501,Milestones!$M$2:$M$501),"")</f>
        <v/>
      </c>
      <c r="I475" s="4" t="str">
        <f t="shared" ca="1" si="28"/>
        <v/>
      </c>
      <c r="J475" s="4"/>
      <c r="K475" s="4" t="str">
        <f ca="1">IFERROR(_xludf.XLOOKUP(A475,Pracownicy!$A$2:$A$501,Pracownicy!$F$2:$F$501),"")</f>
        <v/>
      </c>
      <c r="L475" s="4"/>
      <c r="M475" s="4" t="str">
        <f t="shared" ca="1" si="29"/>
        <v/>
      </c>
      <c r="N475" s="4" t="str">
        <f t="shared" si="30"/>
        <v/>
      </c>
      <c r="O475" s="4" t="str">
        <f t="shared" ca="1" si="31"/>
        <v/>
      </c>
    </row>
    <row r="476" spans="1:15" x14ac:dyDescent="0.25">
      <c r="A476" s="4"/>
      <c r="B476" s="4" t="str">
        <f ca="1">IFERROR(_xludf.XLOOKUP(A476,Pracownicy!$A$2:$A$501,Pracownicy!$B$2:$B$501),"")</f>
        <v/>
      </c>
      <c r="C476" s="4"/>
      <c r="D476" s="4" t="str">
        <f ca="1">IFERROR(_xludf.XLOOKUP(C476,Milestones!$A$2:$A$501,Milestones!$B$2:$B$501),"")</f>
        <v/>
      </c>
      <c r="E476" s="4" t="str">
        <f ca="1">IFERROR(_xludf.XLOOKUP(D476,Projekty!$A$2:$A$501,Projekty!$B$2:$B$501),"")</f>
        <v/>
      </c>
      <c r="F476" s="4" t="str">
        <f ca="1">IFERROR(_xludf.XLOOKUP(C476,Milestones!$A$2:$A$501,Milestones!$C$2:$C$501),"")</f>
        <v/>
      </c>
      <c r="G476" s="4" t="str">
        <f ca="1">IFERROR(_xludf.XLOOKUP(C476,Milestones!$A$2:$A$501,Milestones!$F$2:$F$501),"")</f>
        <v/>
      </c>
      <c r="H476" s="4" t="str">
        <f ca="1">IFERROR(_xludf.XLOOKUP(C476,Milestones!$A$2:$A$501,Milestones!$M$2:$M$501),"")</f>
        <v/>
      </c>
      <c r="I476" s="4" t="str">
        <f t="shared" ca="1" si="28"/>
        <v/>
      </c>
      <c r="J476" s="4"/>
      <c r="K476" s="4" t="str">
        <f ca="1">IFERROR(_xludf.XLOOKUP(A476,Pracownicy!$A$2:$A$501,Pracownicy!$F$2:$F$501),"")</f>
        <v/>
      </c>
      <c r="L476" s="4"/>
      <c r="M476" s="4" t="str">
        <f t="shared" ca="1" si="29"/>
        <v/>
      </c>
      <c r="N476" s="4" t="str">
        <f t="shared" si="30"/>
        <v/>
      </c>
      <c r="O476" s="4" t="str">
        <f t="shared" ca="1" si="31"/>
        <v/>
      </c>
    </row>
    <row r="477" spans="1:15" x14ac:dyDescent="0.25">
      <c r="A477" s="4"/>
      <c r="B477" s="4" t="str">
        <f ca="1">IFERROR(_xludf.XLOOKUP(A477,Pracownicy!$A$2:$A$501,Pracownicy!$B$2:$B$501),"")</f>
        <v/>
      </c>
      <c r="C477" s="4"/>
      <c r="D477" s="4" t="str">
        <f ca="1">IFERROR(_xludf.XLOOKUP(C477,Milestones!$A$2:$A$501,Milestones!$B$2:$B$501),"")</f>
        <v/>
      </c>
      <c r="E477" s="4" t="str">
        <f ca="1">IFERROR(_xludf.XLOOKUP(D477,Projekty!$A$2:$A$501,Projekty!$B$2:$B$501),"")</f>
        <v/>
      </c>
      <c r="F477" s="4" t="str">
        <f ca="1">IFERROR(_xludf.XLOOKUP(C477,Milestones!$A$2:$A$501,Milestones!$C$2:$C$501),"")</f>
        <v/>
      </c>
      <c r="G477" s="4" t="str">
        <f ca="1">IFERROR(_xludf.XLOOKUP(C477,Milestones!$A$2:$A$501,Milestones!$F$2:$F$501),"")</f>
        <v/>
      </c>
      <c r="H477" s="4" t="str">
        <f ca="1">IFERROR(_xludf.XLOOKUP(C477,Milestones!$A$2:$A$501,Milestones!$M$2:$M$501),"")</f>
        <v/>
      </c>
      <c r="I477" s="4" t="str">
        <f t="shared" ca="1" si="28"/>
        <v/>
      </c>
      <c r="J477" s="4"/>
      <c r="K477" s="4" t="str">
        <f ca="1">IFERROR(_xludf.XLOOKUP(A477,Pracownicy!$A$2:$A$501,Pracownicy!$F$2:$F$501),"")</f>
        <v/>
      </c>
      <c r="L477" s="4"/>
      <c r="M477" s="4" t="str">
        <f t="shared" ca="1" si="29"/>
        <v/>
      </c>
      <c r="N477" s="4" t="str">
        <f t="shared" si="30"/>
        <v/>
      </c>
      <c r="O477" s="4" t="str">
        <f t="shared" ca="1" si="31"/>
        <v/>
      </c>
    </row>
    <row r="478" spans="1:15" x14ac:dyDescent="0.25">
      <c r="A478" s="4"/>
      <c r="B478" s="4" t="str">
        <f ca="1">IFERROR(_xludf.XLOOKUP(A478,Pracownicy!$A$2:$A$501,Pracownicy!$B$2:$B$501),"")</f>
        <v/>
      </c>
      <c r="C478" s="4"/>
      <c r="D478" s="4" t="str">
        <f ca="1">IFERROR(_xludf.XLOOKUP(C478,Milestones!$A$2:$A$501,Milestones!$B$2:$B$501),"")</f>
        <v/>
      </c>
      <c r="E478" s="4" t="str">
        <f ca="1">IFERROR(_xludf.XLOOKUP(D478,Projekty!$A$2:$A$501,Projekty!$B$2:$B$501),"")</f>
        <v/>
      </c>
      <c r="F478" s="4" t="str">
        <f ca="1">IFERROR(_xludf.XLOOKUP(C478,Milestones!$A$2:$A$501,Milestones!$C$2:$C$501),"")</f>
        <v/>
      </c>
      <c r="G478" s="4" t="str">
        <f ca="1">IFERROR(_xludf.XLOOKUP(C478,Milestones!$A$2:$A$501,Milestones!$F$2:$F$501),"")</f>
        <v/>
      </c>
      <c r="H478" s="4" t="str">
        <f ca="1">IFERROR(_xludf.XLOOKUP(C478,Milestones!$A$2:$A$501,Milestones!$M$2:$M$501),"")</f>
        <v/>
      </c>
      <c r="I478" s="4" t="str">
        <f t="shared" ca="1" si="28"/>
        <v/>
      </c>
      <c r="J478" s="4"/>
      <c r="K478" s="4" t="str">
        <f ca="1">IFERROR(_xludf.XLOOKUP(A478,Pracownicy!$A$2:$A$501,Pracownicy!$F$2:$F$501),"")</f>
        <v/>
      </c>
      <c r="L478" s="4"/>
      <c r="M478" s="4" t="str">
        <f t="shared" ca="1" si="29"/>
        <v/>
      </c>
      <c r="N478" s="4" t="str">
        <f t="shared" si="30"/>
        <v/>
      </c>
      <c r="O478" s="4" t="str">
        <f t="shared" ca="1" si="31"/>
        <v/>
      </c>
    </row>
    <row r="479" spans="1:15" x14ac:dyDescent="0.25">
      <c r="A479" s="4"/>
      <c r="B479" s="4" t="str">
        <f ca="1">IFERROR(_xludf.XLOOKUP(A479,Pracownicy!$A$2:$A$501,Pracownicy!$B$2:$B$501),"")</f>
        <v/>
      </c>
      <c r="C479" s="4"/>
      <c r="D479" s="4" t="str">
        <f ca="1">IFERROR(_xludf.XLOOKUP(C479,Milestones!$A$2:$A$501,Milestones!$B$2:$B$501),"")</f>
        <v/>
      </c>
      <c r="E479" s="4" t="str">
        <f ca="1">IFERROR(_xludf.XLOOKUP(D479,Projekty!$A$2:$A$501,Projekty!$B$2:$B$501),"")</f>
        <v/>
      </c>
      <c r="F479" s="4" t="str">
        <f ca="1">IFERROR(_xludf.XLOOKUP(C479,Milestones!$A$2:$A$501,Milestones!$C$2:$C$501),"")</f>
        <v/>
      </c>
      <c r="G479" s="4" t="str">
        <f ca="1">IFERROR(_xludf.XLOOKUP(C479,Milestones!$A$2:$A$501,Milestones!$F$2:$F$501),"")</f>
        <v/>
      </c>
      <c r="H479" s="4" t="str">
        <f ca="1">IFERROR(_xludf.XLOOKUP(C479,Milestones!$A$2:$A$501,Milestones!$M$2:$M$501),"")</f>
        <v/>
      </c>
      <c r="I479" s="4" t="str">
        <f t="shared" ca="1" si="28"/>
        <v/>
      </c>
      <c r="J479" s="4"/>
      <c r="K479" s="4" t="str">
        <f ca="1">IFERROR(_xludf.XLOOKUP(A479,Pracownicy!$A$2:$A$501,Pracownicy!$F$2:$F$501),"")</f>
        <v/>
      </c>
      <c r="L479" s="4"/>
      <c r="M479" s="4" t="str">
        <f t="shared" ca="1" si="29"/>
        <v/>
      </c>
      <c r="N479" s="4" t="str">
        <f t="shared" si="30"/>
        <v/>
      </c>
      <c r="O479" s="4" t="str">
        <f t="shared" ca="1" si="31"/>
        <v/>
      </c>
    </row>
    <row r="480" spans="1:15" x14ac:dyDescent="0.25">
      <c r="A480" s="4"/>
      <c r="B480" s="4" t="str">
        <f ca="1">IFERROR(_xludf.XLOOKUP(A480,Pracownicy!$A$2:$A$501,Pracownicy!$B$2:$B$501),"")</f>
        <v/>
      </c>
      <c r="C480" s="4"/>
      <c r="D480" s="4" t="str">
        <f ca="1">IFERROR(_xludf.XLOOKUP(C480,Milestones!$A$2:$A$501,Milestones!$B$2:$B$501),"")</f>
        <v/>
      </c>
      <c r="E480" s="4" t="str">
        <f ca="1">IFERROR(_xludf.XLOOKUP(D480,Projekty!$A$2:$A$501,Projekty!$B$2:$B$501),"")</f>
        <v/>
      </c>
      <c r="F480" s="4" t="str">
        <f ca="1">IFERROR(_xludf.XLOOKUP(C480,Milestones!$A$2:$A$501,Milestones!$C$2:$C$501),"")</f>
        <v/>
      </c>
      <c r="G480" s="4" t="str">
        <f ca="1">IFERROR(_xludf.XLOOKUP(C480,Milestones!$A$2:$A$501,Milestones!$F$2:$F$501),"")</f>
        <v/>
      </c>
      <c r="H480" s="4" t="str">
        <f ca="1">IFERROR(_xludf.XLOOKUP(C480,Milestones!$A$2:$A$501,Milestones!$M$2:$M$501),"")</f>
        <v/>
      </c>
      <c r="I480" s="4" t="str">
        <f t="shared" ca="1" si="28"/>
        <v/>
      </c>
      <c r="J480" s="4"/>
      <c r="K480" s="4" t="str">
        <f ca="1">IFERROR(_xludf.XLOOKUP(A480,Pracownicy!$A$2:$A$501,Pracownicy!$F$2:$F$501),"")</f>
        <v/>
      </c>
      <c r="L480" s="4"/>
      <c r="M480" s="4" t="str">
        <f t="shared" ca="1" si="29"/>
        <v/>
      </c>
      <c r="N480" s="4" t="str">
        <f t="shared" si="30"/>
        <v/>
      </c>
      <c r="O480" s="4" t="str">
        <f t="shared" ca="1" si="31"/>
        <v/>
      </c>
    </row>
    <row r="481" spans="1:15" x14ac:dyDescent="0.25">
      <c r="A481" s="4"/>
      <c r="B481" s="4" t="str">
        <f ca="1">IFERROR(_xludf.XLOOKUP(A481,Pracownicy!$A$2:$A$501,Pracownicy!$B$2:$B$501),"")</f>
        <v/>
      </c>
      <c r="C481" s="4"/>
      <c r="D481" s="4" t="str">
        <f ca="1">IFERROR(_xludf.XLOOKUP(C481,Milestones!$A$2:$A$501,Milestones!$B$2:$B$501),"")</f>
        <v/>
      </c>
      <c r="E481" s="4" t="str">
        <f ca="1">IFERROR(_xludf.XLOOKUP(D481,Projekty!$A$2:$A$501,Projekty!$B$2:$B$501),"")</f>
        <v/>
      </c>
      <c r="F481" s="4" t="str">
        <f ca="1">IFERROR(_xludf.XLOOKUP(C481,Milestones!$A$2:$A$501,Milestones!$C$2:$C$501),"")</f>
        <v/>
      </c>
      <c r="G481" s="4" t="str">
        <f ca="1">IFERROR(_xludf.XLOOKUP(C481,Milestones!$A$2:$A$501,Milestones!$F$2:$F$501),"")</f>
        <v/>
      </c>
      <c r="H481" s="4" t="str">
        <f ca="1">IFERROR(_xludf.XLOOKUP(C481,Milestones!$A$2:$A$501,Milestones!$M$2:$M$501),"")</f>
        <v/>
      </c>
      <c r="I481" s="4" t="str">
        <f t="shared" ca="1" si="28"/>
        <v/>
      </c>
      <c r="J481" s="4"/>
      <c r="K481" s="4" t="str">
        <f ca="1">IFERROR(_xludf.XLOOKUP(A481,Pracownicy!$A$2:$A$501,Pracownicy!$F$2:$F$501),"")</f>
        <v/>
      </c>
      <c r="L481" s="4"/>
      <c r="M481" s="4" t="str">
        <f t="shared" ca="1" si="29"/>
        <v/>
      </c>
      <c r="N481" s="4" t="str">
        <f t="shared" si="30"/>
        <v/>
      </c>
      <c r="O481" s="4" t="str">
        <f t="shared" ca="1" si="31"/>
        <v/>
      </c>
    </row>
    <row r="482" spans="1:15" x14ac:dyDescent="0.25">
      <c r="A482" s="4"/>
      <c r="B482" s="4" t="str">
        <f ca="1">IFERROR(_xludf.XLOOKUP(A482,Pracownicy!$A$2:$A$501,Pracownicy!$B$2:$B$501),"")</f>
        <v/>
      </c>
      <c r="C482" s="4"/>
      <c r="D482" s="4" t="str">
        <f ca="1">IFERROR(_xludf.XLOOKUP(C482,Milestones!$A$2:$A$501,Milestones!$B$2:$B$501),"")</f>
        <v/>
      </c>
      <c r="E482" s="4" t="str">
        <f ca="1">IFERROR(_xludf.XLOOKUP(D482,Projekty!$A$2:$A$501,Projekty!$B$2:$B$501),"")</f>
        <v/>
      </c>
      <c r="F482" s="4" t="str">
        <f ca="1">IFERROR(_xludf.XLOOKUP(C482,Milestones!$A$2:$A$501,Milestones!$C$2:$C$501),"")</f>
        <v/>
      </c>
      <c r="G482" s="4" t="str">
        <f ca="1">IFERROR(_xludf.XLOOKUP(C482,Milestones!$A$2:$A$501,Milestones!$F$2:$F$501),"")</f>
        <v/>
      </c>
      <c r="H482" s="4" t="str">
        <f ca="1">IFERROR(_xludf.XLOOKUP(C482,Milestones!$A$2:$A$501,Milestones!$M$2:$M$501),"")</f>
        <v/>
      </c>
      <c r="I482" s="4" t="str">
        <f t="shared" ca="1" si="28"/>
        <v/>
      </c>
      <c r="J482" s="4"/>
      <c r="K482" s="4" t="str">
        <f ca="1">IFERROR(_xludf.XLOOKUP(A482,Pracownicy!$A$2:$A$501,Pracownicy!$F$2:$F$501),"")</f>
        <v/>
      </c>
      <c r="L482" s="4"/>
      <c r="M482" s="4" t="str">
        <f t="shared" ca="1" si="29"/>
        <v/>
      </c>
      <c r="N482" s="4" t="str">
        <f t="shared" si="30"/>
        <v/>
      </c>
      <c r="O482" s="4" t="str">
        <f t="shared" ca="1" si="31"/>
        <v/>
      </c>
    </row>
    <row r="483" spans="1:15" x14ac:dyDescent="0.25">
      <c r="A483" s="4"/>
      <c r="B483" s="4" t="str">
        <f ca="1">IFERROR(_xludf.XLOOKUP(A483,Pracownicy!$A$2:$A$501,Pracownicy!$B$2:$B$501),"")</f>
        <v/>
      </c>
      <c r="C483" s="4"/>
      <c r="D483" s="4" t="str">
        <f ca="1">IFERROR(_xludf.XLOOKUP(C483,Milestones!$A$2:$A$501,Milestones!$B$2:$B$501),"")</f>
        <v/>
      </c>
      <c r="E483" s="4" t="str">
        <f ca="1">IFERROR(_xludf.XLOOKUP(D483,Projekty!$A$2:$A$501,Projekty!$B$2:$B$501),"")</f>
        <v/>
      </c>
      <c r="F483" s="4" t="str">
        <f ca="1">IFERROR(_xludf.XLOOKUP(C483,Milestones!$A$2:$A$501,Milestones!$C$2:$C$501),"")</f>
        <v/>
      </c>
      <c r="G483" s="4" t="str">
        <f ca="1">IFERROR(_xludf.XLOOKUP(C483,Milestones!$A$2:$A$501,Milestones!$F$2:$F$501),"")</f>
        <v/>
      </c>
      <c r="H483" s="4" t="str">
        <f ca="1">IFERROR(_xludf.XLOOKUP(C483,Milestones!$A$2:$A$501,Milestones!$M$2:$M$501),"")</f>
        <v/>
      </c>
      <c r="I483" s="4" t="str">
        <f t="shared" ca="1" si="28"/>
        <v/>
      </c>
      <c r="J483" s="4"/>
      <c r="K483" s="4" t="str">
        <f ca="1">IFERROR(_xludf.XLOOKUP(A483,Pracownicy!$A$2:$A$501,Pracownicy!$F$2:$F$501),"")</f>
        <v/>
      </c>
      <c r="L483" s="4"/>
      <c r="M483" s="4" t="str">
        <f t="shared" ca="1" si="29"/>
        <v/>
      </c>
      <c r="N483" s="4" t="str">
        <f t="shared" si="30"/>
        <v/>
      </c>
      <c r="O483" s="4" t="str">
        <f t="shared" ca="1" si="31"/>
        <v/>
      </c>
    </row>
    <row r="484" spans="1:15" x14ac:dyDescent="0.25">
      <c r="A484" s="4"/>
      <c r="B484" s="4" t="str">
        <f ca="1">IFERROR(_xludf.XLOOKUP(A484,Pracownicy!$A$2:$A$501,Pracownicy!$B$2:$B$501),"")</f>
        <v/>
      </c>
      <c r="C484" s="4"/>
      <c r="D484" s="4" t="str">
        <f ca="1">IFERROR(_xludf.XLOOKUP(C484,Milestones!$A$2:$A$501,Milestones!$B$2:$B$501),"")</f>
        <v/>
      </c>
      <c r="E484" s="4" t="str">
        <f ca="1">IFERROR(_xludf.XLOOKUP(D484,Projekty!$A$2:$A$501,Projekty!$B$2:$B$501),"")</f>
        <v/>
      </c>
      <c r="F484" s="4" t="str">
        <f ca="1">IFERROR(_xludf.XLOOKUP(C484,Milestones!$A$2:$A$501,Milestones!$C$2:$C$501),"")</f>
        <v/>
      </c>
      <c r="G484" s="4" t="str">
        <f ca="1">IFERROR(_xludf.XLOOKUP(C484,Milestones!$A$2:$A$501,Milestones!$F$2:$F$501),"")</f>
        <v/>
      </c>
      <c r="H484" s="4" t="str">
        <f ca="1">IFERROR(_xludf.XLOOKUP(C484,Milestones!$A$2:$A$501,Milestones!$M$2:$M$501),"")</f>
        <v/>
      </c>
      <c r="I484" s="4" t="str">
        <f t="shared" ca="1" si="28"/>
        <v/>
      </c>
      <c r="J484" s="4"/>
      <c r="K484" s="4" t="str">
        <f ca="1">IFERROR(_xludf.XLOOKUP(A484,Pracownicy!$A$2:$A$501,Pracownicy!$F$2:$F$501),"")</f>
        <v/>
      </c>
      <c r="L484" s="4"/>
      <c r="M484" s="4" t="str">
        <f t="shared" ca="1" si="29"/>
        <v/>
      </c>
      <c r="N484" s="4" t="str">
        <f t="shared" si="30"/>
        <v/>
      </c>
      <c r="O484" s="4" t="str">
        <f t="shared" ca="1" si="31"/>
        <v/>
      </c>
    </row>
    <row r="485" spans="1:15" x14ac:dyDescent="0.25">
      <c r="A485" s="4"/>
      <c r="B485" s="4" t="str">
        <f ca="1">IFERROR(_xludf.XLOOKUP(A485,Pracownicy!$A$2:$A$501,Pracownicy!$B$2:$B$501),"")</f>
        <v/>
      </c>
      <c r="C485" s="4"/>
      <c r="D485" s="4" t="str">
        <f ca="1">IFERROR(_xludf.XLOOKUP(C485,Milestones!$A$2:$A$501,Milestones!$B$2:$B$501),"")</f>
        <v/>
      </c>
      <c r="E485" s="4" t="str">
        <f ca="1">IFERROR(_xludf.XLOOKUP(D485,Projekty!$A$2:$A$501,Projekty!$B$2:$B$501),"")</f>
        <v/>
      </c>
      <c r="F485" s="4" t="str">
        <f ca="1">IFERROR(_xludf.XLOOKUP(C485,Milestones!$A$2:$A$501,Milestones!$C$2:$C$501),"")</f>
        <v/>
      </c>
      <c r="G485" s="4" t="str">
        <f ca="1">IFERROR(_xludf.XLOOKUP(C485,Milestones!$A$2:$A$501,Milestones!$F$2:$F$501),"")</f>
        <v/>
      </c>
      <c r="H485" s="4" t="str">
        <f ca="1">IFERROR(_xludf.XLOOKUP(C485,Milestones!$A$2:$A$501,Milestones!$M$2:$M$501),"")</f>
        <v/>
      </c>
      <c r="I485" s="4" t="str">
        <f t="shared" ca="1" si="28"/>
        <v/>
      </c>
      <c r="J485" s="4"/>
      <c r="K485" s="4" t="str">
        <f ca="1">IFERROR(_xludf.XLOOKUP(A485,Pracownicy!$A$2:$A$501,Pracownicy!$F$2:$F$501),"")</f>
        <v/>
      </c>
      <c r="L485" s="4"/>
      <c r="M485" s="4" t="str">
        <f t="shared" ca="1" si="29"/>
        <v/>
      </c>
      <c r="N485" s="4" t="str">
        <f t="shared" si="30"/>
        <v/>
      </c>
      <c r="O485" s="4" t="str">
        <f t="shared" ca="1" si="31"/>
        <v/>
      </c>
    </row>
    <row r="486" spans="1:15" x14ac:dyDescent="0.25">
      <c r="A486" s="4"/>
      <c r="B486" s="4" t="str">
        <f ca="1">IFERROR(_xludf.XLOOKUP(A486,Pracownicy!$A$2:$A$501,Pracownicy!$B$2:$B$501),"")</f>
        <v/>
      </c>
      <c r="C486" s="4"/>
      <c r="D486" s="4" t="str">
        <f ca="1">IFERROR(_xludf.XLOOKUP(C486,Milestones!$A$2:$A$501,Milestones!$B$2:$B$501),"")</f>
        <v/>
      </c>
      <c r="E486" s="4" t="str">
        <f ca="1">IFERROR(_xludf.XLOOKUP(D486,Projekty!$A$2:$A$501,Projekty!$B$2:$B$501),"")</f>
        <v/>
      </c>
      <c r="F486" s="4" t="str">
        <f ca="1">IFERROR(_xludf.XLOOKUP(C486,Milestones!$A$2:$A$501,Milestones!$C$2:$C$501),"")</f>
        <v/>
      </c>
      <c r="G486" s="4" t="str">
        <f ca="1">IFERROR(_xludf.XLOOKUP(C486,Milestones!$A$2:$A$501,Milestones!$F$2:$F$501),"")</f>
        <v/>
      </c>
      <c r="H486" s="4" t="str">
        <f ca="1">IFERROR(_xludf.XLOOKUP(C486,Milestones!$A$2:$A$501,Milestones!$M$2:$M$501),"")</f>
        <v/>
      </c>
      <c r="I486" s="4" t="str">
        <f t="shared" ca="1" si="28"/>
        <v/>
      </c>
      <c r="J486" s="4"/>
      <c r="K486" s="4" t="str">
        <f ca="1">IFERROR(_xludf.XLOOKUP(A486,Pracownicy!$A$2:$A$501,Pracownicy!$F$2:$F$501),"")</f>
        <v/>
      </c>
      <c r="L486" s="4"/>
      <c r="M486" s="4" t="str">
        <f t="shared" ca="1" si="29"/>
        <v/>
      </c>
      <c r="N486" s="4" t="str">
        <f t="shared" si="30"/>
        <v/>
      </c>
      <c r="O486" s="4" t="str">
        <f t="shared" ca="1" si="31"/>
        <v/>
      </c>
    </row>
    <row r="487" spans="1:15" x14ac:dyDescent="0.25">
      <c r="A487" s="4"/>
      <c r="B487" s="4" t="str">
        <f ca="1">IFERROR(_xludf.XLOOKUP(A487,Pracownicy!$A$2:$A$501,Pracownicy!$B$2:$B$501),"")</f>
        <v/>
      </c>
      <c r="C487" s="4"/>
      <c r="D487" s="4" t="str">
        <f ca="1">IFERROR(_xludf.XLOOKUP(C487,Milestones!$A$2:$A$501,Milestones!$B$2:$B$501),"")</f>
        <v/>
      </c>
      <c r="E487" s="4" t="str">
        <f ca="1">IFERROR(_xludf.XLOOKUP(D487,Projekty!$A$2:$A$501,Projekty!$B$2:$B$501),"")</f>
        <v/>
      </c>
      <c r="F487" s="4" t="str">
        <f ca="1">IFERROR(_xludf.XLOOKUP(C487,Milestones!$A$2:$A$501,Milestones!$C$2:$C$501),"")</f>
        <v/>
      </c>
      <c r="G487" s="4" t="str">
        <f ca="1">IFERROR(_xludf.XLOOKUP(C487,Milestones!$A$2:$A$501,Milestones!$F$2:$F$501),"")</f>
        <v/>
      </c>
      <c r="H487" s="4" t="str">
        <f ca="1">IFERROR(_xludf.XLOOKUP(C487,Milestones!$A$2:$A$501,Milestones!$M$2:$M$501),"")</f>
        <v/>
      </c>
      <c r="I487" s="4" t="str">
        <f t="shared" ca="1" si="28"/>
        <v/>
      </c>
      <c r="J487" s="4"/>
      <c r="K487" s="4" t="str">
        <f ca="1">IFERROR(_xludf.XLOOKUP(A487,Pracownicy!$A$2:$A$501,Pracownicy!$F$2:$F$501),"")</f>
        <v/>
      </c>
      <c r="L487" s="4"/>
      <c r="M487" s="4" t="str">
        <f t="shared" ca="1" si="29"/>
        <v/>
      </c>
      <c r="N487" s="4" t="str">
        <f t="shared" si="30"/>
        <v/>
      </c>
      <c r="O487" s="4" t="str">
        <f t="shared" ca="1" si="31"/>
        <v/>
      </c>
    </row>
    <row r="488" spans="1:15" x14ac:dyDescent="0.25">
      <c r="A488" s="4"/>
      <c r="B488" s="4" t="str">
        <f ca="1">IFERROR(_xludf.XLOOKUP(A488,Pracownicy!$A$2:$A$501,Pracownicy!$B$2:$B$501),"")</f>
        <v/>
      </c>
      <c r="C488" s="4"/>
      <c r="D488" s="4" t="str">
        <f ca="1">IFERROR(_xludf.XLOOKUP(C488,Milestones!$A$2:$A$501,Milestones!$B$2:$B$501),"")</f>
        <v/>
      </c>
      <c r="E488" s="4" t="str">
        <f ca="1">IFERROR(_xludf.XLOOKUP(D488,Projekty!$A$2:$A$501,Projekty!$B$2:$B$501),"")</f>
        <v/>
      </c>
      <c r="F488" s="4" t="str">
        <f ca="1">IFERROR(_xludf.XLOOKUP(C488,Milestones!$A$2:$A$501,Milestones!$C$2:$C$501),"")</f>
        <v/>
      </c>
      <c r="G488" s="4" t="str">
        <f ca="1">IFERROR(_xludf.XLOOKUP(C488,Milestones!$A$2:$A$501,Milestones!$F$2:$F$501),"")</f>
        <v/>
      </c>
      <c r="H488" s="4" t="str">
        <f ca="1">IFERROR(_xludf.XLOOKUP(C488,Milestones!$A$2:$A$501,Milestones!$M$2:$M$501),"")</f>
        <v/>
      </c>
      <c r="I488" s="4" t="str">
        <f t="shared" ca="1" si="28"/>
        <v/>
      </c>
      <c r="J488" s="4"/>
      <c r="K488" s="4" t="str">
        <f ca="1">IFERROR(_xludf.XLOOKUP(A488,Pracownicy!$A$2:$A$501,Pracownicy!$F$2:$F$501),"")</f>
        <v/>
      </c>
      <c r="L488" s="4"/>
      <c r="M488" s="4" t="str">
        <f t="shared" ca="1" si="29"/>
        <v/>
      </c>
      <c r="N488" s="4" t="str">
        <f t="shared" si="30"/>
        <v/>
      </c>
      <c r="O488" s="4" t="str">
        <f t="shared" ca="1" si="31"/>
        <v/>
      </c>
    </row>
    <row r="489" spans="1:15" x14ac:dyDescent="0.25">
      <c r="A489" s="4"/>
      <c r="B489" s="4" t="str">
        <f ca="1">IFERROR(_xludf.XLOOKUP(A489,Pracownicy!$A$2:$A$501,Pracownicy!$B$2:$B$501),"")</f>
        <v/>
      </c>
      <c r="C489" s="4"/>
      <c r="D489" s="4" t="str">
        <f ca="1">IFERROR(_xludf.XLOOKUP(C489,Milestones!$A$2:$A$501,Milestones!$B$2:$B$501),"")</f>
        <v/>
      </c>
      <c r="E489" s="4" t="str">
        <f ca="1">IFERROR(_xludf.XLOOKUP(D489,Projekty!$A$2:$A$501,Projekty!$B$2:$B$501),"")</f>
        <v/>
      </c>
      <c r="F489" s="4" t="str">
        <f ca="1">IFERROR(_xludf.XLOOKUP(C489,Milestones!$A$2:$A$501,Milestones!$C$2:$C$501),"")</f>
        <v/>
      </c>
      <c r="G489" s="4" t="str">
        <f ca="1">IFERROR(_xludf.XLOOKUP(C489,Milestones!$A$2:$A$501,Milestones!$F$2:$F$501),"")</f>
        <v/>
      </c>
      <c r="H489" s="4" t="str">
        <f ca="1">IFERROR(_xludf.XLOOKUP(C489,Milestones!$A$2:$A$501,Milestones!$M$2:$M$501),"")</f>
        <v/>
      </c>
      <c r="I489" s="4" t="str">
        <f t="shared" ca="1" si="28"/>
        <v/>
      </c>
      <c r="J489" s="4"/>
      <c r="K489" s="4" t="str">
        <f ca="1">IFERROR(_xludf.XLOOKUP(A489,Pracownicy!$A$2:$A$501,Pracownicy!$F$2:$F$501),"")</f>
        <v/>
      </c>
      <c r="L489" s="4"/>
      <c r="M489" s="4" t="str">
        <f t="shared" ca="1" si="29"/>
        <v/>
      </c>
      <c r="N489" s="4" t="str">
        <f t="shared" si="30"/>
        <v/>
      </c>
      <c r="O489" s="4" t="str">
        <f t="shared" ca="1" si="31"/>
        <v/>
      </c>
    </row>
    <row r="490" spans="1:15" x14ac:dyDescent="0.25">
      <c r="A490" s="4"/>
      <c r="B490" s="4" t="str">
        <f ca="1">IFERROR(_xludf.XLOOKUP(A490,Pracownicy!$A$2:$A$501,Pracownicy!$B$2:$B$501),"")</f>
        <v/>
      </c>
      <c r="C490" s="4"/>
      <c r="D490" s="4" t="str">
        <f ca="1">IFERROR(_xludf.XLOOKUP(C490,Milestones!$A$2:$A$501,Milestones!$B$2:$B$501),"")</f>
        <v/>
      </c>
      <c r="E490" s="4" t="str">
        <f ca="1">IFERROR(_xludf.XLOOKUP(D490,Projekty!$A$2:$A$501,Projekty!$B$2:$B$501),"")</f>
        <v/>
      </c>
      <c r="F490" s="4" t="str">
        <f ca="1">IFERROR(_xludf.XLOOKUP(C490,Milestones!$A$2:$A$501,Milestones!$C$2:$C$501),"")</f>
        <v/>
      </c>
      <c r="G490" s="4" t="str">
        <f ca="1">IFERROR(_xludf.XLOOKUP(C490,Milestones!$A$2:$A$501,Milestones!$F$2:$F$501),"")</f>
        <v/>
      </c>
      <c r="H490" s="4" t="str">
        <f ca="1">IFERROR(_xludf.XLOOKUP(C490,Milestones!$A$2:$A$501,Milestones!$M$2:$M$501),"")</f>
        <v/>
      </c>
      <c r="I490" s="4" t="str">
        <f t="shared" ca="1" si="28"/>
        <v/>
      </c>
      <c r="J490" s="4"/>
      <c r="K490" s="4" t="str">
        <f ca="1">IFERROR(_xludf.XLOOKUP(A490,Pracownicy!$A$2:$A$501,Pracownicy!$F$2:$F$501),"")</f>
        <v/>
      </c>
      <c r="L490" s="4"/>
      <c r="M490" s="4" t="str">
        <f t="shared" ca="1" si="29"/>
        <v/>
      </c>
      <c r="N490" s="4" t="str">
        <f t="shared" si="30"/>
        <v/>
      </c>
      <c r="O490" s="4" t="str">
        <f t="shared" ca="1" si="31"/>
        <v/>
      </c>
    </row>
    <row r="491" spans="1:15" x14ac:dyDescent="0.25">
      <c r="A491" s="4"/>
      <c r="B491" s="4" t="str">
        <f ca="1">IFERROR(_xludf.XLOOKUP(A491,Pracownicy!$A$2:$A$501,Pracownicy!$B$2:$B$501),"")</f>
        <v/>
      </c>
      <c r="C491" s="4"/>
      <c r="D491" s="4" t="str">
        <f ca="1">IFERROR(_xludf.XLOOKUP(C491,Milestones!$A$2:$A$501,Milestones!$B$2:$B$501),"")</f>
        <v/>
      </c>
      <c r="E491" s="4" t="str">
        <f ca="1">IFERROR(_xludf.XLOOKUP(D491,Projekty!$A$2:$A$501,Projekty!$B$2:$B$501),"")</f>
        <v/>
      </c>
      <c r="F491" s="4" t="str">
        <f ca="1">IFERROR(_xludf.XLOOKUP(C491,Milestones!$A$2:$A$501,Milestones!$C$2:$C$501),"")</f>
        <v/>
      </c>
      <c r="G491" s="4" t="str">
        <f ca="1">IFERROR(_xludf.XLOOKUP(C491,Milestones!$A$2:$A$501,Milestones!$F$2:$F$501),"")</f>
        <v/>
      </c>
      <c r="H491" s="4" t="str">
        <f ca="1">IFERROR(_xludf.XLOOKUP(C491,Milestones!$A$2:$A$501,Milestones!$M$2:$M$501),"")</f>
        <v/>
      </c>
      <c r="I491" s="4" t="str">
        <f t="shared" ca="1" si="28"/>
        <v/>
      </c>
      <c r="J491" s="4"/>
      <c r="K491" s="4" t="str">
        <f ca="1">IFERROR(_xludf.XLOOKUP(A491,Pracownicy!$A$2:$A$501,Pracownicy!$F$2:$F$501),"")</f>
        <v/>
      </c>
      <c r="L491" s="4"/>
      <c r="M491" s="4" t="str">
        <f t="shared" ca="1" si="29"/>
        <v/>
      </c>
      <c r="N491" s="4" t="str">
        <f t="shared" si="30"/>
        <v/>
      </c>
      <c r="O491" s="4" t="str">
        <f t="shared" ca="1" si="31"/>
        <v/>
      </c>
    </row>
    <row r="492" spans="1:15" x14ac:dyDescent="0.25">
      <c r="A492" s="4"/>
      <c r="B492" s="4" t="str">
        <f ca="1">IFERROR(_xludf.XLOOKUP(A492,Pracownicy!$A$2:$A$501,Pracownicy!$B$2:$B$501),"")</f>
        <v/>
      </c>
      <c r="C492" s="4"/>
      <c r="D492" s="4" t="str">
        <f ca="1">IFERROR(_xludf.XLOOKUP(C492,Milestones!$A$2:$A$501,Milestones!$B$2:$B$501),"")</f>
        <v/>
      </c>
      <c r="E492" s="4" t="str">
        <f ca="1">IFERROR(_xludf.XLOOKUP(D492,Projekty!$A$2:$A$501,Projekty!$B$2:$B$501),"")</f>
        <v/>
      </c>
      <c r="F492" s="4" t="str">
        <f ca="1">IFERROR(_xludf.XLOOKUP(C492,Milestones!$A$2:$A$501,Milestones!$C$2:$C$501),"")</f>
        <v/>
      </c>
      <c r="G492" s="4" t="str">
        <f ca="1">IFERROR(_xludf.XLOOKUP(C492,Milestones!$A$2:$A$501,Milestones!$F$2:$F$501),"")</f>
        <v/>
      </c>
      <c r="H492" s="4" t="str">
        <f ca="1">IFERROR(_xludf.XLOOKUP(C492,Milestones!$A$2:$A$501,Milestones!$M$2:$M$501),"")</f>
        <v/>
      </c>
      <c r="I492" s="4" t="str">
        <f t="shared" ca="1" si="28"/>
        <v/>
      </c>
      <c r="J492" s="4"/>
      <c r="K492" s="4" t="str">
        <f ca="1">IFERROR(_xludf.XLOOKUP(A492,Pracownicy!$A$2:$A$501,Pracownicy!$F$2:$F$501),"")</f>
        <v/>
      </c>
      <c r="L492" s="4"/>
      <c r="M492" s="4" t="str">
        <f t="shared" ca="1" si="29"/>
        <v/>
      </c>
      <c r="N492" s="4" t="str">
        <f t="shared" si="30"/>
        <v/>
      </c>
      <c r="O492" s="4" t="str">
        <f t="shared" ca="1" si="31"/>
        <v/>
      </c>
    </row>
    <row r="493" spans="1:15" x14ac:dyDescent="0.25">
      <c r="A493" s="4"/>
      <c r="B493" s="4" t="str">
        <f ca="1">IFERROR(_xludf.XLOOKUP(A493,Pracownicy!$A$2:$A$501,Pracownicy!$B$2:$B$501),"")</f>
        <v/>
      </c>
      <c r="C493" s="4"/>
      <c r="D493" s="4" t="str">
        <f ca="1">IFERROR(_xludf.XLOOKUP(C493,Milestones!$A$2:$A$501,Milestones!$B$2:$B$501),"")</f>
        <v/>
      </c>
      <c r="E493" s="4" t="str">
        <f ca="1">IFERROR(_xludf.XLOOKUP(D493,Projekty!$A$2:$A$501,Projekty!$B$2:$B$501),"")</f>
        <v/>
      </c>
      <c r="F493" s="4" t="str">
        <f ca="1">IFERROR(_xludf.XLOOKUP(C493,Milestones!$A$2:$A$501,Milestones!$C$2:$C$501),"")</f>
        <v/>
      </c>
      <c r="G493" s="4" t="str">
        <f ca="1">IFERROR(_xludf.XLOOKUP(C493,Milestones!$A$2:$A$501,Milestones!$F$2:$F$501),"")</f>
        <v/>
      </c>
      <c r="H493" s="4" t="str">
        <f ca="1">IFERROR(_xludf.XLOOKUP(C493,Milestones!$A$2:$A$501,Milestones!$M$2:$M$501),"")</f>
        <v/>
      </c>
      <c r="I493" s="4" t="str">
        <f t="shared" ca="1" si="28"/>
        <v/>
      </c>
      <c r="J493" s="4"/>
      <c r="K493" s="4" t="str">
        <f ca="1">IFERROR(_xludf.XLOOKUP(A493,Pracownicy!$A$2:$A$501,Pracownicy!$F$2:$F$501),"")</f>
        <v/>
      </c>
      <c r="L493" s="4"/>
      <c r="M493" s="4" t="str">
        <f t="shared" ca="1" si="29"/>
        <v/>
      </c>
      <c r="N493" s="4" t="str">
        <f t="shared" si="30"/>
        <v/>
      </c>
      <c r="O493" s="4" t="str">
        <f t="shared" ca="1" si="31"/>
        <v/>
      </c>
    </row>
    <row r="494" spans="1:15" x14ac:dyDescent="0.25">
      <c r="A494" s="4"/>
      <c r="B494" s="4" t="str">
        <f ca="1">IFERROR(_xludf.XLOOKUP(A494,Pracownicy!$A$2:$A$501,Pracownicy!$B$2:$B$501),"")</f>
        <v/>
      </c>
      <c r="C494" s="4"/>
      <c r="D494" s="4" t="str">
        <f ca="1">IFERROR(_xludf.XLOOKUP(C494,Milestones!$A$2:$A$501,Milestones!$B$2:$B$501),"")</f>
        <v/>
      </c>
      <c r="E494" s="4" t="str">
        <f ca="1">IFERROR(_xludf.XLOOKUP(D494,Projekty!$A$2:$A$501,Projekty!$B$2:$B$501),"")</f>
        <v/>
      </c>
      <c r="F494" s="4" t="str">
        <f ca="1">IFERROR(_xludf.XLOOKUP(C494,Milestones!$A$2:$A$501,Milestones!$C$2:$C$501),"")</f>
        <v/>
      </c>
      <c r="G494" s="4" t="str">
        <f ca="1">IFERROR(_xludf.XLOOKUP(C494,Milestones!$A$2:$A$501,Milestones!$F$2:$F$501),"")</f>
        <v/>
      </c>
      <c r="H494" s="4" t="str">
        <f ca="1">IFERROR(_xludf.XLOOKUP(C494,Milestones!$A$2:$A$501,Milestones!$M$2:$M$501),"")</f>
        <v/>
      </c>
      <c r="I494" s="4" t="str">
        <f t="shared" ca="1" si="28"/>
        <v/>
      </c>
      <c r="J494" s="4"/>
      <c r="K494" s="4" t="str">
        <f ca="1">IFERROR(_xludf.XLOOKUP(A494,Pracownicy!$A$2:$A$501,Pracownicy!$F$2:$F$501),"")</f>
        <v/>
      </c>
      <c r="L494" s="4"/>
      <c r="M494" s="4" t="str">
        <f t="shared" ca="1" si="29"/>
        <v/>
      </c>
      <c r="N494" s="4" t="str">
        <f t="shared" si="30"/>
        <v/>
      </c>
      <c r="O494" s="4" t="str">
        <f t="shared" ca="1" si="31"/>
        <v/>
      </c>
    </row>
    <row r="495" spans="1:15" x14ac:dyDescent="0.25">
      <c r="A495" s="4"/>
      <c r="B495" s="4" t="str">
        <f ca="1">IFERROR(_xludf.XLOOKUP(A495,Pracownicy!$A$2:$A$501,Pracownicy!$B$2:$B$501),"")</f>
        <v/>
      </c>
      <c r="C495" s="4"/>
      <c r="D495" s="4" t="str">
        <f ca="1">IFERROR(_xludf.XLOOKUP(C495,Milestones!$A$2:$A$501,Milestones!$B$2:$B$501),"")</f>
        <v/>
      </c>
      <c r="E495" s="4" t="str">
        <f ca="1">IFERROR(_xludf.XLOOKUP(D495,Projekty!$A$2:$A$501,Projekty!$B$2:$B$501),"")</f>
        <v/>
      </c>
      <c r="F495" s="4" t="str">
        <f ca="1">IFERROR(_xludf.XLOOKUP(C495,Milestones!$A$2:$A$501,Milestones!$C$2:$C$501),"")</f>
        <v/>
      </c>
      <c r="G495" s="4" t="str">
        <f ca="1">IFERROR(_xludf.XLOOKUP(C495,Milestones!$A$2:$A$501,Milestones!$F$2:$F$501),"")</f>
        <v/>
      </c>
      <c r="H495" s="4" t="str">
        <f ca="1">IFERROR(_xludf.XLOOKUP(C495,Milestones!$A$2:$A$501,Milestones!$M$2:$M$501),"")</f>
        <v/>
      </c>
      <c r="I495" s="4" t="str">
        <f t="shared" ca="1" si="28"/>
        <v/>
      </c>
      <c r="J495" s="4"/>
      <c r="K495" s="4" t="str">
        <f ca="1">IFERROR(_xludf.XLOOKUP(A495,Pracownicy!$A$2:$A$501,Pracownicy!$F$2:$F$501),"")</f>
        <v/>
      </c>
      <c r="L495" s="4"/>
      <c r="M495" s="4" t="str">
        <f t="shared" ca="1" si="29"/>
        <v/>
      </c>
      <c r="N495" s="4" t="str">
        <f t="shared" si="30"/>
        <v/>
      </c>
      <c r="O495" s="4" t="str">
        <f t="shared" ca="1" si="31"/>
        <v/>
      </c>
    </row>
    <row r="496" spans="1:15" x14ac:dyDescent="0.25">
      <c r="A496" s="4"/>
      <c r="B496" s="4" t="str">
        <f ca="1">IFERROR(_xludf.XLOOKUP(A496,Pracownicy!$A$2:$A$501,Pracownicy!$B$2:$B$501),"")</f>
        <v/>
      </c>
      <c r="C496" s="4"/>
      <c r="D496" s="4" t="str">
        <f ca="1">IFERROR(_xludf.XLOOKUP(C496,Milestones!$A$2:$A$501,Milestones!$B$2:$B$501),"")</f>
        <v/>
      </c>
      <c r="E496" s="4" t="str">
        <f ca="1">IFERROR(_xludf.XLOOKUP(D496,Projekty!$A$2:$A$501,Projekty!$B$2:$B$501),"")</f>
        <v/>
      </c>
      <c r="F496" s="4" t="str">
        <f ca="1">IFERROR(_xludf.XLOOKUP(C496,Milestones!$A$2:$A$501,Milestones!$C$2:$C$501),"")</f>
        <v/>
      </c>
      <c r="G496" s="4" t="str">
        <f ca="1">IFERROR(_xludf.XLOOKUP(C496,Milestones!$A$2:$A$501,Milestones!$F$2:$F$501),"")</f>
        <v/>
      </c>
      <c r="H496" s="4" t="str">
        <f ca="1">IFERROR(_xludf.XLOOKUP(C496,Milestones!$A$2:$A$501,Milestones!$M$2:$M$501),"")</f>
        <v/>
      </c>
      <c r="I496" s="4" t="str">
        <f t="shared" ca="1" si="28"/>
        <v/>
      </c>
      <c r="J496" s="4"/>
      <c r="K496" s="4" t="str">
        <f ca="1">IFERROR(_xludf.XLOOKUP(A496,Pracownicy!$A$2:$A$501,Pracownicy!$F$2:$F$501),"")</f>
        <v/>
      </c>
      <c r="L496" s="4"/>
      <c r="M496" s="4" t="str">
        <f t="shared" ca="1" si="29"/>
        <v/>
      </c>
      <c r="N496" s="4" t="str">
        <f t="shared" si="30"/>
        <v/>
      </c>
      <c r="O496" s="4" t="str">
        <f t="shared" ca="1" si="31"/>
        <v/>
      </c>
    </row>
    <row r="497" spans="1:15" x14ac:dyDescent="0.25">
      <c r="A497" s="4"/>
      <c r="B497" s="4" t="str">
        <f ca="1">IFERROR(_xludf.XLOOKUP(A497,Pracownicy!$A$2:$A$501,Pracownicy!$B$2:$B$501),"")</f>
        <v/>
      </c>
      <c r="C497" s="4"/>
      <c r="D497" s="4" t="str">
        <f ca="1">IFERROR(_xludf.XLOOKUP(C497,Milestones!$A$2:$A$501,Milestones!$B$2:$B$501),"")</f>
        <v/>
      </c>
      <c r="E497" s="4" t="str">
        <f ca="1">IFERROR(_xludf.XLOOKUP(D497,Projekty!$A$2:$A$501,Projekty!$B$2:$B$501),"")</f>
        <v/>
      </c>
      <c r="F497" s="4" t="str">
        <f ca="1">IFERROR(_xludf.XLOOKUP(C497,Milestones!$A$2:$A$501,Milestones!$C$2:$C$501),"")</f>
        <v/>
      </c>
      <c r="G497" s="4" t="str">
        <f ca="1">IFERROR(_xludf.XLOOKUP(C497,Milestones!$A$2:$A$501,Milestones!$F$2:$F$501),"")</f>
        <v/>
      </c>
      <c r="H497" s="4" t="str">
        <f ca="1">IFERROR(_xludf.XLOOKUP(C497,Milestones!$A$2:$A$501,Milestones!$M$2:$M$501),"")</f>
        <v/>
      </c>
      <c r="I497" s="4" t="str">
        <f t="shared" ca="1" si="28"/>
        <v/>
      </c>
      <c r="J497" s="4"/>
      <c r="K497" s="4" t="str">
        <f ca="1">IFERROR(_xludf.XLOOKUP(A497,Pracownicy!$A$2:$A$501,Pracownicy!$F$2:$F$501),"")</f>
        <v/>
      </c>
      <c r="L497" s="4"/>
      <c r="M497" s="4" t="str">
        <f t="shared" ca="1" si="29"/>
        <v/>
      </c>
      <c r="N497" s="4" t="str">
        <f t="shared" si="30"/>
        <v/>
      </c>
      <c r="O497" s="4" t="str">
        <f t="shared" ca="1" si="31"/>
        <v/>
      </c>
    </row>
    <row r="498" spans="1:15" x14ac:dyDescent="0.25">
      <c r="A498" s="4"/>
      <c r="B498" s="4" t="str">
        <f ca="1">IFERROR(_xludf.XLOOKUP(A498,Pracownicy!$A$2:$A$501,Pracownicy!$B$2:$B$501),"")</f>
        <v/>
      </c>
      <c r="C498" s="4"/>
      <c r="D498" s="4" t="str">
        <f ca="1">IFERROR(_xludf.XLOOKUP(C498,Milestones!$A$2:$A$501,Milestones!$B$2:$B$501),"")</f>
        <v/>
      </c>
      <c r="E498" s="4" t="str">
        <f ca="1">IFERROR(_xludf.XLOOKUP(D498,Projekty!$A$2:$A$501,Projekty!$B$2:$B$501),"")</f>
        <v/>
      </c>
      <c r="F498" s="4" t="str">
        <f ca="1">IFERROR(_xludf.XLOOKUP(C498,Milestones!$A$2:$A$501,Milestones!$C$2:$C$501),"")</f>
        <v/>
      </c>
      <c r="G498" s="4" t="str">
        <f ca="1">IFERROR(_xludf.XLOOKUP(C498,Milestones!$A$2:$A$501,Milestones!$F$2:$F$501),"")</f>
        <v/>
      </c>
      <c r="H498" s="4" t="str">
        <f ca="1">IFERROR(_xludf.XLOOKUP(C498,Milestones!$A$2:$A$501,Milestones!$M$2:$M$501),"")</f>
        <v/>
      </c>
      <c r="I498" s="4" t="str">
        <f t="shared" ca="1" si="28"/>
        <v/>
      </c>
      <c r="J498" s="4"/>
      <c r="K498" s="4" t="str">
        <f ca="1">IFERROR(_xludf.XLOOKUP(A498,Pracownicy!$A$2:$A$501,Pracownicy!$F$2:$F$501),"")</f>
        <v/>
      </c>
      <c r="L498" s="4"/>
      <c r="M498" s="4" t="str">
        <f t="shared" ca="1" si="29"/>
        <v/>
      </c>
      <c r="N498" s="4" t="str">
        <f t="shared" si="30"/>
        <v/>
      </c>
      <c r="O498" s="4" t="str">
        <f t="shared" ca="1" si="31"/>
        <v/>
      </c>
    </row>
    <row r="499" spans="1:15" x14ac:dyDescent="0.25">
      <c r="A499" s="4"/>
      <c r="B499" s="4" t="str">
        <f ca="1">IFERROR(_xludf.XLOOKUP(A499,Pracownicy!$A$2:$A$501,Pracownicy!$B$2:$B$501),"")</f>
        <v/>
      </c>
      <c r="C499" s="4"/>
      <c r="D499" s="4" t="str">
        <f ca="1">IFERROR(_xludf.XLOOKUP(C499,Milestones!$A$2:$A$501,Milestones!$B$2:$B$501),"")</f>
        <v/>
      </c>
      <c r="E499" s="4" t="str">
        <f ca="1">IFERROR(_xludf.XLOOKUP(D499,Projekty!$A$2:$A$501,Projekty!$B$2:$B$501),"")</f>
        <v/>
      </c>
      <c r="F499" s="4" t="str">
        <f ca="1">IFERROR(_xludf.XLOOKUP(C499,Milestones!$A$2:$A$501,Milestones!$C$2:$C$501),"")</f>
        <v/>
      </c>
      <c r="G499" s="4" t="str">
        <f ca="1">IFERROR(_xludf.XLOOKUP(C499,Milestones!$A$2:$A$501,Milestones!$F$2:$F$501),"")</f>
        <v/>
      </c>
      <c r="H499" s="4" t="str">
        <f ca="1">IFERROR(_xludf.XLOOKUP(C499,Milestones!$A$2:$A$501,Milestones!$M$2:$M$501),"")</f>
        <v/>
      </c>
      <c r="I499" s="4" t="str">
        <f t="shared" ca="1" si="28"/>
        <v/>
      </c>
      <c r="J499" s="4"/>
      <c r="K499" s="4" t="str">
        <f ca="1">IFERROR(_xludf.XLOOKUP(A499,Pracownicy!$A$2:$A$501,Pracownicy!$F$2:$F$501),"")</f>
        <v/>
      </c>
      <c r="L499" s="4"/>
      <c r="M499" s="4" t="str">
        <f t="shared" ca="1" si="29"/>
        <v/>
      </c>
      <c r="N499" s="4" t="str">
        <f t="shared" si="30"/>
        <v/>
      </c>
      <c r="O499" s="4" t="str">
        <f t="shared" ca="1" si="31"/>
        <v/>
      </c>
    </row>
    <row r="500" spans="1:15" x14ac:dyDescent="0.25">
      <c r="A500" s="4"/>
      <c r="B500" s="4" t="str">
        <f ca="1">IFERROR(_xludf.XLOOKUP(A500,Pracownicy!$A$2:$A$501,Pracownicy!$B$2:$B$501),"")</f>
        <v/>
      </c>
      <c r="C500" s="4"/>
      <c r="D500" s="4" t="str">
        <f ca="1">IFERROR(_xludf.XLOOKUP(C500,Milestones!$A$2:$A$501,Milestones!$B$2:$B$501),"")</f>
        <v/>
      </c>
      <c r="E500" s="4" t="str">
        <f ca="1">IFERROR(_xludf.XLOOKUP(D500,Projekty!$A$2:$A$501,Projekty!$B$2:$B$501),"")</f>
        <v/>
      </c>
      <c r="F500" s="4" t="str">
        <f ca="1">IFERROR(_xludf.XLOOKUP(C500,Milestones!$A$2:$A$501,Milestones!$C$2:$C$501),"")</f>
        <v/>
      </c>
      <c r="G500" s="4" t="str">
        <f ca="1">IFERROR(_xludf.XLOOKUP(C500,Milestones!$A$2:$A$501,Milestones!$F$2:$F$501),"")</f>
        <v/>
      </c>
      <c r="H500" s="4" t="str">
        <f ca="1">IFERROR(_xludf.XLOOKUP(C500,Milestones!$A$2:$A$501,Milestones!$M$2:$M$501),"")</f>
        <v/>
      </c>
      <c r="I500" s="4" t="str">
        <f t="shared" ca="1" si="28"/>
        <v/>
      </c>
      <c r="J500" s="4"/>
      <c r="K500" s="4" t="str">
        <f ca="1">IFERROR(_xludf.XLOOKUP(A500,Pracownicy!$A$2:$A$501,Pracownicy!$F$2:$F$501),"")</f>
        <v/>
      </c>
      <c r="L500" s="4"/>
      <c r="M500" s="4" t="str">
        <f t="shared" ca="1" si="29"/>
        <v/>
      </c>
      <c r="N500" s="4" t="str">
        <f t="shared" si="30"/>
        <v/>
      </c>
      <c r="O500" s="4" t="str">
        <f t="shared" ca="1" si="31"/>
        <v/>
      </c>
    </row>
    <row r="501" spans="1:15" x14ac:dyDescent="0.25">
      <c r="A501" s="4"/>
      <c r="B501" s="4" t="str">
        <f ca="1">IFERROR(_xludf.XLOOKUP(A501,Pracownicy!$A$2:$A$501,Pracownicy!$B$2:$B$501),"")</f>
        <v/>
      </c>
      <c r="C501" s="4"/>
      <c r="D501" s="4" t="str">
        <f ca="1">IFERROR(_xludf.XLOOKUP(C501,Milestones!$A$2:$A$501,Milestones!$B$2:$B$501),"")</f>
        <v/>
      </c>
      <c r="E501" s="4" t="str">
        <f ca="1">IFERROR(_xludf.XLOOKUP(D501,Projekty!$A$2:$A$501,Projekty!$B$2:$B$501),"")</f>
        <v/>
      </c>
      <c r="F501" s="4" t="str">
        <f ca="1">IFERROR(_xludf.XLOOKUP(C501,Milestones!$A$2:$A$501,Milestones!$C$2:$C$501),"")</f>
        <v/>
      </c>
      <c r="G501" s="4" t="str">
        <f ca="1">IFERROR(_xludf.XLOOKUP(C501,Milestones!$A$2:$A$501,Milestones!$F$2:$F$501),"")</f>
        <v/>
      </c>
      <c r="H501" s="4" t="str">
        <f ca="1">IFERROR(_xludf.XLOOKUP(C501,Milestones!$A$2:$A$501,Milestones!$M$2:$M$501),"")</f>
        <v/>
      </c>
      <c r="I501" s="4" t="str">
        <f t="shared" ca="1" si="28"/>
        <v/>
      </c>
      <c r="J501" s="4"/>
      <c r="K501" s="4" t="str">
        <f ca="1">IFERROR(_xludf.XLOOKUP(A501,Pracownicy!$A$2:$A$501,Pracownicy!$F$2:$F$501),"")</f>
        <v/>
      </c>
      <c r="L501" s="4"/>
      <c r="M501" s="4" t="str">
        <f t="shared" ca="1" si="29"/>
        <v/>
      </c>
      <c r="N501" s="4" t="str">
        <f t="shared" si="30"/>
        <v/>
      </c>
      <c r="O501" s="4" t="str">
        <f t="shared" ca="1" si="31"/>
        <v/>
      </c>
    </row>
  </sheetData>
  <conditionalFormatting sqref="N2:N501">
    <cfRule type="cellIs" dxfId="3" priority="1" operator="equal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01"/>
  <sheetViews>
    <sheetView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2" width="14" customWidth="1"/>
    <col min="3" max="3" width="30" customWidth="1"/>
    <col min="4" max="4" width="18" customWidth="1"/>
    <col min="5" max="5" width="16" customWidth="1"/>
    <col min="6" max="6" width="20" customWidth="1"/>
    <col min="7" max="9" width="18" customWidth="1"/>
    <col min="10" max="10" width="8" customWidth="1"/>
  </cols>
  <sheetData>
    <row r="1" spans="1:10" ht="30" customHeight="1" x14ac:dyDescent="0.25">
      <c r="A1" s="6" t="s">
        <v>0</v>
      </c>
      <c r="B1" s="6" t="s">
        <v>1</v>
      </c>
      <c r="C1" s="6" t="s">
        <v>2</v>
      </c>
      <c r="D1" s="6" t="s">
        <v>77</v>
      </c>
      <c r="E1" s="6" t="s">
        <v>12</v>
      </c>
      <c r="F1" s="6" t="s">
        <v>78</v>
      </c>
      <c r="G1" s="6" t="s">
        <v>84</v>
      </c>
      <c r="H1" s="6" t="s">
        <v>85</v>
      </c>
      <c r="I1" s="6" t="s">
        <v>86</v>
      </c>
      <c r="J1" s="6" t="s">
        <v>87</v>
      </c>
    </row>
    <row r="2" spans="1:10" x14ac:dyDescent="0.25">
      <c r="A2" s="4" t="str">
        <f>Milestones!A2</f>
        <v>MS-001</v>
      </c>
      <c r="B2" s="4" t="str">
        <f>Milestones!B2</f>
        <v>RD-093</v>
      </c>
      <c r="C2" s="4" t="str">
        <f>Milestones!C2</f>
        <v>M1: Analiza Polikapilara</v>
      </c>
      <c r="D2" s="4">
        <f>Milestones!F2</f>
        <v>3000</v>
      </c>
      <c r="E2" s="4">
        <f>IFERROR(_xlfn.XLOOKUP(A2,Milestones!$A$2:$A$501,Milestones!$M$2:$M$501),"")</f>
        <v>1.1200000000000001</v>
      </c>
      <c r="F2" s="4">
        <f t="shared" ref="F2:F65" si="0">IF(E2="","",MIN(E2,1))</f>
        <v>1</v>
      </c>
      <c r="G2" s="4">
        <f t="shared" ref="G2:G65" si="1">IF(D2="","",ROUNDDOWN(D2*F2,2))</f>
        <v>3000</v>
      </c>
      <c r="H2" s="4">
        <f>IF(A2="","",SUMIF(Wyniki!$C$2:$C$501,A2,Wyniki!$O$2:$O$501))</f>
        <v>2999.98</v>
      </c>
      <c r="I2" s="4">
        <f t="shared" ref="I2:I65" si="2">IF(G2="","",MAX(0,G2-H2))</f>
        <v>1.999999999998181E-2</v>
      </c>
      <c r="J2" s="4" t="str">
        <f t="shared" ref="J2:J65" si="3">IF(A2="","",IF(H2&lt;=G2,"OK","NIE"))</f>
        <v>OK</v>
      </c>
    </row>
    <row r="3" spans="1:10" x14ac:dyDescent="0.25">
      <c r="A3" s="4" t="str">
        <f>Milestones!A3</f>
        <v>MS-002</v>
      </c>
      <c r="B3" s="4" t="str">
        <f>Milestones!B3</f>
        <v>RD-093</v>
      </c>
      <c r="C3" s="4" t="str">
        <f>Milestones!C3</f>
        <v>M2: źródło PV</v>
      </c>
      <c r="D3" s="4">
        <f>Milestones!F3</f>
        <v>10000</v>
      </c>
      <c r="E3" s="4">
        <f>IFERROR(_xlfn.XLOOKUP(A3,Milestones!$A$2:$A$501,Milestones!$M$2:$M$501),"")</f>
        <v>0.82299999999999995</v>
      </c>
      <c r="F3" s="4">
        <f t="shared" si="0"/>
        <v>0.82299999999999995</v>
      </c>
      <c r="G3" s="4">
        <f t="shared" si="1"/>
        <v>8230</v>
      </c>
      <c r="H3" s="4">
        <f>IF(A3="","",SUMIF(Wyniki!$C$2:$C$501,A3,Wyniki!$O$2:$O$501))</f>
        <v>0</v>
      </c>
      <c r="I3" s="4">
        <f t="shared" si="2"/>
        <v>8230</v>
      </c>
      <c r="J3" s="4" t="str">
        <f t="shared" si="3"/>
        <v>OK</v>
      </c>
    </row>
    <row r="4" spans="1:10" x14ac:dyDescent="0.25">
      <c r="A4" s="4"/>
      <c r="B4" s="4"/>
      <c r="C4" s="4"/>
      <c r="D4" s="4"/>
      <c r="E4" s="4" t="str">
        <f ca="1">IFERROR(_xludf.XLOOKUP(A4,Milestones!$A$2:$A$501,Milestones!$M$2:$M$501),"")</f>
        <v/>
      </c>
      <c r="F4" s="4" t="str">
        <f t="shared" ca="1" si="0"/>
        <v/>
      </c>
      <c r="G4" s="4" t="str">
        <f t="shared" si="1"/>
        <v/>
      </c>
      <c r="H4" s="4" t="str">
        <f>IF(A4="","",SUMIF(Wyniki!$C$2:$C$501,A4,Wyniki!$O$2:$O$501))</f>
        <v/>
      </c>
      <c r="I4" s="4" t="str">
        <f t="shared" si="2"/>
        <v/>
      </c>
      <c r="J4" s="4" t="str">
        <f t="shared" si="3"/>
        <v/>
      </c>
    </row>
    <row r="5" spans="1:10" x14ac:dyDescent="0.25">
      <c r="A5" s="4"/>
      <c r="B5" s="4"/>
      <c r="C5" s="4"/>
      <c r="D5" s="4"/>
      <c r="E5" s="4" t="str">
        <f ca="1">IFERROR(_xludf.XLOOKUP(A5,Milestones!$A$2:$A$501,Milestones!$M$2:$M$501),"")</f>
        <v/>
      </c>
      <c r="F5" s="4" t="str">
        <f t="shared" ca="1" si="0"/>
        <v/>
      </c>
      <c r="G5" s="4" t="str">
        <f t="shared" si="1"/>
        <v/>
      </c>
      <c r="H5" s="4" t="str">
        <f>IF(A5="","",SUMIF(Wyniki!$C$2:$C$501,A5,Wyniki!$O$2:$O$501))</f>
        <v/>
      </c>
      <c r="I5" s="4" t="str">
        <f t="shared" si="2"/>
        <v/>
      </c>
      <c r="J5" s="4" t="str">
        <f t="shared" si="3"/>
        <v/>
      </c>
    </row>
    <row r="6" spans="1:10" x14ac:dyDescent="0.25">
      <c r="A6" s="4"/>
      <c r="B6" s="4"/>
      <c r="C6" s="4"/>
      <c r="D6" s="4"/>
      <c r="E6" s="4" t="str">
        <f ca="1">IFERROR(_xludf.XLOOKUP(A6,Milestones!$A$2:$A$501,Milestones!$M$2:$M$501),"")</f>
        <v/>
      </c>
      <c r="F6" s="4" t="str">
        <f t="shared" ca="1" si="0"/>
        <v/>
      </c>
      <c r="G6" s="4" t="str">
        <f t="shared" si="1"/>
        <v/>
      </c>
      <c r="H6" s="4" t="str">
        <f>IF(A6="","",SUMIF(Wyniki!$C$2:$C$501,A6,Wyniki!$O$2:$O$501))</f>
        <v/>
      </c>
      <c r="I6" s="4" t="str">
        <f t="shared" si="2"/>
        <v/>
      </c>
      <c r="J6" s="4" t="str">
        <f t="shared" si="3"/>
        <v/>
      </c>
    </row>
    <row r="7" spans="1:10" x14ac:dyDescent="0.25">
      <c r="A7" s="4"/>
      <c r="B7" s="4"/>
      <c r="C7" s="4"/>
      <c r="D7" s="4"/>
      <c r="E7" s="4" t="str">
        <f ca="1">IFERROR(_xludf.XLOOKUP(A7,Milestones!$A$2:$A$501,Milestones!$M$2:$M$501),"")</f>
        <v/>
      </c>
      <c r="F7" s="4" t="str">
        <f t="shared" ca="1" si="0"/>
        <v/>
      </c>
      <c r="G7" s="4" t="str">
        <f t="shared" si="1"/>
        <v/>
      </c>
      <c r="H7" s="4" t="str">
        <f>IF(A7="","",SUMIF(Wyniki!$C$2:$C$501,A7,Wyniki!$O$2:$O$501))</f>
        <v/>
      </c>
      <c r="I7" s="4" t="str">
        <f t="shared" si="2"/>
        <v/>
      </c>
      <c r="J7" s="4" t="str">
        <f t="shared" si="3"/>
        <v/>
      </c>
    </row>
    <row r="8" spans="1:10" x14ac:dyDescent="0.25">
      <c r="A8" s="4"/>
      <c r="B8" s="4"/>
      <c r="C8" s="4"/>
      <c r="D8" s="4"/>
      <c r="E8" s="4" t="str">
        <f ca="1">IFERROR(_xludf.XLOOKUP(A8,Milestones!$A$2:$A$501,Milestones!$M$2:$M$501),"")</f>
        <v/>
      </c>
      <c r="F8" s="4" t="str">
        <f t="shared" ca="1" si="0"/>
        <v/>
      </c>
      <c r="G8" s="4" t="str">
        <f t="shared" si="1"/>
        <v/>
      </c>
      <c r="H8" s="4" t="str">
        <f>IF(A8="","",SUMIF(Wyniki!$C$2:$C$501,A8,Wyniki!$O$2:$O$501))</f>
        <v/>
      </c>
      <c r="I8" s="4" t="str">
        <f t="shared" si="2"/>
        <v/>
      </c>
      <c r="J8" s="4" t="str">
        <f t="shared" si="3"/>
        <v/>
      </c>
    </row>
    <row r="9" spans="1:10" x14ac:dyDescent="0.25">
      <c r="A9" s="4"/>
      <c r="B9" s="4"/>
      <c r="C9" s="4"/>
      <c r="D9" s="4"/>
      <c r="E9" s="4" t="str">
        <f ca="1">IFERROR(_xludf.XLOOKUP(A9,Milestones!$A$2:$A$501,Milestones!$M$2:$M$501),"")</f>
        <v/>
      </c>
      <c r="F9" s="4" t="str">
        <f t="shared" ca="1" si="0"/>
        <v/>
      </c>
      <c r="G9" s="4" t="str">
        <f t="shared" si="1"/>
        <v/>
      </c>
      <c r="H9" s="4" t="str">
        <f>IF(A9="","",SUMIF(Wyniki!$C$2:$C$501,A9,Wyniki!$O$2:$O$501))</f>
        <v/>
      </c>
      <c r="I9" s="4" t="str">
        <f t="shared" si="2"/>
        <v/>
      </c>
      <c r="J9" s="4" t="str">
        <f t="shared" si="3"/>
        <v/>
      </c>
    </row>
    <row r="10" spans="1:10" x14ac:dyDescent="0.25">
      <c r="A10" s="4"/>
      <c r="B10" s="4"/>
      <c r="C10" s="4"/>
      <c r="D10" s="4"/>
      <c r="E10" s="4" t="str">
        <f ca="1">IFERROR(_xludf.XLOOKUP(A10,Milestones!$A$2:$A$501,Milestones!$M$2:$M$501),"")</f>
        <v/>
      </c>
      <c r="F10" s="4" t="str">
        <f t="shared" ca="1" si="0"/>
        <v/>
      </c>
      <c r="G10" s="4" t="str">
        <f t="shared" si="1"/>
        <v/>
      </c>
      <c r="H10" s="4" t="str">
        <f>IF(A10="","",SUMIF(Wyniki!$C$2:$C$501,A10,Wyniki!$O$2:$O$501))</f>
        <v/>
      </c>
      <c r="I10" s="4" t="str">
        <f t="shared" si="2"/>
        <v/>
      </c>
      <c r="J10" s="4" t="str">
        <f t="shared" si="3"/>
        <v/>
      </c>
    </row>
    <row r="11" spans="1:10" x14ac:dyDescent="0.25">
      <c r="A11" s="4"/>
      <c r="B11" s="4"/>
      <c r="C11" s="4"/>
      <c r="D11" s="4"/>
      <c r="E11" s="4" t="str">
        <f ca="1">IFERROR(_xludf.XLOOKUP(A11,Milestones!$A$2:$A$501,Milestones!$M$2:$M$501),"")</f>
        <v/>
      </c>
      <c r="F11" s="4" t="str">
        <f t="shared" ca="1" si="0"/>
        <v/>
      </c>
      <c r="G11" s="4" t="str">
        <f t="shared" si="1"/>
        <v/>
      </c>
      <c r="H11" s="4" t="str">
        <f>IF(A11="","",SUMIF(Wyniki!$C$2:$C$501,A11,Wyniki!$O$2:$O$501))</f>
        <v/>
      </c>
      <c r="I11" s="4" t="str">
        <f t="shared" si="2"/>
        <v/>
      </c>
      <c r="J11" s="4" t="str">
        <f t="shared" si="3"/>
        <v/>
      </c>
    </row>
    <row r="12" spans="1:10" x14ac:dyDescent="0.25">
      <c r="A12" s="4"/>
      <c r="B12" s="4"/>
      <c r="C12" s="4"/>
      <c r="D12" s="4"/>
      <c r="E12" s="4" t="str">
        <f ca="1">IFERROR(_xludf.XLOOKUP(A12,Milestones!$A$2:$A$501,Milestones!$M$2:$M$501),"")</f>
        <v/>
      </c>
      <c r="F12" s="4" t="str">
        <f t="shared" ca="1" si="0"/>
        <v/>
      </c>
      <c r="G12" s="4" t="str">
        <f t="shared" si="1"/>
        <v/>
      </c>
      <c r="H12" s="4" t="str">
        <f>IF(A12="","",SUMIF(Wyniki!$C$2:$C$501,A12,Wyniki!$O$2:$O$501))</f>
        <v/>
      </c>
      <c r="I12" s="4" t="str">
        <f t="shared" si="2"/>
        <v/>
      </c>
      <c r="J12" s="4" t="str">
        <f t="shared" si="3"/>
        <v/>
      </c>
    </row>
    <row r="13" spans="1:10" x14ac:dyDescent="0.25">
      <c r="A13" s="4"/>
      <c r="B13" s="4"/>
      <c r="C13" s="4"/>
      <c r="D13" s="4"/>
      <c r="E13" s="4" t="str">
        <f ca="1">IFERROR(_xludf.XLOOKUP(A13,Milestones!$A$2:$A$501,Milestones!$M$2:$M$501),"")</f>
        <v/>
      </c>
      <c r="F13" s="4" t="str">
        <f t="shared" ca="1" si="0"/>
        <v/>
      </c>
      <c r="G13" s="4" t="str">
        <f t="shared" si="1"/>
        <v/>
      </c>
      <c r="H13" s="4" t="str">
        <f>IF(A13="","",SUMIF(Wyniki!$C$2:$C$501,A13,Wyniki!$O$2:$O$501))</f>
        <v/>
      </c>
      <c r="I13" s="4" t="str">
        <f t="shared" si="2"/>
        <v/>
      </c>
      <c r="J13" s="4" t="str">
        <f t="shared" si="3"/>
        <v/>
      </c>
    </row>
    <row r="14" spans="1:10" x14ac:dyDescent="0.25">
      <c r="A14" s="4"/>
      <c r="B14" s="4"/>
      <c r="C14" s="4"/>
      <c r="D14" s="4"/>
      <c r="E14" s="4" t="str">
        <f ca="1">IFERROR(_xludf.XLOOKUP(A14,Milestones!$A$2:$A$501,Milestones!$M$2:$M$501),"")</f>
        <v/>
      </c>
      <c r="F14" s="4" t="str">
        <f t="shared" ca="1" si="0"/>
        <v/>
      </c>
      <c r="G14" s="4" t="str">
        <f t="shared" si="1"/>
        <v/>
      </c>
      <c r="H14" s="4" t="str">
        <f>IF(A14="","",SUMIF(Wyniki!$C$2:$C$501,A14,Wyniki!$O$2:$O$501))</f>
        <v/>
      </c>
      <c r="I14" s="4" t="str">
        <f t="shared" si="2"/>
        <v/>
      </c>
      <c r="J14" s="4" t="str">
        <f t="shared" si="3"/>
        <v/>
      </c>
    </row>
    <row r="15" spans="1:10" x14ac:dyDescent="0.25">
      <c r="A15" s="4"/>
      <c r="B15" s="4"/>
      <c r="C15" s="4"/>
      <c r="D15" s="4"/>
      <c r="E15" s="4" t="str">
        <f ca="1">IFERROR(_xludf.XLOOKUP(A15,Milestones!$A$2:$A$501,Milestones!$M$2:$M$501),"")</f>
        <v/>
      </c>
      <c r="F15" s="4" t="str">
        <f t="shared" ca="1" si="0"/>
        <v/>
      </c>
      <c r="G15" s="4" t="str">
        <f t="shared" si="1"/>
        <v/>
      </c>
      <c r="H15" s="4" t="str">
        <f>IF(A15="","",SUMIF(Wyniki!$C$2:$C$501,A15,Wyniki!$O$2:$O$501))</f>
        <v/>
      </c>
      <c r="I15" s="4" t="str">
        <f t="shared" si="2"/>
        <v/>
      </c>
      <c r="J15" s="4" t="str">
        <f t="shared" si="3"/>
        <v/>
      </c>
    </row>
    <row r="16" spans="1:10" x14ac:dyDescent="0.25">
      <c r="A16" s="4"/>
      <c r="B16" s="4"/>
      <c r="C16" s="4"/>
      <c r="D16" s="4"/>
      <c r="E16" s="4" t="str">
        <f ca="1">IFERROR(_xludf.XLOOKUP(A16,Milestones!$A$2:$A$501,Milestones!$M$2:$M$501),"")</f>
        <v/>
      </c>
      <c r="F16" s="4" t="str">
        <f t="shared" ca="1" si="0"/>
        <v/>
      </c>
      <c r="G16" s="4" t="str">
        <f t="shared" si="1"/>
        <v/>
      </c>
      <c r="H16" s="4" t="str">
        <f>IF(A16="","",SUMIF(Wyniki!$C$2:$C$501,A16,Wyniki!$O$2:$O$501))</f>
        <v/>
      </c>
      <c r="I16" s="4" t="str">
        <f t="shared" si="2"/>
        <v/>
      </c>
      <c r="J16" s="4" t="str">
        <f t="shared" si="3"/>
        <v/>
      </c>
    </row>
    <row r="17" spans="1:10" x14ac:dyDescent="0.25">
      <c r="A17" s="4"/>
      <c r="B17" s="4"/>
      <c r="C17" s="4"/>
      <c r="D17" s="4"/>
      <c r="E17" s="4" t="str">
        <f ca="1">IFERROR(_xludf.XLOOKUP(A17,Milestones!$A$2:$A$501,Milestones!$M$2:$M$501),"")</f>
        <v/>
      </c>
      <c r="F17" s="4" t="str">
        <f t="shared" ca="1" si="0"/>
        <v/>
      </c>
      <c r="G17" s="4" t="str">
        <f t="shared" si="1"/>
        <v/>
      </c>
      <c r="H17" s="4" t="str">
        <f>IF(A17="","",SUMIF(Wyniki!$C$2:$C$501,A17,Wyniki!$O$2:$O$501))</f>
        <v/>
      </c>
      <c r="I17" s="4" t="str">
        <f t="shared" si="2"/>
        <v/>
      </c>
      <c r="J17" s="4" t="str">
        <f t="shared" si="3"/>
        <v/>
      </c>
    </row>
    <row r="18" spans="1:10" x14ac:dyDescent="0.25">
      <c r="A18" s="4"/>
      <c r="B18" s="4"/>
      <c r="C18" s="4"/>
      <c r="D18" s="4"/>
      <c r="E18" s="4" t="str">
        <f ca="1">IFERROR(_xludf.XLOOKUP(A18,Milestones!$A$2:$A$501,Milestones!$M$2:$M$501),"")</f>
        <v/>
      </c>
      <c r="F18" s="4" t="str">
        <f t="shared" ca="1" si="0"/>
        <v/>
      </c>
      <c r="G18" s="4" t="str">
        <f t="shared" si="1"/>
        <v/>
      </c>
      <c r="H18" s="4" t="str">
        <f>IF(A18="","",SUMIF(Wyniki!$C$2:$C$501,A18,Wyniki!$O$2:$O$501))</f>
        <v/>
      </c>
      <c r="I18" s="4" t="str">
        <f t="shared" si="2"/>
        <v/>
      </c>
      <c r="J18" s="4" t="str">
        <f t="shared" si="3"/>
        <v/>
      </c>
    </row>
    <row r="19" spans="1:10" x14ac:dyDescent="0.25">
      <c r="A19" s="4"/>
      <c r="B19" s="4"/>
      <c r="C19" s="4"/>
      <c r="D19" s="4"/>
      <c r="E19" s="4" t="str">
        <f ca="1">IFERROR(_xludf.XLOOKUP(A19,Milestones!$A$2:$A$501,Milestones!$M$2:$M$501),"")</f>
        <v/>
      </c>
      <c r="F19" s="4" t="str">
        <f t="shared" ca="1" si="0"/>
        <v/>
      </c>
      <c r="G19" s="4" t="str">
        <f t="shared" si="1"/>
        <v/>
      </c>
      <c r="H19" s="4" t="str">
        <f>IF(A19="","",SUMIF(Wyniki!$C$2:$C$501,A19,Wyniki!$O$2:$O$501))</f>
        <v/>
      </c>
      <c r="I19" s="4" t="str">
        <f t="shared" si="2"/>
        <v/>
      </c>
      <c r="J19" s="4" t="str">
        <f t="shared" si="3"/>
        <v/>
      </c>
    </row>
    <row r="20" spans="1:10" x14ac:dyDescent="0.25">
      <c r="A20" s="4"/>
      <c r="B20" s="4"/>
      <c r="C20" s="4"/>
      <c r="D20" s="4"/>
      <c r="E20" s="4" t="str">
        <f ca="1">IFERROR(_xludf.XLOOKUP(A20,Milestones!$A$2:$A$501,Milestones!$M$2:$M$501),"")</f>
        <v/>
      </c>
      <c r="F20" s="4" t="str">
        <f t="shared" ca="1" si="0"/>
        <v/>
      </c>
      <c r="G20" s="4" t="str">
        <f t="shared" si="1"/>
        <v/>
      </c>
      <c r="H20" s="4" t="str">
        <f>IF(A20="","",SUMIF(Wyniki!$C$2:$C$501,A20,Wyniki!$O$2:$O$501))</f>
        <v/>
      </c>
      <c r="I20" s="4" t="str">
        <f t="shared" si="2"/>
        <v/>
      </c>
      <c r="J20" s="4" t="str">
        <f t="shared" si="3"/>
        <v/>
      </c>
    </row>
    <row r="21" spans="1:10" x14ac:dyDescent="0.25">
      <c r="A21" s="4"/>
      <c r="B21" s="4"/>
      <c r="C21" s="4"/>
      <c r="D21" s="4"/>
      <c r="E21" s="4" t="str">
        <f ca="1">IFERROR(_xludf.XLOOKUP(A21,Milestones!$A$2:$A$501,Milestones!$M$2:$M$501),"")</f>
        <v/>
      </c>
      <c r="F21" s="4" t="str">
        <f t="shared" ca="1" si="0"/>
        <v/>
      </c>
      <c r="G21" s="4" t="str">
        <f t="shared" si="1"/>
        <v/>
      </c>
      <c r="H21" s="4" t="str">
        <f>IF(A21="","",SUMIF(Wyniki!$C$2:$C$501,A21,Wyniki!$O$2:$O$501))</f>
        <v/>
      </c>
      <c r="I21" s="4" t="str">
        <f t="shared" si="2"/>
        <v/>
      </c>
      <c r="J21" s="4" t="str">
        <f t="shared" si="3"/>
        <v/>
      </c>
    </row>
    <row r="22" spans="1:10" x14ac:dyDescent="0.25">
      <c r="A22" s="4"/>
      <c r="B22" s="4"/>
      <c r="C22" s="4"/>
      <c r="D22" s="4"/>
      <c r="E22" s="4" t="str">
        <f ca="1">IFERROR(_xludf.XLOOKUP(A22,Milestones!$A$2:$A$501,Milestones!$M$2:$M$501),"")</f>
        <v/>
      </c>
      <c r="F22" s="4" t="str">
        <f t="shared" ca="1" si="0"/>
        <v/>
      </c>
      <c r="G22" s="4" t="str">
        <f t="shared" si="1"/>
        <v/>
      </c>
      <c r="H22" s="4" t="str">
        <f>IF(A22="","",SUMIF(Wyniki!$C$2:$C$501,A22,Wyniki!$O$2:$O$501))</f>
        <v/>
      </c>
      <c r="I22" s="4" t="str">
        <f t="shared" si="2"/>
        <v/>
      </c>
      <c r="J22" s="4" t="str">
        <f t="shared" si="3"/>
        <v/>
      </c>
    </row>
    <row r="23" spans="1:10" x14ac:dyDescent="0.25">
      <c r="A23" s="4"/>
      <c r="B23" s="4"/>
      <c r="C23" s="4"/>
      <c r="D23" s="4"/>
      <c r="E23" s="4" t="str">
        <f ca="1">IFERROR(_xludf.XLOOKUP(A23,Milestones!$A$2:$A$501,Milestones!$M$2:$M$501),"")</f>
        <v/>
      </c>
      <c r="F23" s="4" t="str">
        <f t="shared" ca="1" si="0"/>
        <v/>
      </c>
      <c r="G23" s="4" t="str">
        <f t="shared" si="1"/>
        <v/>
      </c>
      <c r="H23" s="4" t="str">
        <f>IF(A23="","",SUMIF(Wyniki!$C$2:$C$501,A23,Wyniki!$O$2:$O$501))</f>
        <v/>
      </c>
      <c r="I23" s="4" t="str">
        <f t="shared" si="2"/>
        <v/>
      </c>
      <c r="J23" s="4" t="str">
        <f t="shared" si="3"/>
        <v/>
      </c>
    </row>
    <row r="24" spans="1:10" x14ac:dyDescent="0.25">
      <c r="A24" s="4"/>
      <c r="B24" s="4"/>
      <c r="C24" s="4"/>
      <c r="D24" s="4"/>
      <c r="E24" s="4" t="str">
        <f ca="1">IFERROR(_xludf.XLOOKUP(A24,Milestones!$A$2:$A$501,Milestones!$M$2:$M$501),"")</f>
        <v/>
      </c>
      <c r="F24" s="4" t="str">
        <f t="shared" ca="1" si="0"/>
        <v/>
      </c>
      <c r="G24" s="4" t="str">
        <f t="shared" si="1"/>
        <v/>
      </c>
      <c r="H24" s="4" t="str">
        <f>IF(A24="","",SUMIF(Wyniki!$C$2:$C$501,A24,Wyniki!$O$2:$O$501))</f>
        <v/>
      </c>
      <c r="I24" s="4" t="str">
        <f t="shared" si="2"/>
        <v/>
      </c>
      <c r="J24" s="4" t="str">
        <f t="shared" si="3"/>
        <v/>
      </c>
    </row>
    <row r="25" spans="1:10" x14ac:dyDescent="0.25">
      <c r="A25" s="4"/>
      <c r="B25" s="4"/>
      <c r="C25" s="4"/>
      <c r="D25" s="4"/>
      <c r="E25" s="4" t="str">
        <f ca="1">IFERROR(_xludf.XLOOKUP(A25,Milestones!$A$2:$A$501,Milestones!$M$2:$M$501),"")</f>
        <v/>
      </c>
      <c r="F25" s="4" t="str">
        <f t="shared" ca="1" si="0"/>
        <v/>
      </c>
      <c r="G25" s="4" t="str">
        <f t="shared" si="1"/>
        <v/>
      </c>
      <c r="H25" s="4" t="str">
        <f>IF(A25="","",SUMIF(Wyniki!$C$2:$C$501,A25,Wyniki!$O$2:$O$501))</f>
        <v/>
      </c>
      <c r="I25" s="4" t="str">
        <f t="shared" si="2"/>
        <v/>
      </c>
      <c r="J25" s="4" t="str">
        <f t="shared" si="3"/>
        <v/>
      </c>
    </row>
    <row r="26" spans="1:10" x14ac:dyDescent="0.25">
      <c r="A26" s="4"/>
      <c r="B26" s="4"/>
      <c r="C26" s="4"/>
      <c r="D26" s="4"/>
      <c r="E26" s="4" t="str">
        <f ca="1">IFERROR(_xludf.XLOOKUP(A26,Milestones!$A$2:$A$501,Milestones!$M$2:$M$501),"")</f>
        <v/>
      </c>
      <c r="F26" s="4" t="str">
        <f t="shared" ca="1" si="0"/>
        <v/>
      </c>
      <c r="G26" s="4" t="str">
        <f t="shared" si="1"/>
        <v/>
      </c>
      <c r="H26" s="4" t="str">
        <f>IF(A26="","",SUMIF(Wyniki!$C$2:$C$501,A26,Wyniki!$O$2:$O$501))</f>
        <v/>
      </c>
      <c r="I26" s="4" t="str">
        <f t="shared" si="2"/>
        <v/>
      </c>
      <c r="J26" s="4" t="str">
        <f t="shared" si="3"/>
        <v/>
      </c>
    </row>
    <row r="27" spans="1:10" x14ac:dyDescent="0.25">
      <c r="A27" s="4"/>
      <c r="B27" s="4"/>
      <c r="C27" s="4"/>
      <c r="D27" s="4"/>
      <c r="E27" s="4" t="str">
        <f ca="1">IFERROR(_xludf.XLOOKUP(A27,Milestones!$A$2:$A$501,Milestones!$M$2:$M$501),"")</f>
        <v/>
      </c>
      <c r="F27" s="4" t="str">
        <f t="shared" ca="1" si="0"/>
        <v/>
      </c>
      <c r="G27" s="4" t="str">
        <f t="shared" si="1"/>
        <v/>
      </c>
      <c r="H27" s="4" t="str">
        <f>IF(A27="","",SUMIF(Wyniki!$C$2:$C$501,A27,Wyniki!$O$2:$O$501))</f>
        <v/>
      </c>
      <c r="I27" s="4" t="str">
        <f t="shared" si="2"/>
        <v/>
      </c>
      <c r="J27" s="4" t="str">
        <f t="shared" si="3"/>
        <v/>
      </c>
    </row>
    <row r="28" spans="1:10" x14ac:dyDescent="0.25">
      <c r="A28" s="4"/>
      <c r="B28" s="4"/>
      <c r="C28" s="4"/>
      <c r="D28" s="4"/>
      <c r="E28" s="4" t="str">
        <f ca="1">IFERROR(_xludf.XLOOKUP(A28,Milestones!$A$2:$A$501,Milestones!$M$2:$M$501),"")</f>
        <v/>
      </c>
      <c r="F28" s="4" t="str">
        <f t="shared" ca="1" si="0"/>
        <v/>
      </c>
      <c r="G28" s="4" t="str">
        <f t="shared" si="1"/>
        <v/>
      </c>
      <c r="H28" s="4" t="str">
        <f>IF(A28="","",SUMIF(Wyniki!$C$2:$C$501,A28,Wyniki!$O$2:$O$501))</f>
        <v/>
      </c>
      <c r="I28" s="4" t="str">
        <f t="shared" si="2"/>
        <v/>
      </c>
      <c r="J28" s="4" t="str">
        <f t="shared" si="3"/>
        <v/>
      </c>
    </row>
    <row r="29" spans="1:10" x14ac:dyDescent="0.25">
      <c r="A29" s="4"/>
      <c r="B29" s="4"/>
      <c r="C29" s="4"/>
      <c r="D29" s="4"/>
      <c r="E29" s="4" t="str">
        <f ca="1">IFERROR(_xludf.XLOOKUP(A29,Milestones!$A$2:$A$501,Milestones!$M$2:$M$501),"")</f>
        <v/>
      </c>
      <c r="F29" s="4" t="str">
        <f t="shared" ca="1" si="0"/>
        <v/>
      </c>
      <c r="G29" s="4" t="str">
        <f t="shared" si="1"/>
        <v/>
      </c>
      <c r="H29" s="4" t="str">
        <f>IF(A29="","",SUMIF(Wyniki!$C$2:$C$501,A29,Wyniki!$O$2:$O$501))</f>
        <v/>
      </c>
      <c r="I29" s="4" t="str">
        <f t="shared" si="2"/>
        <v/>
      </c>
      <c r="J29" s="4" t="str">
        <f t="shared" si="3"/>
        <v/>
      </c>
    </row>
    <row r="30" spans="1:10" x14ac:dyDescent="0.25">
      <c r="A30" s="4"/>
      <c r="B30" s="4"/>
      <c r="C30" s="4"/>
      <c r="D30" s="4"/>
      <c r="E30" s="4" t="str">
        <f ca="1">IFERROR(_xludf.XLOOKUP(A30,Milestones!$A$2:$A$501,Milestones!$M$2:$M$501),"")</f>
        <v/>
      </c>
      <c r="F30" s="4" t="str">
        <f t="shared" ca="1" si="0"/>
        <v/>
      </c>
      <c r="G30" s="4" t="str">
        <f t="shared" si="1"/>
        <v/>
      </c>
      <c r="H30" s="4" t="str">
        <f>IF(A30="","",SUMIF(Wyniki!$C$2:$C$501,A30,Wyniki!$O$2:$O$501))</f>
        <v/>
      </c>
      <c r="I30" s="4" t="str">
        <f t="shared" si="2"/>
        <v/>
      </c>
      <c r="J30" s="4" t="str">
        <f t="shared" si="3"/>
        <v/>
      </c>
    </row>
    <row r="31" spans="1:10" x14ac:dyDescent="0.25">
      <c r="A31" s="4"/>
      <c r="B31" s="4"/>
      <c r="C31" s="4"/>
      <c r="D31" s="4"/>
      <c r="E31" s="4" t="str">
        <f ca="1">IFERROR(_xludf.XLOOKUP(A31,Milestones!$A$2:$A$501,Milestones!$M$2:$M$501),"")</f>
        <v/>
      </c>
      <c r="F31" s="4" t="str">
        <f t="shared" ca="1" si="0"/>
        <v/>
      </c>
      <c r="G31" s="4" t="str">
        <f t="shared" si="1"/>
        <v/>
      </c>
      <c r="H31" s="4" t="str">
        <f>IF(A31="","",SUMIF(Wyniki!$C$2:$C$501,A31,Wyniki!$O$2:$O$501))</f>
        <v/>
      </c>
      <c r="I31" s="4" t="str">
        <f t="shared" si="2"/>
        <v/>
      </c>
      <c r="J31" s="4" t="str">
        <f t="shared" si="3"/>
        <v/>
      </c>
    </row>
    <row r="32" spans="1:10" x14ac:dyDescent="0.25">
      <c r="A32" s="4"/>
      <c r="B32" s="4"/>
      <c r="C32" s="4"/>
      <c r="D32" s="4"/>
      <c r="E32" s="4" t="str">
        <f ca="1">IFERROR(_xludf.XLOOKUP(A32,Milestones!$A$2:$A$501,Milestones!$M$2:$M$501),"")</f>
        <v/>
      </c>
      <c r="F32" s="4" t="str">
        <f t="shared" ca="1" si="0"/>
        <v/>
      </c>
      <c r="G32" s="4" t="str">
        <f t="shared" si="1"/>
        <v/>
      </c>
      <c r="H32" s="4" t="str">
        <f>IF(A32="","",SUMIF(Wyniki!$C$2:$C$501,A32,Wyniki!$O$2:$O$501))</f>
        <v/>
      </c>
      <c r="I32" s="4" t="str">
        <f t="shared" si="2"/>
        <v/>
      </c>
      <c r="J32" s="4" t="str">
        <f t="shared" si="3"/>
        <v/>
      </c>
    </row>
    <row r="33" spans="1:10" x14ac:dyDescent="0.25">
      <c r="A33" s="4"/>
      <c r="B33" s="4"/>
      <c r="C33" s="4"/>
      <c r="D33" s="4"/>
      <c r="E33" s="4" t="str">
        <f ca="1">IFERROR(_xludf.XLOOKUP(A33,Milestones!$A$2:$A$501,Milestones!$M$2:$M$501),"")</f>
        <v/>
      </c>
      <c r="F33" s="4" t="str">
        <f t="shared" ca="1" si="0"/>
        <v/>
      </c>
      <c r="G33" s="4" t="str">
        <f t="shared" si="1"/>
        <v/>
      </c>
      <c r="H33" s="4" t="str">
        <f>IF(A33="","",SUMIF(Wyniki!$C$2:$C$501,A33,Wyniki!$O$2:$O$501))</f>
        <v/>
      </c>
      <c r="I33" s="4" t="str">
        <f t="shared" si="2"/>
        <v/>
      </c>
      <c r="J33" s="4" t="str">
        <f t="shared" si="3"/>
        <v/>
      </c>
    </row>
    <row r="34" spans="1:10" x14ac:dyDescent="0.25">
      <c r="A34" s="4"/>
      <c r="B34" s="4"/>
      <c r="C34" s="4"/>
      <c r="D34" s="4"/>
      <c r="E34" s="4" t="str">
        <f ca="1">IFERROR(_xludf.XLOOKUP(A34,Milestones!$A$2:$A$501,Milestones!$M$2:$M$501),"")</f>
        <v/>
      </c>
      <c r="F34" s="4" t="str">
        <f t="shared" ca="1" si="0"/>
        <v/>
      </c>
      <c r="G34" s="4" t="str">
        <f t="shared" si="1"/>
        <v/>
      </c>
      <c r="H34" s="4" t="str">
        <f>IF(A34="","",SUMIF(Wyniki!$C$2:$C$501,A34,Wyniki!$O$2:$O$501))</f>
        <v/>
      </c>
      <c r="I34" s="4" t="str">
        <f t="shared" si="2"/>
        <v/>
      </c>
      <c r="J34" s="4" t="str">
        <f t="shared" si="3"/>
        <v/>
      </c>
    </row>
    <row r="35" spans="1:10" x14ac:dyDescent="0.25">
      <c r="A35" s="4"/>
      <c r="B35" s="4"/>
      <c r="C35" s="4"/>
      <c r="D35" s="4"/>
      <c r="E35" s="4" t="str">
        <f ca="1">IFERROR(_xludf.XLOOKUP(A35,Milestones!$A$2:$A$501,Milestones!$M$2:$M$501),"")</f>
        <v/>
      </c>
      <c r="F35" s="4" t="str">
        <f t="shared" ca="1" si="0"/>
        <v/>
      </c>
      <c r="G35" s="4" t="str">
        <f t="shared" si="1"/>
        <v/>
      </c>
      <c r="H35" s="4" t="str">
        <f>IF(A35="","",SUMIF(Wyniki!$C$2:$C$501,A35,Wyniki!$O$2:$O$501))</f>
        <v/>
      </c>
      <c r="I35" s="4" t="str">
        <f t="shared" si="2"/>
        <v/>
      </c>
      <c r="J35" s="4" t="str">
        <f t="shared" si="3"/>
        <v/>
      </c>
    </row>
    <row r="36" spans="1:10" x14ac:dyDescent="0.25">
      <c r="A36" s="4"/>
      <c r="B36" s="4"/>
      <c r="C36" s="4"/>
      <c r="D36" s="4"/>
      <c r="E36" s="4" t="str">
        <f ca="1">IFERROR(_xludf.XLOOKUP(A36,Milestones!$A$2:$A$501,Milestones!$M$2:$M$501),"")</f>
        <v/>
      </c>
      <c r="F36" s="4" t="str">
        <f t="shared" ca="1" si="0"/>
        <v/>
      </c>
      <c r="G36" s="4" t="str">
        <f t="shared" si="1"/>
        <v/>
      </c>
      <c r="H36" s="4" t="str">
        <f>IF(A36="","",SUMIF(Wyniki!$C$2:$C$501,A36,Wyniki!$O$2:$O$501))</f>
        <v/>
      </c>
      <c r="I36" s="4" t="str">
        <f t="shared" si="2"/>
        <v/>
      </c>
      <c r="J36" s="4" t="str">
        <f t="shared" si="3"/>
        <v/>
      </c>
    </row>
    <row r="37" spans="1:10" x14ac:dyDescent="0.25">
      <c r="A37" s="4"/>
      <c r="B37" s="4"/>
      <c r="C37" s="4"/>
      <c r="D37" s="4"/>
      <c r="E37" s="4" t="str">
        <f ca="1">IFERROR(_xludf.XLOOKUP(A37,Milestones!$A$2:$A$501,Milestones!$M$2:$M$501),"")</f>
        <v/>
      </c>
      <c r="F37" s="4" t="str">
        <f t="shared" ca="1" si="0"/>
        <v/>
      </c>
      <c r="G37" s="4" t="str">
        <f t="shared" si="1"/>
        <v/>
      </c>
      <c r="H37" s="4" t="str">
        <f>IF(A37="","",SUMIF(Wyniki!$C$2:$C$501,A37,Wyniki!$O$2:$O$501))</f>
        <v/>
      </c>
      <c r="I37" s="4" t="str">
        <f t="shared" si="2"/>
        <v/>
      </c>
      <c r="J37" s="4" t="str">
        <f t="shared" si="3"/>
        <v/>
      </c>
    </row>
    <row r="38" spans="1:10" x14ac:dyDescent="0.25">
      <c r="A38" s="4"/>
      <c r="B38" s="4"/>
      <c r="C38" s="4"/>
      <c r="D38" s="4"/>
      <c r="E38" s="4" t="str">
        <f ca="1">IFERROR(_xludf.XLOOKUP(A38,Milestones!$A$2:$A$501,Milestones!$M$2:$M$501),"")</f>
        <v/>
      </c>
      <c r="F38" s="4" t="str">
        <f t="shared" ca="1" si="0"/>
        <v/>
      </c>
      <c r="G38" s="4" t="str">
        <f t="shared" si="1"/>
        <v/>
      </c>
      <c r="H38" s="4" t="str">
        <f>IF(A38="","",SUMIF(Wyniki!$C$2:$C$501,A38,Wyniki!$O$2:$O$501))</f>
        <v/>
      </c>
      <c r="I38" s="4" t="str">
        <f t="shared" si="2"/>
        <v/>
      </c>
      <c r="J38" s="4" t="str">
        <f t="shared" si="3"/>
        <v/>
      </c>
    </row>
    <row r="39" spans="1:10" x14ac:dyDescent="0.25">
      <c r="A39" s="4"/>
      <c r="B39" s="4"/>
      <c r="C39" s="4"/>
      <c r="D39" s="4"/>
      <c r="E39" s="4" t="str">
        <f ca="1">IFERROR(_xludf.XLOOKUP(A39,Milestones!$A$2:$A$501,Milestones!$M$2:$M$501),"")</f>
        <v/>
      </c>
      <c r="F39" s="4" t="str">
        <f t="shared" ca="1" si="0"/>
        <v/>
      </c>
      <c r="G39" s="4" t="str">
        <f t="shared" si="1"/>
        <v/>
      </c>
      <c r="H39" s="4" t="str">
        <f>IF(A39="","",SUMIF(Wyniki!$C$2:$C$501,A39,Wyniki!$O$2:$O$501))</f>
        <v/>
      </c>
      <c r="I39" s="4" t="str">
        <f t="shared" si="2"/>
        <v/>
      </c>
      <c r="J39" s="4" t="str">
        <f t="shared" si="3"/>
        <v/>
      </c>
    </row>
    <row r="40" spans="1:10" x14ac:dyDescent="0.25">
      <c r="A40" s="4"/>
      <c r="B40" s="4"/>
      <c r="C40" s="4"/>
      <c r="D40" s="4"/>
      <c r="E40" s="4" t="str">
        <f ca="1">IFERROR(_xludf.XLOOKUP(A40,Milestones!$A$2:$A$501,Milestones!$M$2:$M$501),"")</f>
        <v/>
      </c>
      <c r="F40" s="4" t="str">
        <f t="shared" ca="1" si="0"/>
        <v/>
      </c>
      <c r="G40" s="4" t="str">
        <f t="shared" si="1"/>
        <v/>
      </c>
      <c r="H40" s="4" t="str">
        <f>IF(A40="","",SUMIF(Wyniki!$C$2:$C$501,A40,Wyniki!$O$2:$O$501))</f>
        <v/>
      </c>
      <c r="I40" s="4" t="str">
        <f t="shared" si="2"/>
        <v/>
      </c>
      <c r="J40" s="4" t="str">
        <f t="shared" si="3"/>
        <v/>
      </c>
    </row>
    <row r="41" spans="1:10" x14ac:dyDescent="0.25">
      <c r="A41" s="4"/>
      <c r="B41" s="4"/>
      <c r="C41" s="4"/>
      <c r="D41" s="4"/>
      <c r="E41" s="4" t="str">
        <f ca="1">IFERROR(_xludf.XLOOKUP(A41,Milestones!$A$2:$A$501,Milestones!$M$2:$M$501),"")</f>
        <v/>
      </c>
      <c r="F41" s="4" t="str">
        <f t="shared" ca="1" si="0"/>
        <v/>
      </c>
      <c r="G41" s="4" t="str">
        <f t="shared" si="1"/>
        <v/>
      </c>
      <c r="H41" s="4" t="str">
        <f>IF(A41="","",SUMIF(Wyniki!$C$2:$C$501,A41,Wyniki!$O$2:$O$501))</f>
        <v/>
      </c>
      <c r="I41" s="4" t="str">
        <f t="shared" si="2"/>
        <v/>
      </c>
      <c r="J41" s="4" t="str">
        <f t="shared" si="3"/>
        <v/>
      </c>
    </row>
    <row r="42" spans="1:10" x14ac:dyDescent="0.25">
      <c r="A42" s="4"/>
      <c r="B42" s="4"/>
      <c r="C42" s="4"/>
      <c r="D42" s="4"/>
      <c r="E42" s="4" t="str">
        <f ca="1">IFERROR(_xludf.XLOOKUP(A42,Milestones!$A$2:$A$501,Milestones!$M$2:$M$501),"")</f>
        <v/>
      </c>
      <c r="F42" s="4" t="str">
        <f t="shared" ca="1" si="0"/>
        <v/>
      </c>
      <c r="G42" s="4" t="str">
        <f t="shared" si="1"/>
        <v/>
      </c>
      <c r="H42" s="4" t="str">
        <f>IF(A42="","",SUMIF(Wyniki!$C$2:$C$501,A42,Wyniki!$O$2:$O$501))</f>
        <v/>
      </c>
      <c r="I42" s="4" t="str">
        <f t="shared" si="2"/>
        <v/>
      </c>
      <c r="J42" s="4" t="str">
        <f t="shared" si="3"/>
        <v/>
      </c>
    </row>
    <row r="43" spans="1:10" x14ac:dyDescent="0.25">
      <c r="A43" s="4"/>
      <c r="B43" s="4"/>
      <c r="C43" s="4"/>
      <c r="D43" s="4"/>
      <c r="E43" s="4" t="str">
        <f ca="1">IFERROR(_xludf.XLOOKUP(A43,Milestones!$A$2:$A$501,Milestones!$M$2:$M$501),"")</f>
        <v/>
      </c>
      <c r="F43" s="4" t="str">
        <f t="shared" ca="1" si="0"/>
        <v/>
      </c>
      <c r="G43" s="4" t="str">
        <f t="shared" si="1"/>
        <v/>
      </c>
      <c r="H43" s="4" t="str">
        <f>IF(A43="","",SUMIF(Wyniki!$C$2:$C$501,A43,Wyniki!$O$2:$O$501))</f>
        <v/>
      </c>
      <c r="I43" s="4" t="str">
        <f t="shared" si="2"/>
        <v/>
      </c>
      <c r="J43" s="4" t="str">
        <f t="shared" si="3"/>
        <v/>
      </c>
    </row>
    <row r="44" spans="1:10" x14ac:dyDescent="0.25">
      <c r="A44" s="4"/>
      <c r="B44" s="4"/>
      <c r="C44" s="4"/>
      <c r="D44" s="4"/>
      <c r="E44" s="4" t="str">
        <f ca="1">IFERROR(_xludf.XLOOKUP(A44,Milestones!$A$2:$A$501,Milestones!$M$2:$M$501),"")</f>
        <v/>
      </c>
      <c r="F44" s="4" t="str">
        <f t="shared" ca="1" si="0"/>
        <v/>
      </c>
      <c r="G44" s="4" t="str">
        <f t="shared" si="1"/>
        <v/>
      </c>
      <c r="H44" s="4" t="str">
        <f>IF(A44="","",SUMIF(Wyniki!$C$2:$C$501,A44,Wyniki!$O$2:$O$501))</f>
        <v/>
      </c>
      <c r="I44" s="4" t="str">
        <f t="shared" si="2"/>
        <v/>
      </c>
      <c r="J44" s="4" t="str">
        <f t="shared" si="3"/>
        <v/>
      </c>
    </row>
    <row r="45" spans="1:10" x14ac:dyDescent="0.25">
      <c r="A45" s="4"/>
      <c r="B45" s="4"/>
      <c r="C45" s="4"/>
      <c r="D45" s="4"/>
      <c r="E45" s="4" t="str">
        <f ca="1">IFERROR(_xludf.XLOOKUP(A45,Milestones!$A$2:$A$501,Milestones!$M$2:$M$501),"")</f>
        <v/>
      </c>
      <c r="F45" s="4" t="str">
        <f t="shared" ca="1" si="0"/>
        <v/>
      </c>
      <c r="G45" s="4" t="str">
        <f t="shared" si="1"/>
        <v/>
      </c>
      <c r="H45" s="4" t="str">
        <f>IF(A45="","",SUMIF(Wyniki!$C$2:$C$501,A45,Wyniki!$O$2:$O$501))</f>
        <v/>
      </c>
      <c r="I45" s="4" t="str">
        <f t="shared" si="2"/>
        <v/>
      </c>
      <c r="J45" s="4" t="str">
        <f t="shared" si="3"/>
        <v/>
      </c>
    </row>
    <row r="46" spans="1:10" x14ac:dyDescent="0.25">
      <c r="A46" s="4"/>
      <c r="B46" s="4"/>
      <c r="C46" s="4"/>
      <c r="D46" s="4"/>
      <c r="E46" s="4" t="str">
        <f ca="1">IFERROR(_xludf.XLOOKUP(A46,Milestones!$A$2:$A$501,Milestones!$M$2:$M$501),"")</f>
        <v/>
      </c>
      <c r="F46" s="4" t="str">
        <f t="shared" ca="1" si="0"/>
        <v/>
      </c>
      <c r="G46" s="4" t="str">
        <f t="shared" si="1"/>
        <v/>
      </c>
      <c r="H46" s="4" t="str">
        <f>IF(A46="","",SUMIF(Wyniki!$C$2:$C$501,A46,Wyniki!$O$2:$O$501))</f>
        <v/>
      </c>
      <c r="I46" s="4" t="str">
        <f t="shared" si="2"/>
        <v/>
      </c>
      <c r="J46" s="4" t="str">
        <f t="shared" si="3"/>
        <v/>
      </c>
    </row>
    <row r="47" spans="1:10" x14ac:dyDescent="0.25">
      <c r="A47" s="4"/>
      <c r="B47" s="4"/>
      <c r="C47" s="4"/>
      <c r="D47" s="4"/>
      <c r="E47" s="4" t="str">
        <f ca="1">IFERROR(_xludf.XLOOKUP(A47,Milestones!$A$2:$A$501,Milestones!$M$2:$M$501),"")</f>
        <v/>
      </c>
      <c r="F47" s="4" t="str">
        <f t="shared" ca="1" si="0"/>
        <v/>
      </c>
      <c r="G47" s="4" t="str">
        <f t="shared" si="1"/>
        <v/>
      </c>
      <c r="H47" s="4" t="str">
        <f>IF(A47="","",SUMIF(Wyniki!$C$2:$C$501,A47,Wyniki!$O$2:$O$501))</f>
        <v/>
      </c>
      <c r="I47" s="4" t="str">
        <f t="shared" si="2"/>
        <v/>
      </c>
      <c r="J47" s="4" t="str">
        <f t="shared" si="3"/>
        <v/>
      </c>
    </row>
    <row r="48" spans="1:10" x14ac:dyDescent="0.25">
      <c r="A48" s="4"/>
      <c r="B48" s="4"/>
      <c r="C48" s="4"/>
      <c r="D48" s="4"/>
      <c r="E48" s="4" t="str">
        <f ca="1">IFERROR(_xludf.XLOOKUP(A48,Milestones!$A$2:$A$501,Milestones!$M$2:$M$501),"")</f>
        <v/>
      </c>
      <c r="F48" s="4" t="str">
        <f t="shared" ca="1" si="0"/>
        <v/>
      </c>
      <c r="G48" s="4" t="str">
        <f t="shared" si="1"/>
        <v/>
      </c>
      <c r="H48" s="4" t="str">
        <f>IF(A48="","",SUMIF(Wyniki!$C$2:$C$501,A48,Wyniki!$O$2:$O$501))</f>
        <v/>
      </c>
      <c r="I48" s="4" t="str">
        <f t="shared" si="2"/>
        <v/>
      </c>
      <c r="J48" s="4" t="str">
        <f t="shared" si="3"/>
        <v/>
      </c>
    </row>
    <row r="49" spans="1:10" x14ac:dyDescent="0.25">
      <c r="A49" s="4"/>
      <c r="B49" s="4"/>
      <c r="C49" s="4"/>
      <c r="D49" s="4"/>
      <c r="E49" s="4" t="str">
        <f ca="1">IFERROR(_xludf.XLOOKUP(A49,Milestones!$A$2:$A$501,Milestones!$M$2:$M$501),"")</f>
        <v/>
      </c>
      <c r="F49" s="4" t="str">
        <f t="shared" ca="1" si="0"/>
        <v/>
      </c>
      <c r="G49" s="4" t="str">
        <f t="shared" si="1"/>
        <v/>
      </c>
      <c r="H49" s="4" t="str">
        <f>IF(A49="","",SUMIF(Wyniki!$C$2:$C$501,A49,Wyniki!$O$2:$O$501))</f>
        <v/>
      </c>
      <c r="I49" s="4" t="str">
        <f t="shared" si="2"/>
        <v/>
      </c>
      <c r="J49" s="4" t="str">
        <f t="shared" si="3"/>
        <v/>
      </c>
    </row>
    <row r="50" spans="1:10" x14ac:dyDescent="0.25">
      <c r="A50" s="4"/>
      <c r="B50" s="4"/>
      <c r="C50" s="4"/>
      <c r="D50" s="4"/>
      <c r="E50" s="4" t="str">
        <f ca="1">IFERROR(_xludf.XLOOKUP(A50,Milestones!$A$2:$A$501,Milestones!$M$2:$M$501),"")</f>
        <v/>
      </c>
      <c r="F50" s="4" t="str">
        <f t="shared" ca="1" si="0"/>
        <v/>
      </c>
      <c r="G50" s="4" t="str">
        <f t="shared" si="1"/>
        <v/>
      </c>
      <c r="H50" s="4" t="str">
        <f>IF(A50="","",SUMIF(Wyniki!$C$2:$C$501,A50,Wyniki!$O$2:$O$501))</f>
        <v/>
      </c>
      <c r="I50" s="4" t="str">
        <f t="shared" si="2"/>
        <v/>
      </c>
      <c r="J50" s="4" t="str">
        <f t="shared" si="3"/>
        <v/>
      </c>
    </row>
    <row r="51" spans="1:10" x14ac:dyDescent="0.25">
      <c r="A51" s="4"/>
      <c r="B51" s="4"/>
      <c r="C51" s="4"/>
      <c r="D51" s="4"/>
      <c r="E51" s="4" t="str">
        <f ca="1">IFERROR(_xludf.XLOOKUP(A51,Milestones!$A$2:$A$501,Milestones!$M$2:$M$501),"")</f>
        <v/>
      </c>
      <c r="F51" s="4" t="str">
        <f t="shared" ca="1" si="0"/>
        <v/>
      </c>
      <c r="G51" s="4" t="str">
        <f t="shared" si="1"/>
        <v/>
      </c>
      <c r="H51" s="4" t="str">
        <f>IF(A51="","",SUMIF(Wyniki!$C$2:$C$501,A51,Wyniki!$O$2:$O$501))</f>
        <v/>
      </c>
      <c r="I51" s="4" t="str">
        <f t="shared" si="2"/>
        <v/>
      </c>
      <c r="J51" s="4" t="str">
        <f t="shared" si="3"/>
        <v/>
      </c>
    </row>
    <row r="52" spans="1:10" x14ac:dyDescent="0.25">
      <c r="A52" s="4"/>
      <c r="B52" s="4"/>
      <c r="C52" s="4"/>
      <c r="D52" s="4"/>
      <c r="E52" s="4" t="str">
        <f ca="1">IFERROR(_xludf.XLOOKUP(A52,Milestones!$A$2:$A$501,Milestones!$M$2:$M$501),"")</f>
        <v/>
      </c>
      <c r="F52" s="4" t="str">
        <f t="shared" ca="1" si="0"/>
        <v/>
      </c>
      <c r="G52" s="4" t="str">
        <f t="shared" si="1"/>
        <v/>
      </c>
      <c r="H52" s="4" t="str">
        <f>IF(A52="","",SUMIF(Wyniki!$C$2:$C$501,A52,Wyniki!$O$2:$O$501))</f>
        <v/>
      </c>
      <c r="I52" s="4" t="str">
        <f t="shared" si="2"/>
        <v/>
      </c>
      <c r="J52" s="4" t="str">
        <f t="shared" si="3"/>
        <v/>
      </c>
    </row>
    <row r="53" spans="1:10" x14ac:dyDescent="0.25">
      <c r="A53" s="4"/>
      <c r="B53" s="4"/>
      <c r="C53" s="4"/>
      <c r="D53" s="4"/>
      <c r="E53" s="4" t="str">
        <f ca="1">IFERROR(_xludf.XLOOKUP(A53,Milestones!$A$2:$A$501,Milestones!$M$2:$M$501),"")</f>
        <v/>
      </c>
      <c r="F53" s="4" t="str">
        <f t="shared" ca="1" si="0"/>
        <v/>
      </c>
      <c r="G53" s="4" t="str">
        <f t="shared" si="1"/>
        <v/>
      </c>
      <c r="H53" s="4" t="str">
        <f>IF(A53="","",SUMIF(Wyniki!$C$2:$C$501,A53,Wyniki!$O$2:$O$501))</f>
        <v/>
      </c>
      <c r="I53" s="4" t="str">
        <f t="shared" si="2"/>
        <v/>
      </c>
      <c r="J53" s="4" t="str">
        <f t="shared" si="3"/>
        <v/>
      </c>
    </row>
    <row r="54" spans="1:10" x14ac:dyDescent="0.25">
      <c r="A54" s="4"/>
      <c r="B54" s="4"/>
      <c r="C54" s="4"/>
      <c r="D54" s="4"/>
      <c r="E54" s="4" t="str">
        <f ca="1">IFERROR(_xludf.XLOOKUP(A54,Milestones!$A$2:$A$501,Milestones!$M$2:$M$501),"")</f>
        <v/>
      </c>
      <c r="F54" s="4" t="str">
        <f t="shared" ca="1" si="0"/>
        <v/>
      </c>
      <c r="G54" s="4" t="str">
        <f t="shared" si="1"/>
        <v/>
      </c>
      <c r="H54" s="4" t="str">
        <f>IF(A54="","",SUMIF(Wyniki!$C$2:$C$501,A54,Wyniki!$O$2:$O$501))</f>
        <v/>
      </c>
      <c r="I54" s="4" t="str">
        <f t="shared" si="2"/>
        <v/>
      </c>
      <c r="J54" s="4" t="str">
        <f t="shared" si="3"/>
        <v/>
      </c>
    </row>
    <row r="55" spans="1:10" x14ac:dyDescent="0.25">
      <c r="A55" s="4"/>
      <c r="B55" s="4"/>
      <c r="C55" s="4"/>
      <c r="D55" s="4"/>
      <c r="E55" s="4" t="str">
        <f ca="1">IFERROR(_xludf.XLOOKUP(A55,Milestones!$A$2:$A$501,Milestones!$M$2:$M$501),"")</f>
        <v/>
      </c>
      <c r="F55" s="4" t="str">
        <f t="shared" ca="1" si="0"/>
        <v/>
      </c>
      <c r="G55" s="4" t="str">
        <f t="shared" si="1"/>
        <v/>
      </c>
      <c r="H55" s="4" t="str">
        <f>IF(A55="","",SUMIF(Wyniki!$C$2:$C$501,A55,Wyniki!$O$2:$O$501))</f>
        <v/>
      </c>
      <c r="I55" s="4" t="str">
        <f t="shared" si="2"/>
        <v/>
      </c>
      <c r="J55" s="4" t="str">
        <f t="shared" si="3"/>
        <v/>
      </c>
    </row>
    <row r="56" spans="1:10" x14ac:dyDescent="0.25">
      <c r="A56" s="4"/>
      <c r="B56" s="4"/>
      <c r="C56" s="4"/>
      <c r="D56" s="4"/>
      <c r="E56" s="4" t="str">
        <f ca="1">IFERROR(_xludf.XLOOKUP(A56,Milestones!$A$2:$A$501,Milestones!$M$2:$M$501),"")</f>
        <v/>
      </c>
      <c r="F56" s="4" t="str">
        <f t="shared" ca="1" si="0"/>
        <v/>
      </c>
      <c r="G56" s="4" t="str">
        <f t="shared" si="1"/>
        <v/>
      </c>
      <c r="H56" s="4" t="str">
        <f>IF(A56="","",SUMIF(Wyniki!$C$2:$C$501,A56,Wyniki!$O$2:$O$501))</f>
        <v/>
      </c>
      <c r="I56" s="4" t="str">
        <f t="shared" si="2"/>
        <v/>
      </c>
      <c r="J56" s="4" t="str">
        <f t="shared" si="3"/>
        <v/>
      </c>
    </row>
    <row r="57" spans="1:10" x14ac:dyDescent="0.25">
      <c r="A57" s="4"/>
      <c r="B57" s="4"/>
      <c r="C57" s="4"/>
      <c r="D57" s="4"/>
      <c r="E57" s="4" t="str">
        <f ca="1">IFERROR(_xludf.XLOOKUP(A57,Milestones!$A$2:$A$501,Milestones!$M$2:$M$501),"")</f>
        <v/>
      </c>
      <c r="F57" s="4" t="str">
        <f t="shared" ca="1" si="0"/>
        <v/>
      </c>
      <c r="G57" s="4" t="str">
        <f t="shared" si="1"/>
        <v/>
      </c>
      <c r="H57" s="4" t="str">
        <f>IF(A57="","",SUMIF(Wyniki!$C$2:$C$501,A57,Wyniki!$O$2:$O$501))</f>
        <v/>
      </c>
      <c r="I57" s="4" t="str">
        <f t="shared" si="2"/>
        <v/>
      </c>
      <c r="J57" s="4" t="str">
        <f t="shared" si="3"/>
        <v/>
      </c>
    </row>
    <row r="58" spans="1:10" x14ac:dyDescent="0.25">
      <c r="A58" s="4"/>
      <c r="B58" s="4"/>
      <c r="C58" s="4"/>
      <c r="D58" s="4"/>
      <c r="E58" s="4" t="str">
        <f ca="1">IFERROR(_xludf.XLOOKUP(A58,Milestones!$A$2:$A$501,Milestones!$M$2:$M$501),"")</f>
        <v/>
      </c>
      <c r="F58" s="4" t="str">
        <f t="shared" ca="1" si="0"/>
        <v/>
      </c>
      <c r="G58" s="4" t="str">
        <f t="shared" si="1"/>
        <v/>
      </c>
      <c r="H58" s="4" t="str">
        <f>IF(A58="","",SUMIF(Wyniki!$C$2:$C$501,A58,Wyniki!$O$2:$O$501))</f>
        <v/>
      </c>
      <c r="I58" s="4" t="str">
        <f t="shared" si="2"/>
        <v/>
      </c>
      <c r="J58" s="4" t="str">
        <f t="shared" si="3"/>
        <v/>
      </c>
    </row>
    <row r="59" spans="1:10" x14ac:dyDescent="0.25">
      <c r="A59" s="4"/>
      <c r="B59" s="4"/>
      <c r="C59" s="4"/>
      <c r="D59" s="4"/>
      <c r="E59" s="4" t="str">
        <f ca="1">IFERROR(_xludf.XLOOKUP(A59,Milestones!$A$2:$A$501,Milestones!$M$2:$M$501),"")</f>
        <v/>
      </c>
      <c r="F59" s="4" t="str">
        <f t="shared" ca="1" si="0"/>
        <v/>
      </c>
      <c r="G59" s="4" t="str">
        <f t="shared" si="1"/>
        <v/>
      </c>
      <c r="H59" s="4" t="str">
        <f>IF(A59="","",SUMIF(Wyniki!$C$2:$C$501,A59,Wyniki!$O$2:$O$501))</f>
        <v/>
      </c>
      <c r="I59" s="4" t="str">
        <f t="shared" si="2"/>
        <v/>
      </c>
      <c r="J59" s="4" t="str">
        <f t="shared" si="3"/>
        <v/>
      </c>
    </row>
    <row r="60" spans="1:10" x14ac:dyDescent="0.25">
      <c r="A60" s="4"/>
      <c r="B60" s="4"/>
      <c r="C60" s="4"/>
      <c r="D60" s="4"/>
      <c r="E60" s="4" t="str">
        <f ca="1">IFERROR(_xludf.XLOOKUP(A60,Milestones!$A$2:$A$501,Milestones!$M$2:$M$501),"")</f>
        <v/>
      </c>
      <c r="F60" s="4" t="str">
        <f t="shared" ca="1" si="0"/>
        <v/>
      </c>
      <c r="G60" s="4" t="str">
        <f t="shared" si="1"/>
        <v/>
      </c>
      <c r="H60" s="4" t="str">
        <f>IF(A60="","",SUMIF(Wyniki!$C$2:$C$501,A60,Wyniki!$O$2:$O$501))</f>
        <v/>
      </c>
      <c r="I60" s="4" t="str">
        <f t="shared" si="2"/>
        <v/>
      </c>
      <c r="J60" s="4" t="str">
        <f t="shared" si="3"/>
        <v/>
      </c>
    </row>
    <row r="61" spans="1:10" x14ac:dyDescent="0.25">
      <c r="A61" s="4"/>
      <c r="B61" s="4"/>
      <c r="C61" s="4"/>
      <c r="D61" s="4"/>
      <c r="E61" s="4" t="str">
        <f ca="1">IFERROR(_xludf.XLOOKUP(A61,Milestones!$A$2:$A$501,Milestones!$M$2:$M$501),"")</f>
        <v/>
      </c>
      <c r="F61" s="4" t="str">
        <f t="shared" ca="1" si="0"/>
        <v/>
      </c>
      <c r="G61" s="4" t="str">
        <f t="shared" si="1"/>
        <v/>
      </c>
      <c r="H61" s="4" t="str">
        <f>IF(A61="","",SUMIF(Wyniki!$C$2:$C$501,A61,Wyniki!$O$2:$O$501))</f>
        <v/>
      </c>
      <c r="I61" s="4" t="str">
        <f t="shared" si="2"/>
        <v/>
      </c>
      <c r="J61" s="4" t="str">
        <f t="shared" si="3"/>
        <v/>
      </c>
    </row>
    <row r="62" spans="1:10" x14ac:dyDescent="0.25">
      <c r="A62" s="4"/>
      <c r="B62" s="4"/>
      <c r="C62" s="4"/>
      <c r="D62" s="4"/>
      <c r="E62" s="4" t="str">
        <f ca="1">IFERROR(_xludf.XLOOKUP(A62,Milestones!$A$2:$A$501,Milestones!$M$2:$M$501),"")</f>
        <v/>
      </c>
      <c r="F62" s="4" t="str">
        <f t="shared" ca="1" si="0"/>
        <v/>
      </c>
      <c r="G62" s="4" t="str">
        <f t="shared" si="1"/>
        <v/>
      </c>
      <c r="H62" s="4" t="str">
        <f>IF(A62="","",SUMIF(Wyniki!$C$2:$C$501,A62,Wyniki!$O$2:$O$501))</f>
        <v/>
      </c>
      <c r="I62" s="4" t="str">
        <f t="shared" si="2"/>
        <v/>
      </c>
      <c r="J62" s="4" t="str">
        <f t="shared" si="3"/>
        <v/>
      </c>
    </row>
    <row r="63" spans="1:10" x14ac:dyDescent="0.25">
      <c r="A63" s="4"/>
      <c r="B63" s="4"/>
      <c r="C63" s="4"/>
      <c r="D63" s="4"/>
      <c r="E63" s="4" t="str">
        <f ca="1">IFERROR(_xludf.XLOOKUP(A63,Milestones!$A$2:$A$501,Milestones!$M$2:$M$501),"")</f>
        <v/>
      </c>
      <c r="F63" s="4" t="str">
        <f t="shared" ca="1" si="0"/>
        <v/>
      </c>
      <c r="G63" s="4" t="str">
        <f t="shared" si="1"/>
        <v/>
      </c>
      <c r="H63" s="4" t="str">
        <f>IF(A63="","",SUMIF(Wyniki!$C$2:$C$501,A63,Wyniki!$O$2:$O$501))</f>
        <v/>
      </c>
      <c r="I63" s="4" t="str">
        <f t="shared" si="2"/>
        <v/>
      </c>
      <c r="J63" s="4" t="str">
        <f t="shared" si="3"/>
        <v/>
      </c>
    </row>
    <row r="64" spans="1:10" x14ac:dyDescent="0.25">
      <c r="A64" s="4"/>
      <c r="B64" s="4"/>
      <c r="C64" s="4"/>
      <c r="D64" s="4"/>
      <c r="E64" s="4" t="str">
        <f ca="1">IFERROR(_xludf.XLOOKUP(A64,Milestones!$A$2:$A$501,Milestones!$M$2:$M$501),"")</f>
        <v/>
      </c>
      <c r="F64" s="4" t="str">
        <f t="shared" ca="1" si="0"/>
        <v/>
      </c>
      <c r="G64" s="4" t="str">
        <f t="shared" si="1"/>
        <v/>
      </c>
      <c r="H64" s="4" t="str">
        <f>IF(A64="","",SUMIF(Wyniki!$C$2:$C$501,A64,Wyniki!$O$2:$O$501))</f>
        <v/>
      </c>
      <c r="I64" s="4" t="str">
        <f t="shared" si="2"/>
        <v/>
      </c>
      <c r="J64" s="4" t="str">
        <f t="shared" si="3"/>
        <v/>
      </c>
    </row>
    <row r="65" spans="1:10" x14ac:dyDescent="0.25">
      <c r="A65" s="4"/>
      <c r="B65" s="4"/>
      <c r="C65" s="4"/>
      <c r="D65" s="4"/>
      <c r="E65" s="4" t="str">
        <f ca="1">IFERROR(_xludf.XLOOKUP(A65,Milestones!$A$2:$A$501,Milestones!$M$2:$M$501),"")</f>
        <v/>
      </c>
      <c r="F65" s="4" t="str">
        <f t="shared" ca="1" si="0"/>
        <v/>
      </c>
      <c r="G65" s="4" t="str">
        <f t="shared" si="1"/>
        <v/>
      </c>
      <c r="H65" s="4" t="str">
        <f>IF(A65="","",SUMIF(Wyniki!$C$2:$C$501,A65,Wyniki!$O$2:$O$501))</f>
        <v/>
      </c>
      <c r="I65" s="4" t="str">
        <f t="shared" si="2"/>
        <v/>
      </c>
      <c r="J65" s="4" t="str">
        <f t="shared" si="3"/>
        <v/>
      </c>
    </row>
    <row r="66" spans="1:10" x14ac:dyDescent="0.25">
      <c r="A66" s="4"/>
      <c r="B66" s="4"/>
      <c r="C66" s="4"/>
      <c r="D66" s="4"/>
      <c r="E66" s="4" t="str">
        <f ca="1">IFERROR(_xludf.XLOOKUP(A66,Milestones!$A$2:$A$501,Milestones!$M$2:$M$501),"")</f>
        <v/>
      </c>
      <c r="F66" s="4" t="str">
        <f t="shared" ref="F66:F129" ca="1" si="4">IF(E66="","",MIN(E66,1))</f>
        <v/>
      </c>
      <c r="G66" s="4" t="str">
        <f t="shared" ref="G66:G129" si="5">IF(D66="","",ROUNDDOWN(D66*F66,2))</f>
        <v/>
      </c>
      <c r="H66" s="4" t="str">
        <f>IF(A66="","",SUMIF(Wyniki!$C$2:$C$501,A66,Wyniki!$O$2:$O$501))</f>
        <v/>
      </c>
      <c r="I66" s="4" t="str">
        <f t="shared" ref="I66:I129" si="6">IF(G66="","",MAX(0,G66-H66))</f>
        <v/>
      </c>
      <c r="J66" s="4" t="str">
        <f t="shared" ref="J66:J129" si="7">IF(A66="","",IF(H66&lt;=G66,"OK","NIE"))</f>
        <v/>
      </c>
    </row>
    <row r="67" spans="1:10" x14ac:dyDescent="0.25">
      <c r="A67" s="4"/>
      <c r="B67" s="4"/>
      <c r="C67" s="4"/>
      <c r="D67" s="4"/>
      <c r="E67" s="4" t="str">
        <f ca="1">IFERROR(_xludf.XLOOKUP(A67,Milestones!$A$2:$A$501,Milestones!$M$2:$M$501),"")</f>
        <v/>
      </c>
      <c r="F67" s="4" t="str">
        <f t="shared" ca="1" si="4"/>
        <v/>
      </c>
      <c r="G67" s="4" t="str">
        <f t="shared" si="5"/>
        <v/>
      </c>
      <c r="H67" s="4" t="str">
        <f>IF(A67="","",SUMIF(Wyniki!$C$2:$C$501,A67,Wyniki!$O$2:$O$501))</f>
        <v/>
      </c>
      <c r="I67" s="4" t="str">
        <f t="shared" si="6"/>
        <v/>
      </c>
      <c r="J67" s="4" t="str">
        <f t="shared" si="7"/>
        <v/>
      </c>
    </row>
    <row r="68" spans="1:10" x14ac:dyDescent="0.25">
      <c r="A68" s="4"/>
      <c r="B68" s="4"/>
      <c r="C68" s="4"/>
      <c r="D68" s="4"/>
      <c r="E68" s="4" t="str">
        <f ca="1">IFERROR(_xludf.XLOOKUP(A68,Milestones!$A$2:$A$501,Milestones!$M$2:$M$501),"")</f>
        <v/>
      </c>
      <c r="F68" s="4" t="str">
        <f t="shared" ca="1" si="4"/>
        <v/>
      </c>
      <c r="G68" s="4" t="str">
        <f t="shared" si="5"/>
        <v/>
      </c>
      <c r="H68" s="4" t="str">
        <f>IF(A68="","",SUMIF(Wyniki!$C$2:$C$501,A68,Wyniki!$O$2:$O$501))</f>
        <v/>
      </c>
      <c r="I68" s="4" t="str">
        <f t="shared" si="6"/>
        <v/>
      </c>
      <c r="J68" s="4" t="str">
        <f t="shared" si="7"/>
        <v/>
      </c>
    </row>
    <row r="69" spans="1:10" x14ac:dyDescent="0.25">
      <c r="A69" s="4"/>
      <c r="B69" s="4"/>
      <c r="C69" s="4"/>
      <c r="D69" s="4"/>
      <c r="E69" s="4" t="str">
        <f ca="1">IFERROR(_xludf.XLOOKUP(A69,Milestones!$A$2:$A$501,Milestones!$M$2:$M$501),"")</f>
        <v/>
      </c>
      <c r="F69" s="4" t="str">
        <f t="shared" ca="1" si="4"/>
        <v/>
      </c>
      <c r="G69" s="4" t="str">
        <f t="shared" si="5"/>
        <v/>
      </c>
      <c r="H69" s="4" t="str">
        <f>IF(A69="","",SUMIF(Wyniki!$C$2:$C$501,A69,Wyniki!$O$2:$O$501))</f>
        <v/>
      </c>
      <c r="I69" s="4" t="str">
        <f t="shared" si="6"/>
        <v/>
      </c>
      <c r="J69" s="4" t="str">
        <f t="shared" si="7"/>
        <v/>
      </c>
    </row>
    <row r="70" spans="1:10" x14ac:dyDescent="0.25">
      <c r="A70" s="4"/>
      <c r="B70" s="4"/>
      <c r="C70" s="4"/>
      <c r="D70" s="4"/>
      <c r="E70" s="4" t="str">
        <f ca="1">IFERROR(_xludf.XLOOKUP(A70,Milestones!$A$2:$A$501,Milestones!$M$2:$M$501),"")</f>
        <v/>
      </c>
      <c r="F70" s="4" t="str">
        <f t="shared" ca="1" si="4"/>
        <v/>
      </c>
      <c r="G70" s="4" t="str">
        <f t="shared" si="5"/>
        <v/>
      </c>
      <c r="H70" s="4" t="str">
        <f>IF(A70="","",SUMIF(Wyniki!$C$2:$C$501,A70,Wyniki!$O$2:$O$501))</f>
        <v/>
      </c>
      <c r="I70" s="4" t="str">
        <f t="shared" si="6"/>
        <v/>
      </c>
      <c r="J70" s="4" t="str">
        <f t="shared" si="7"/>
        <v/>
      </c>
    </row>
    <row r="71" spans="1:10" x14ac:dyDescent="0.25">
      <c r="A71" s="4"/>
      <c r="B71" s="4"/>
      <c r="C71" s="4"/>
      <c r="D71" s="4"/>
      <c r="E71" s="4" t="str">
        <f ca="1">IFERROR(_xludf.XLOOKUP(A71,Milestones!$A$2:$A$501,Milestones!$M$2:$M$501),"")</f>
        <v/>
      </c>
      <c r="F71" s="4" t="str">
        <f t="shared" ca="1" si="4"/>
        <v/>
      </c>
      <c r="G71" s="4" t="str">
        <f t="shared" si="5"/>
        <v/>
      </c>
      <c r="H71" s="4" t="str">
        <f>IF(A71="","",SUMIF(Wyniki!$C$2:$C$501,A71,Wyniki!$O$2:$O$501))</f>
        <v/>
      </c>
      <c r="I71" s="4" t="str">
        <f t="shared" si="6"/>
        <v/>
      </c>
      <c r="J71" s="4" t="str">
        <f t="shared" si="7"/>
        <v/>
      </c>
    </row>
    <row r="72" spans="1:10" x14ac:dyDescent="0.25">
      <c r="A72" s="4"/>
      <c r="B72" s="4"/>
      <c r="C72" s="4"/>
      <c r="D72" s="4"/>
      <c r="E72" s="4" t="str">
        <f ca="1">IFERROR(_xludf.XLOOKUP(A72,Milestones!$A$2:$A$501,Milestones!$M$2:$M$501),"")</f>
        <v/>
      </c>
      <c r="F72" s="4" t="str">
        <f t="shared" ca="1" si="4"/>
        <v/>
      </c>
      <c r="G72" s="4" t="str">
        <f t="shared" si="5"/>
        <v/>
      </c>
      <c r="H72" s="4" t="str">
        <f>IF(A72="","",SUMIF(Wyniki!$C$2:$C$501,A72,Wyniki!$O$2:$O$501))</f>
        <v/>
      </c>
      <c r="I72" s="4" t="str">
        <f t="shared" si="6"/>
        <v/>
      </c>
      <c r="J72" s="4" t="str">
        <f t="shared" si="7"/>
        <v/>
      </c>
    </row>
    <row r="73" spans="1:10" x14ac:dyDescent="0.25">
      <c r="A73" s="4"/>
      <c r="B73" s="4"/>
      <c r="C73" s="4"/>
      <c r="D73" s="4"/>
      <c r="E73" s="4" t="str">
        <f ca="1">IFERROR(_xludf.XLOOKUP(A73,Milestones!$A$2:$A$501,Milestones!$M$2:$M$501),"")</f>
        <v/>
      </c>
      <c r="F73" s="4" t="str">
        <f t="shared" ca="1" si="4"/>
        <v/>
      </c>
      <c r="G73" s="4" t="str">
        <f t="shared" si="5"/>
        <v/>
      </c>
      <c r="H73" s="4" t="str">
        <f>IF(A73="","",SUMIF(Wyniki!$C$2:$C$501,A73,Wyniki!$O$2:$O$501))</f>
        <v/>
      </c>
      <c r="I73" s="4" t="str">
        <f t="shared" si="6"/>
        <v/>
      </c>
      <c r="J73" s="4" t="str">
        <f t="shared" si="7"/>
        <v/>
      </c>
    </row>
    <row r="74" spans="1:10" x14ac:dyDescent="0.25">
      <c r="A74" s="4"/>
      <c r="B74" s="4"/>
      <c r="C74" s="4"/>
      <c r="D74" s="4"/>
      <c r="E74" s="4" t="str">
        <f ca="1">IFERROR(_xludf.XLOOKUP(A74,Milestones!$A$2:$A$501,Milestones!$M$2:$M$501),"")</f>
        <v/>
      </c>
      <c r="F74" s="4" t="str">
        <f t="shared" ca="1" si="4"/>
        <v/>
      </c>
      <c r="G74" s="4" t="str">
        <f t="shared" si="5"/>
        <v/>
      </c>
      <c r="H74" s="4" t="str">
        <f>IF(A74="","",SUMIF(Wyniki!$C$2:$C$501,A74,Wyniki!$O$2:$O$501))</f>
        <v/>
      </c>
      <c r="I74" s="4" t="str">
        <f t="shared" si="6"/>
        <v/>
      </c>
      <c r="J74" s="4" t="str">
        <f t="shared" si="7"/>
        <v/>
      </c>
    </row>
    <row r="75" spans="1:10" x14ac:dyDescent="0.25">
      <c r="A75" s="4"/>
      <c r="B75" s="4"/>
      <c r="C75" s="4"/>
      <c r="D75" s="4"/>
      <c r="E75" s="4" t="str">
        <f ca="1">IFERROR(_xludf.XLOOKUP(A75,Milestones!$A$2:$A$501,Milestones!$M$2:$M$501),"")</f>
        <v/>
      </c>
      <c r="F75" s="4" t="str">
        <f t="shared" ca="1" si="4"/>
        <v/>
      </c>
      <c r="G75" s="4" t="str">
        <f t="shared" si="5"/>
        <v/>
      </c>
      <c r="H75" s="4" t="str">
        <f>IF(A75="","",SUMIF(Wyniki!$C$2:$C$501,A75,Wyniki!$O$2:$O$501))</f>
        <v/>
      </c>
      <c r="I75" s="4" t="str">
        <f t="shared" si="6"/>
        <v/>
      </c>
      <c r="J75" s="4" t="str">
        <f t="shared" si="7"/>
        <v/>
      </c>
    </row>
    <row r="76" spans="1:10" x14ac:dyDescent="0.25">
      <c r="A76" s="4"/>
      <c r="B76" s="4"/>
      <c r="C76" s="4"/>
      <c r="D76" s="4"/>
      <c r="E76" s="4" t="str">
        <f ca="1">IFERROR(_xludf.XLOOKUP(A76,Milestones!$A$2:$A$501,Milestones!$M$2:$M$501),"")</f>
        <v/>
      </c>
      <c r="F76" s="4" t="str">
        <f t="shared" ca="1" si="4"/>
        <v/>
      </c>
      <c r="G76" s="4" t="str">
        <f t="shared" si="5"/>
        <v/>
      </c>
      <c r="H76" s="4" t="str">
        <f>IF(A76="","",SUMIF(Wyniki!$C$2:$C$501,A76,Wyniki!$O$2:$O$501))</f>
        <v/>
      </c>
      <c r="I76" s="4" t="str">
        <f t="shared" si="6"/>
        <v/>
      </c>
      <c r="J76" s="4" t="str">
        <f t="shared" si="7"/>
        <v/>
      </c>
    </row>
    <row r="77" spans="1:10" x14ac:dyDescent="0.25">
      <c r="A77" s="4"/>
      <c r="B77" s="4"/>
      <c r="C77" s="4"/>
      <c r="D77" s="4"/>
      <c r="E77" s="4" t="str">
        <f ca="1">IFERROR(_xludf.XLOOKUP(A77,Milestones!$A$2:$A$501,Milestones!$M$2:$M$501),"")</f>
        <v/>
      </c>
      <c r="F77" s="4" t="str">
        <f t="shared" ca="1" si="4"/>
        <v/>
      </c>
      <c r="G77" s="4" t="str">
        <f t="shared" si="5"/>
        <v/>
      </c>
      <c r="H77" s="4" t="str">
        <f>IF(A77="","",SUMIF(Wyniki!$C$2:$C$501,A77,Wyniki!$O$2:$O$501))</f>
        <v/>
      </c>
      <c r="I77" s="4" t="str">
        <f t="shared" si="6"/>
        <v/>
      </c>
      <c r="J77" s="4" t="str">
        <f t="shared" si="7"/>
        <v/>
      </c>
    </row>
    <row r="78" spans="1:10" x14ac:dyDescent="0.25">
      <c r="A78" s="4"/>
      <c r="B78" s="4"/>
      <c r="C78" s="4"/>
      <c r="D78" s="4"/>
      <c r="E78" s="4" t="str">
        <f ca="1">IFERROR(_xludf.XLOOKUP(A78,Milestones!$A$2:$A$501,Milestones!$M$2:$M$501),"")</f>
        <v/>
      </c>
      <c r="F78" s="4" t="str">
        <f t="shared" ca="1" si="4"/>
        <v/>
      </c>
      <c r="G78" s="4" t="str">
        <f t="shared" si="5"/>
        <v/>
      </c>
      <c r="H78" s="4" t="str">
        <f>IF(A78="","",SUMIF(Wyniki!$C$2:$C$501,A78,Wyniki!$O$2:$O$501))</f>
        <v/>
      </c>
      <c r="I78" s="4" t="str">
        <f t="shared" si="6"/>
        <v/>
      </c>
      <c r="J78" s="4" t="str">
        <f t="shared" si="7"/>
        <v/>
      </c>
    </row>
    <row r="79" spans="1:10" x14ac:dyDescent="0.25">
      <c r="A79" s="4"/>
      <c r="B79" s="4"/>
      <c r="C79" s="4"/>
      <c r="D79" s="4"/>
      <c r="E79" s="4" t="str">
        <f ca="1">IFERROR(_xludf.XLOOKUP(A79,Milestones!$A$2:$A$501,Milestones!$M$2:$M$501),"")</f>
        <v/>
      </c>
      <c r="F79" s="4" t="str">
        <f t="shared" ca="1" si="4"/>
        <v/>
      </c>
      <c r="G79" s="4" t="str">
        <f t="shared" si="5"/>
        <v/>
      </c>
      <c r="H79" s="4" t="str">
        <f>IF(A79="","",SUMIF(Wyniki!$C$2:$C$501,A79,Wyniki!$O$2:$O$501))</f>
        <v/>
      </c>
      <c r="I79" s="4" t="str">
        <f t="shared" si="6"/>
        <v/>
      </c>
      <c r="J79" s="4" t="str">
        <f t="shared" si="7"/>
        <v/>
      </c>
    </row>
    <row r="80" spans="1:10" x14ac:dyDescent="0.25">
      <c r="A80" s="4"/>
      <c r="B80" s="4"/>
      <c r="C80" s="4"/>
      <c r="D80" s="4"/>
      <c r="E80" s="4" t="str">
        <f ca="1">IFERROR(_xludf.XLOOKUP(A80,Milestones!$A$2:$A$501,Milestones!$M$2:$M$501),"")</f>
        <v/>
      </c>
      <c r="F80" s="4" t="str">
        <f t="shared" ca="1" si="4"/>
        <v/>
      </c>
      <c r="G80" s="4" t="str">
        <f t="shared" si="5"/>
        <v/>
      </c>
      <c r="H80" s="4" t="str">
        <f>IF(A80="","",SUMIF(Wyniki!$C$2:$C$501,A80,Wyniki!$O$2:$O$501))</f>
        <v/>
      </c>
      <c r="I80" s="4" t="str">
        <f t="shared" si="6"/>
        <v/>
      </c>
      <c r="J80" s="4" t="str">
        <f t="shared" si="7"/>
        <v/>
      </c>
    </row>
    <row r="81" spans="1:10" x14ac:dyDescent="0.25">
      <c r="A81" s="4"/>
      <c r="B81" s="4"/>
      <c r="C81" s="4"/>
      <c r="D81" s="4"/>
      <c r="E81" s="4" t="str">
        <f ca="1">IFERROR(_xludf.XLOOKUP(A81,Milestones!$A$2:$A$501,Milestones!$M$2:$M$501),"")</f>
        <v/>
      </c>
      <c r="F81" s="4" t="str">
        <f t="shared" ca="1" si="4"/>
        <v/>
      </c>
      <c r="G81" s="4" t="str">
        <f t="shared" si="5"/>
        <v/>
      </c>
      <c r="H81" s="4" t="str">
        <f>IF(A81="","",SUMIF(Wyniki!$C$2:$C$501,A81,Wyniki!$O$2:$O$501))</f>
        <v/>
      </c>
      <c r="I81" s="4" t="str">
        <f t="shared" si="6"/>
        <v/>
      </c>
      <c r="J81" s="4" t="str">
        <f t="shared" si="7"/>
        <v/>
      </c>
    </row>
    <row r="82" spans="1:10" x14ac:dyDescent="0.25">
      <c r="A82" s="4"/>
      <c r="B82" s="4"/>
      <c r="C82" s="4"/>
      <c r="D82" s="4"/>
      <c r="E82" s="4" t="str">
        <f ca="1">IFERROR(_xludf.XLOOKUP(A82,Milestones!$A$2:$A$501,Milestones!$M$2:$M$501),"")</f>
        <v/>
      </c>
      <c r="F82" s="4" t="str">
        <f t="shared" ca="1" si="4"/>
        <v/>
      </c>
      <c r="G82" s="4" t="str">
        <f t="shared" si="5"/>
        <v/>
      </c>
      <c r="H82" s="4" t="str">
        <f>IF(A82="","",SUMIF(Wyniki!$C$2:$C$501,A82,Wyniki!$O$2:$O$501))</f>
        <v/>
      </c>
      <c r="I82" s="4" t="str">
        <f t="shared" si="6"/>
        <v/>
      </c>
      <c r="J82" s="4" t="str">
        <f t="shared" si="7"/>
        <v/>
      </c>
    </row>
    <row r="83" spans="1:10" x14ac:dyDescent="0.25">
      <c r="A83" s="4"/>
      <c r="B83" s="4"/>
      <c r="C83" s="4"/>
      <c r="D83" s="4"/>
      <c r="E83" s="4" t="str">
        <f ca="1">IFERROR(_xludf.XLOOKUP(A83,Milestones!$A$2:$A$501,Milestones!$M$2:$M$501),"")</f>
        <v/>
      </c>
      <c r="F83" s="4" t="str">
        <f t="shared" ca="1" si="4"/>
        <v/>
      </c>
      <c r="G83" s="4" t="str">
        <f t="shared" si="5"/>
        <v/>
      </c>
      <c r="H83" s="4" t="str">
        <f>IF(A83="","",SUMIF(Wyniki!$C$2:$C$501,A83,Wyniki!$O$2:$O$501))</f>
        <v/>
      </c>
      <c r="I83" s="4" t="str">
        <f t="shared" si="6"/>
        <v/>
      </c>
      <c r="J83" s="4" t="str">
        <f t="shared" si="7"/>
        <v/>
      </c>
    </row>
    <row r="84" spans="1:10" x14ac:dyDescent="0.25">
      <c r="A84" s="4"/>
      <c r="B84" s="4"/>
      <c r="C84" s="4"/>
      <c r="D84" s="4"/>
      <c r="E84" s="4" t="str">
        <f ca="1">IFERROR(_xludf.XLOOKUP(A84,Milestones!$A$2:$A$501,Milestones!$M$2:$M$501),"")</f>
        <v/>
      </c>
      <c r="F84" s="4" t="str">
        <f t="shared" ca="1" si="4"/>
        <v/>
      </c>
      <c r="G84" s="4" t="str">
        <f t="shared" si="5"/>
        <v/>
      </c>
      <c r="H84" s="4" t="str">
        <f>IF(A84="","",SUMIF(Wyniki!$C$2:$C$501,A84,Wyniki!$O$2:$O$501))</f>
        <v/>
      </c>
      <c r="I84" s="4" t="str">
        <f t="shared" si="6"/>
        <v/>
      </c>
      <c r="J84" s="4" t="str">
        <f t="shared" si="7"/>
        <v/>
      </c>
    </row>
    <row r="85" spans="1:10" x14ac:dyDescent="0.25">
      <c r="A85" s="4"/>
      <c r="B85" s="4"/>
      <c r="C85" s="4"/>
      <c r="D85" s="4"/>
      <c r="E85" s="4" t="str">
        <f ca="1">IFERROR(_xludf.XLOOKUP(A85,Milestones!$A$2:$A$501,Milestones!$M$2:$M$501),"")</f>
        <v/>
      </c>
      <c r="F85" s="4" t="str">
        <f t="shared" ca="1" si="4"/>
        <v/>
      </c>
      <c r="G85" s="4" t="str">
        <f t="shared" si="5"/>
        <v/>
      </c>
      <c r="H85" s="4" t="str">
        <f>IF(A85="","",SUMIF(Wyniki!$C$2:$C$501,A85,Wyniki!$O$2:$O$501))</f>
        <v/>
      </c>
      <c r="I85" s="4" t="str">
        <f t="shared" si="6"/>
        <v/>
      </c>
      <c r="J85" s="4" t="str">
        <f t="shared" si="7"/>
        <v/>
      </c>
    </row>
    <row r="86" spans="1:10" x14ac:dyDescent="0.25">
      <c r="A86" s="4"/>
      <c r="B86" s="4"/>
      <c r="C86" s="4"/>
      <c r="D86" s="4"/>
      <c r="E86" s="4" t="str">
        <f ca="1">IFERROR(_xludf.XLOOKUP(A86,Milestones!$A$2:$A$501,Milestones!$M$2:$M$501),"")</f>
        <v/>
      </c>
      <c r="F86" s="4" t="str">
        <f t="shared" ca="1" si="4"/>
        <v/>
      </c>
      <c r="G86" s="4" t="str">
        <f t="shared" si="5"/>
        <v/>
      </c>
      <c r="H86" s="4" t="str">
        <f>IF(A86="","",SUMIF(Wyniki!$C$2:$C$501,A86,Wyniki!$O$2:$O$501))</f>
        <v/>
      </c>
      <c r="I86" s="4" t="str">
        <f t="shared" si="6"/>
        <v/>
      </c>
      <c r="J86" s="4" t="str">
        <f t="shared" si="7"/>
        <v/>
      </c>
    </row>
    <row r="87" spans="1:10" x14ac:dyDescent="0.25">
      <c r="A87" s="4"/>
      <c r="B87" s="4"/>
      <c r="C87" s="4"/>
      <c r="D87" s="4"/>
      <c r="E87" s="4" t="str">
        <f ca="1">IFERROR(_xludf.XLOOKUP(A87,Milestones!$A$2:$A$501,Milestones!$M$2:$M$501),"")</f>
        <v/>
      </c>
      <c r="F87" s="4" t="str">
        <f t="shared" ca="1" si="4"/>
        <v/>
      </c>
      <c r="G87" s="4" t="str">
        <f t="shared" si="5"/>
        <v/>
      </c>
      <c r="H87" s="4" t="str">
        <f>IF(A87="","",SUMIF(Wyniki!$C$2:$C$501,A87,Wyniki!$O$2:$O$501))</f>
        <v/>
      </c>
      <c r="I87" s="4" t="str">
        <f t="shared" si="6"/>
        <v/>
      </c>
      <c r="J87" s="4" t="str">
        <f t="shared" si="7"/>
        <v/>
      </c>
    </row>
    <row r="88" spans="1:10" x14ac:dyDescent="0.25">
      <c r="A88" s="4"/>
      <c r="B88" s="4"/>
      <c r="C88" s="4"/>
      <c r="D88" s="4"/>
      <c r="E88" s="4" t="str">
        <f ca="1">IFERROR(_xludf.XLOOKUP(A88,Milestones!$A$2:$A$501,Milestones!$M$2:$M$501),"")</f>
        <v/>
      </c>
      <c r="F88" s="4" t="str">
        <f t="shared" ca="1" si="4"/>
        <v/>
      </c>
      <c r="G88" s="4" t="str">
        <f t="shared" si="5"/>
        <v/>
      </c>
      <c r="H88" s="4" t="str">
        <f>IF(A88="","",SUMIF(Wyniki!$C$2:$C$501,A88,Wyniki!$O$2:$O$501))</f>
        <v/>
      </c>
      <c r="I88" s="4" t="str">
        <f t="shared" si="6"/>
        <v/>
      </c>
      <c r="J88" s="4" t="str">
        <f t="shared" si="7"/>
        <v/>
      </c>
    </row>
    <row r="89" spans="1:10" x14ac:dyDescent="0.25">
      <c r="A89" s="4"/>
      <c r="B89" s="4"/>
      <c r="C89" s="4"/>
      <c r="D89" s="4"/>
      <c r="E89" s="4" t="str">
        <f ca="1">IFERROR(_xludf.XLOOKUP(A89,Milestones!$A$2:$A$501,Milestones!$M$2:$M$501),"")</f>
        <v/>
      </c>
      <c r="F89" s="4" t="str">
        <f t="shared" ca="1" si="4"/>
        <v/>
      </c>
      <c r="G89" s="4" t="str">
        <f t="shared" si="5"/>
        <v/>
      </c>
      <c r="H89" s="4" t="str">
        <f>IF(A89="","",SUMIF(Wyniki!$C$2:$C$501,A89,Wyniki!$O$2:$O$501))</f>
        <v/>
      </c>
      <c r="I89" s="4" t="str">
        <f t="shared" si="6"/>
        <v/>
      </c>
      <c r="J89" s="4" t="str">
        <f t="shared" si="7"/>
        <v/>
      </c>
    </row>
    <row r="90" spans="1:10" x14ac:dyDescent="0.25">
      <c r="A90" s="4"/>
      <c r="B90" s="4"/>
      <c r="C90" s="4"/>
      <c r="D90" s="4"/>
      <c r="E90" s="4" t="str">
        <f ca="1">IFERROR(_xludf.XLOOKUP(A90,Milestones!$A$2:$A$501,Milestones!$M$2:$M$501),"")</f>
        <v/>
      </c>
      <c r="F90" s="4" t="str">
        <f t="shared" ca="1" si="4"/>
        <v/>
      </c>
      <c r="G90" s="4" t="str">
        <f t="shared" si="5"/>
        <v/>
      </c>
      <c r="H90" s="4" t="str">
        <f>IF(A90="","",SUMIF(Wyniki!$C$2:$C$501,A90,Wyniki!$O$2:$O$501))</f>
        <v/>
      </c>
      <c r="I90" s="4" t="str">
        <f t="shared" si="6"/>
        <v/>
      </c>
      <c r="J90" s="4" t="str">
        <f t="shared" si="7"/>
        <v/>
      </c>
    </row>
    <row r="91" spans="1:10" x14ac:dyDescent="0.25">
      <c r="A91" s="4"/>
      <c r="B91" s="4"/>
      <c r="C91" s="4"/>
      <c r="D91" s="4"/>
      <c r="E91" s="4" t="str">
        <f ca="1">IFERROR(_xludf.XLOOKUP(A91,Milestones!$A$2:$A$501,Milestones!$M$2:$M$501),"")</f>
        <v/>
      </c>
      <c r="F91" s="4" t="str">
        <f t="shared" ca="1" si="4"/>
        <v/>
      </c>
      <c r="G91" s="4" t="str">
        <f t="shared" si="5"/>
        <v/>
      </c>
      <c r="H91" s="4" t="str">
        <f>IF(A91="","",SUMIF(Wyniki!$C$2:$C$501,A91,Wyniki!$O$2:$O$501))</f>
        <v/>
      </c>
      <c r="I91" s="4" t="str">
        <f t="shared" si="6"/>
        <v/>
      </c>
      <c r="J91" s="4" t="str">
        <f t="shared" si="7"/>
        <v/>
      </c>
    </row>
    <row r="92" spans="1:10" x14ac:dyDescent="0.25">
      <c r="A92" s="4"/>
      <c r="B92" s="4"/>
      <c r="C92" s="4"/>
      <c r="D92" s="4"/>
      <c r="E92" s="4" t="str">
        <f ca="1">IFERROR(_xludf.XLOOKUP(A92,Milestones!$A$2:$A$501,Milestones!$M$2:$M$501),"")</f>
        <v/>
      </c>
      <c r="F92" s="4" t="str">
        <f t="shared" ca="1" si="4"/>
        <v/>
      </c>
      <c r="G92" s="4" t="str">
        <f t="shared" si="5"/>
        <v/>
      </c>
      <c r="H92" s="4" t="str">
        <f>IF(A92="","",SUMIF(Wyniki!$C$2:$C$501,A92,Wyniki!$O$2:$O$501))</f>
        <v/>
      </c>
      <c r="I92" s="4" t="str">
        <f t="shared" si="6"/>
        <v/>
      </c>
      <c r="J92" s="4" t="str">
        <f t="shared" si="7"/>
        <v/>
      </c>
    </row>
    <row r="93" spans="1:10" x14ac:dyDescent="0.25">
      <c r="A93" s="4"/>
      <c r="B93" s="4"/>
      <c r="C93" s="4"/>
      <c r="D93" s="4"/>
      <c r="E93" s="4" t="str">
        <f ca="1">IFERROR(_xludf.XLOOKUP(A93,Milestones!$A$2:$A$501,Milestones!$M$2:$M$501),"")</f>
        <v/>
      </c>
      <c r="F93" s="4" t="str">
        <f t="shared" ca="1" si="4"/>
        <v/>
      </c>
      <c r="G93" s="4" t="str">
        <f t="shared" si="5"/>
        <v/>
      </c>
      <c r="H93" s="4" t="str">
        <f>IF(A93="","",SUMIF(Wyniki!$C$2:$C$501,A93,Wyniki!$O$2:$O$501))</f>
        <v/>
      </c>
      <c r="I93" s="4" t="str">
        <f t="shared" si="6"/>
        <v/>
      </c>
      <c r="J93" s="4" t="str">
        <f t="shared" si="7"/>
        <v/>
      </c>
    </row>
    <row r="94" spans="1:10" x14ac:dyDescent="0.25">
      <c r="A94" s="4"/>
      <c r="B94" s="4"/>
      <c r="C94" s="4"/>
      <c r="D94" s="4"/>
      <c r="E94" s="4" t="str">
        <f ca="1">IFERROR(_xludf.XLOOKUP(A94,Milestones!$A$2:$A$501,Milestones!$M$2:$M$501),"")</f>
        <v/>
      </c>
      <c r="F94" s="4" t="str">
        <f t="shared" ca="1" si="4"/>
        <v/>
      </c>
      <c r="G94" s="4" t="str">
        <f t="shared" si="5"/>
        <v/>
      </c>
      <c r="H94" s="4" t="str">
        <f>IF(A94="","",SUMIF(Wyniki!$C$2:$C$501,A94,Wyniki!$O$2:$O$501))</f>
        <v/>
      </c>
      <c r="I94" s="4" t="str">
        <f t="shared" si="6"/>
        <v/>
      </c>
      <c r="J94" s="4" t="str">
        <f t="shared" si="7"/>
        <v/>
      </c>
    </row>
    <row r="95" spans="1:10" x14ac:dyDescent="0.25">
      <c r="A95" s="4"/>
      <c r="B95" s="4"/>
      <c r="C95" s="4"/>
      <c r="D95" s="4"/>
      <c r="E95" s="4" t="str">
        <f ca="1">IFERROR(_xludf.XLOOKUP(A95,Milestones!$A$2:$A$501,Milestones!$M$2:$M$501),"")</f>
        <v/>
      </c>
      <c r="F95" s="4" t="str">
        <f t="shared" ca="1" si="4"/>
        <v/>
      </c>
      <c r="G95" s="4" t="str">
        <f t="shared" si="5"/>
        <v/>
      </c>
      <c r="H95" s="4" t="str">
        <f>IF(A95="","",SUMIF(Wyniki!$C$2:$C$501,A95,Wyniki!$O$2:$O$501))</f>
        <v/>
      </c>
      <c r="I95" s="4" t="str">
        <f t="shared" si="6"/>
        <v/>
      </c>
      <c r="J95" s="4" t="str">
        <f t="shared" si="7"/>
        <v/>
      </c>
    </row>
    <row r="96" spans="1:10" x14ac:dyDescent="0.25">
      <c r="A96" s="4"/>
      <c r="B96" s="4"/>
      <c r="C96" s="4"/>
      <c r="D96" s="4"/>
      <c r="E96" s="4" t="str">
        <f ca="1">IFERROR(_xludf.XLOOKUP(A96,Milestones!$A$2:$A$501,Milestones!$M$2:$M$501),"")</f>
        <v/>
      </c>
      <c r="F96" s="4" t="str">
        <f t="shared" ca="1" si="4"/>
        <v/>
      </c>
      <c r="G96" s="4" t="str">
        <f t="shared" si="5"/>
        <v/>
      </c>
      <c r="H96" s="4" t="str">
        <f>IF(A96="","",SUMIF(Wyniki!$C$2:$C$501,A96,Wyniki!$O$2:$O$501))</f>
        <v/>
      </c>
      <c r="I96" s="4" t="str">
        <f t="shared" si="6"/>
        <v/>
      </c>
      <c r="J96" s="4" t="str">
        <f t="shared" si="7"/>
        <v/>
      </c>
    </row>
    <row r="97" spans="1:10" x14ac:dyDescent="0.25">
      <c r="A97" s="4"/>
      <c r="B97" s="4"/>
      <c r="C97" s="4"/>
      <c r="D97" s="4"/>
      <c r="E97" s="4" t="str">
        <f ca="1">IFERROR(_xludf.XLOOKUP(A97,Milestones!$A$2:$A$501,Milestones!$M$2:$M$501),"")</f>
        <v/>
      </c>
      <c r="F97" s="4" t="str">
        <f t="shared" ca="1" si="4"/>
        <v/>
      </c>
      <c r="G97" s="4" t="str">
        <f t="shared" si="5"/>
        <v/>
      </c>
      <c r="H97" s="4" t="str">
        <f>IF(A97="","",SUMIF(Wyniki!$C$2:$C$501,A97,Wyniki!$O$2:$O$501))</f>
        <v/>
      </c>
      <c r="I97" s="4" t="str">
        <f t="shared" si="6"/>
        <v/>
      </c>
      <c r="J97" s="4" t="str">
        <f t="shared" si="7"/>
        <v/>
      </c>
    </row>
    <row r="98" spans="1:10" x14ac:dyDescent="0.25">
      <c r="A98" s="4"/>
      <c r="B98" s="4"/>
      <c r="C98" s="4"/>
      <c r="D98" s="4"/>
      <c r="E98" s="4" t="str">
        <f ca="1">IFERROR(_xludf.XLOOKUP(A98,Milestones!$A$2:$A$501,Milestones!$M$2:$M$501),"")</f>
        <v/>
      </c>
      <c r="F98" s="4" t="str">
        <f t="shared" ca="1" si="4"/>
        <v/>
      </c>
      <c r="G98" s="4" t="str">
        <f t="shared" si="5"/>
        <v/>
      </c>
      <c r="H98" s="4" t="str">
        <f>IF(A98="","",SUMIF(Wyniki!$C$2:$C$501,A98,Wyniki!$O$2:$O$501))</f>
        <v/>
      </c>
      <c r="I98" s="4" t="str">
        <f t="shared" si="6"/>
        <v/>
      </c>
      <c r="J98" s="4" t="str">
        <f t="shared" si="7"/>
        <v/>
      </c>
    </row>
    <row r="99" spans="1:10" x14ac:dyDescent="0.25">
      <c r="A99" s="4"/>
      <c r="B99" s="4"/>
      <c r="C99" s="4"/>
      <c r="D99" s="4"/>
      <c r="E99" s="4" t="str">
        <f ca="1">IFERROR(_xludf.XLOOKUP(A99,Milestones!$A$2:$A$501,Milestones!$M$2:$M$501),"")</f>
        <v/>
      </c>
      <c r="F99" s="4" t="str">
        <f t="shared" ca="1" si="4"/>
        <v/>
      </c>
      <c r="G99" s="4" t="str">
        <f t="shared" si="5"/>
        <v/>
      </c>
      <c r="H99" s="4" t="str">
        <f>IF(A99="","",SUMIF(Wyniki!$C$2:$C$501,A99,Wyniki!$O$2:$O$501))</f>
        <v/>
      </c>
      <c r="I99" s="4" t="str">
        <f t="shared" si="6"/>
        <v/>
      </c>
      <c r="J99" s="4" t="str">
        <f t="shared" si="7"/>
        <v/>
      </c>
    </row>
    <row r="100" spans="1:10" x14ac:dyDescent="0.25">
      <c r="A100" s="4"/>
      <c r="B100" s="4"/>
      <c r="C100" s="4"/>
      <c r="D100" s="4"/>
      <c r="E100" s="4" t="str">
        <f ca="1">IFERROR(_xludf.XLOOKUP(A100,Milestones!$A$2:$A$501,Milestones!$M$2:$M$501),"")</f>
        <v/>
      </c>
      <c r="F100" s="4" t="str">
        <f t="shared" ca="1" si="4"/>
        <v/>
      </c>
      <c r="G100" s="4" t="str">
        <f t="shared" si="5"/>
        <v/>
      </c>
      <c r="H100" s="4" t="str">
        <f>IF(A100="","",SUMIF(Wyniki!$C$2:$C$501,A100,Wyniki!$O$2:$O$501))</f>
        <v/>
      </c>
      <c r="I100" s="4" t="str">
        <f t="shared" si="6"/>
        <v/>
      </c>
      <c r="J100" s="4" t="str">
        <f t="shared" si="7"/>
        <v/>
      </c>
    </row>
    <row r="101" spans="1:10" x14ac:dyDescent="0.25">
      <c r="A101" s="4"/>
      <c r="B101" s="4"/>
      <c r="C101" s="4"/>
      <c r="D101" s="4"/>
      <c r="E101" s="4" t="str">
        <f ca="1">IFERROR(_xludf.XLOOKUP(A101,Milestones!$A$2:$A$501,Milestones!$M$2:$M$501),"")</f>
        <v/>
      </c>
      <c r="F101" s="4" t="str">
        <f t="shared" ca="1" si="4"/>
        <v/>
      </c>
      <c r="G101" s="4" t="str">
        <f t="shared" si="5"/>
        <v/>
      </c>
      <c r="H101" s="4" t="str">
        <f>IF(A101="","",SUMIF(Wyniki!$C$2:$C$501,A101,Wyniki!$O$2:$O$501))</f>
        <v/>
      </c>
      <c r="I101" s="4" t="str">
        <f t="shared" si="6"/>
        <v/>
      </c>
      <c r="J101" s="4" t="str">
        <f t="shared" si="7"/>
        <v/>
      </c>
    </row>
    <row r="102" spans="1:10" x14ac:dyDescent="0.25">
      <c r="A102" s="4"/>
      <c r="B102" s="4"/>
      <c r="C102" s="4"/>
      <c r="D102" s="4"/>
      <c r="E102" s="4" t="str">
        <f ca="1">IFERROR(_xludf.XLOOKUP(A102,Milestones!$A$2:$A$501,Milestones!$M$2:$M$501),"")</f>
        <v/>
      </c>
      <c r="F102" s="4" t="str">
        <f t="shared" ca="1" si="4"/>
        <v/>
      </c>
      <c r="G102" s="4" t="str">
        <f t="shared" si="5"/>
        <v/>
      </c>
      <c r="H102" s="4" t="str">
        <f>IF(A102="","",SUMIF(Wyniki!$C$2:$C$501,A102,Wyniki!$O$2:$O$501))</f>
        <v/>
      </c>
      <c r="I102" s="4" t="str">
        <f t="shared" si="6"/>
        <v/>
      </c>
      <c r="J102" s="4" t="str">
        <f t="shared" si="7"/>
        <v/>
      </c>
    </row>
    <row r="103" spans="1:10" x14ac:dyDescent="0.25">
      <c r="A103" s="4"/>
      <c r="B103" s="4"/>
      <c r="C103" s="4"/>
      <c r="D103" s="4"/>
      <c r="E103" s="4" t="str">
        <f ca="1">IFERROR(_xludf.XLOOKUP(A103,Milestones!$A$2:$A$501,Milestones!$M$2:$M$501),"")</f>
        <v/>
      </c>
      <c r="F103" s="4" t="str">
        <f t="shared" ca="1" si="4"/>
        <v/>
      </c>
      <c r="G103" s="4" t="str">
        <f t="shared" si="5"/>
        <v/>
      </c>
      <c r="H103" s="4" t="str">
        <f>IF(A103="","",SUMIF(Wyniki!$C$2:$C$501,A103,Wyniki!$O$2:$O$501))</f>
        <v/>
      </c>
      <c r="I103" s="4" t="str">
        <f t="shared" si="6"/>
        <v/>
      </c>
      <c r="J103" s="4" t="str">
        <f t="shared" si="7"/>
        <v/>
      </c>
    </row>
    <row r="104" spans="1:10" x14ac:dyDescent="0.25">
      <c r="A104" s="4"/>
      <c r="B104" s="4"/>
      <c r="C104" s="4"/>
      <c r="D104" s="4"/>
      <c r="E104" s="4" t="str">
        <f ca="1">IFERROR(_xludf.XLOOKUP(A104,Milestones!$A$2:$A$501,Milestones!$M$2:$M$501),"")</f>
        <v/>
      </c>
      <c r="F104" s="4" t="str">
        <f t="shared" ca="1" si="4"/>
        <v/>
      </c>
      <c r="G104" s="4" t="str">
        <f t="shared" si="5"/>
        <v/>
      </c>
      <c r="H104" s="4" t="str">
        <f>IF(A104="","",SUMIF(Wyniki!$C$2:$C$501,A104,Wyniki!$O$2:$O$501))</f>
        <v/>
      </c>
      <c r="I104" s="4" t="str">
        <f t="shared" si="6"/>
        <v/>
      </c>
      <c r="J104" s="4" t="str">
        <f t="shared" si="7"/>
        <v/>
      </c>
    </row>
    <row r="105" spans="1:10" x14ac:dyDescent="0.25">
      <c r="A105" s="4"/>
      <c r="B105" s="4"/>
      <c r="C105" s="4"/>
      <c r="D105" s="4"/>
      <c r="E105" s="4" t="str">
        <f ca="1">IFERROR(_xludf.XLOOKUP(A105,Milestones!$A$2:$A$501,Milestones!$M$2:$M$501),"")</f>
        <v/>
      </c>
      <c r="F105" s="4" t="str">
        <f t="shared" ca="1" si="4"/>
        <v/>
      </c>
      <c r="G105" s="4" t="str">
        <f t="shared" si="5"/>
        <v/>
      </c>
      <c r="H105" s="4" t="str">
        <f>IF(A105="","",SUMIF(Wyniki!$C$2:$C$501,A105,Wyniki!$O$2:$O$501))</f>
        <v/>
      </c>
      <c r="I105" s="4" t="str">
        <f t="shared" si="6"/>
        <v/>
      </c>
      <c r="J105" s="4" t="str">
        <f t="shared" si="7"/>
        <v/>
      </c>
    </row>
    <row r="106" spans="1:10" x14ac:dyDescent="0.25">
      <c r="A106" s="4"/>
      <c r="B106" s="4"/>
      <c r="C106" s="4"/>
      <c r="D106" s="4"/>
      <c r="E106" s="4" t="str">
        <f ca="1">IFERROR(_xludf.XLOOKUP(A106,Milestones!$A$2:$A$501,Milestones!$M$2:$M$501),"")</f>
        <v/>
      </c>
      <c r="F106" s="4" t="str">
        <f t="shared" ca="1" si="4"/>
        <v/>
      </c>
      <c r="G106" s="4" t="str">
        <f t="shared" si="5"/>
        <v/>
      </c>
      <c r="H106" s="4" t="str">
        <f>IF(A106="","",SUMIF(Wyniki!$C$2:$C$501,A106,Wyniki!$O$2:$O$501))</f>
        <v/>
      </c>
      <c r="I106" s="4" t="str">
        <f t="shared" si="6"/>
        <v/>
      </c>
      <c r="J106" s="4" t="str">
        <f t="shared" si="7"/>
        <v/>
      </c>
    </row>
    <row r="107" spans="1:10" x14ac:dyDescent="0.25">
      <c r="A107" s="4"/>
      <c r="B107" s="4"/>
      <c r="C107" s="4"/>
      <c r="D107" s="4"/>
      <c r="E107" s="4" t="str">
        <f ca="1">IFERROR(_xludf.XLOOKUP(A107,Milestones!$A$2:$A$501,Milestones!$M$2:$M$501),"")</f>
        <v/>
      </c>
      <c r="F107" s="4" t="str">
        <f t="shared" ca="1" si="4"/>
        <v/>
      </c>
      <c r="G107" s="4" t="str">
        <f t="shared" si="5"/>
        <v/>
      </c>
      <c r="H107" s="4" t="str">
        <f>IF(A107="","",SUMIF(Wyniki!$C$2:$C$501,A107,Wyniki!$O$2:$O$501))</f>
        <v/>
      </c>
      <c r="I107" s="4" t="str">
        <f t="shared" si="6"/>
        <v/>
      </c>
      <c r="J107" s="4" t="str">
        <f t="shared" si="7"/>
        <v/>
      </c>
    </row>
    <row r="108" spans="1:10" x14ac:dyDescent="0.25">
      <c r="A108" s="4"/>
      <c r="B108" s="4"/>
      <c r="C108" s="4"/>
      <c r="D108" s="4"/>
      <c r="E108" s="4" t="str">
        <f ca="1">IFERROR(_xludf.XLOOKUP(A108,Milestones!$A$2:$A$501,Milestones!$M$2:$M$501),"")</f>
        <v/>
      </c>
      <c r="F108" s="4" t="str">
        <f t="shared" ca="1" si="4"/>
        <v/>
      </c>
      <c r="G108" s="4" t="str">
        <f t="shared" si="5"/>
        <v/>
      </c>
      <c r="H108" s="4" t="str">
        <f>IF(A108="","",SUMIF(Wyniki!$C$2:$C$501,A108,Wyniki!$O$2:$O$501))</f>
        <v/>
      </c>
      <c r="I108" s="4" t="str">
        <f t="shared" si="6"/>
        <v/>
      </c>
      <c r="J108" s="4" t="str">
        <f t="shared" si="7"/>
        <v/>
      </c>
    </row>
    <row r="109" spans="1:10" x14ac:dyDescent="0.25">
      <c r="A109" s="4"/>
      <c r="B109" s="4"/>
      <c r="C109" s="4"/>
      <c r="D109" s="4"/>
      <c r="E109" s="4" t="str">
        <f ca="1">IFERROR(_xludf.XLOOKUP(A109,Milestones!$A$2:$A$501,Milestones!$M$2:$M$501),"")</f>
        <v/>
      </c>
      <c r="F109" s="4" t="str">
        <f t="shared" ca="1" si="4"/>
        <v/>
      </c>
      <c r="G109" s="4" t="str">
        <f t="shared" si="5"/>
        <v/>
      </c>
      <c r="H109" s="4" t="str">
        <f>IF(A109="","",SUMIF(Wyniki!$C$2:$C$501,A109,Wyniki!$O$2:$O$501))</f>
        <v/>
      </c>
      <c r="I109" s="4" t="str">
        <f t="shared" si="6"/>
        <v/>
      </c>
      <c r="J109" s="4" t="str">
        <f t="shared" si="7"/>
        <v/>
      </c>
    </row>
    <row r="110" spans="1:10" x14ac:dyDescent="0.25">
      <c r="A110" s="4"/>
      <c r="B110" s="4"/>
      <c r="C110" s="4"/>
      <c r="D110" s="4"/>
      <c r="E110" s="4" t="str">
        <f ca="1">IFERROR(_xludf.XLOOKUP(A110,Milestones!$A$2:$A$501,Milestones!$M$2:$M$501),"")</f>
        <v/>
      </c>
      <c r="F110" s="4" t="str">
        <f t="shared" ca="1" si="4"/>
        <v/>
      </c>
      <c r="G110" s="4" t="str">
        <f t="shared" si="5"/>
        <v/>
      </c>
      <c r="H110" s="4" t="str">
        <f>IF(A110="","",SUMIF(Wyniki!$C$2:$C$501,A110,Wyniki!$O$2:$O$501))</f>
        <v/>
      </c>
      <c r="I110" s="4" t="str">
        <f t="shared" si="6"/>
        <v/>
      </c>
      <c r="J110" s="4" t="str">
        <f t="shared" si="7"/>
        <v/>
      </c>
    </row>
    <row r="111" spans="1:10" x14ac:dyDescent="0.25">
      <c r="A111" s="4"/>
      <c r="B111" s="4"/>
      <c r="C111" s="4"/>
      <c r="D111" s="4"/>
      <c r="E111" s="4" t="str">
        <f ca="1">IFERROR(_xludf.XLOOKUP(A111,Milestones!$A$2:$A$501,Milestones!$M$2:$M$501),"")</f>
        <v/>
      </c>
      <c r="F111" s="4" t="str">
        <f t="shared" ca="1" si="4"/>
        <v/>
      </c>
      <c r="G111" s="4" t="str">
        <f t="shared" si="5"/>
        <v/>
      </c>
      <c r="H111" s="4" t="str">
        <f>IF(A111="","",SUMIF(Wyniki!$C$2:$C$501,A111,Wyniki!$O$2:$O$501))</f>
        <v/>
      </c>
      <c r="I111" s="4" t="str">
        <f t="shared" si="6"/>
        <v/>
      </c>
      <c r="J111" s="4" t="str">
        <f t="shared" si="7"/>
        <v/>
      </c>
    </row>
    <row r="112" spans="1:10" x14ac:dyDescent="0.25">
      <c r="A112" s="4"/>
      <c r="B112" s="4"/>
      <c r="C112" s="4"/>
      <c r="D112" s="4"/>
      <c r="E112" s="4" t="str">
        <f ca="1">IFERROR(_xludf.XLOOKUP(A112,Milestones!$A$2:$A$501,Milestones!$M$2:$M$501),"")</f>
        <v/>
      </c>
      <c r="F112" s="4" t="str">
        <f t="shared" ca="1" si="4"/>
        <v/>
      </c>
      <c r="G112" s="4" t="str">
        <f t="shared" si="5"/>
        <v/>
      </c>
      <c r="H112" s="4" t="str">
        <f>IF(A112="","",SUMIF(Wyniki!$C$2:$C$501,A112,Wyniki!$O$2:$O$501))</f>
        <v/>
      </c>
      <c r="I112" s="4" t="str">
        <f t="shared" si="6"/>
        <v/>
      </c>
      <c r="J112" s="4" t="str">
        <f t="shared" si="7"/>
        <v/>
      </c>
    </row>
    <row r="113" spans="1:10" x14ac:dyDescent="0.25">
      <c r="A113" s="4"/>
      <c r="B113" s="4"/>
      <c r="C113" s="4"/>
      <c r="D113" s="4"/>
      <c r="E113" s="4" t="str">
        <f ca="1">IFERROR(_xludf.XLOOKUP(A113,Milestones!$A$2:$A$501,Milestones!$M$2:$M$501),"")</f>
        <v/>
      </c>
      <c r="F113" s="4" t="str">
        <f t="shared" ca="1" si="4"/>
        <v/>
      </c>
      <c r="G113" s="4" t="str">
        <f t="shared" si="5"/>
        <v/>
      </c>
      <c r="H113" s="4" t="str">
        <f>IF(A113="","",SUMIF(Wyniki!$C$2:$C$501,A113,Wyniki!$O$2:$O$501))</f>
        <v/>
      </c>
      <c r="I113" s="4" t="str">
        <f t="shared" si="6"/>
        <v/>
      </c>
      <c r="J113" s="4" t="str">
        <f t="shared" si="7"/>
        <v/>
      </c>
    </row>
    <row r="114" spans="1:10" x14ac:dyDescent="0.25">
      <c r="A114" s="4"/>
      <c r="B114" s="4"/>
      <c r="C114" s="4"/>
      <c r="D114" s="4"/>
      <c r="E114" s="4" t="str">
        <f ca="1">IFERROR(_xludf.XLOOKUP(A114,Milestones!$A$2:$A$501,Milestones!$M$2:$M$501),"")</f>
        <v/>
      </c>
      <c r="F114" s="4" t="str">
        <f t="shared" ca="1" si="4"/>
        <v/>
      </c>
      <c r="G114" s="4" t="str">
        <f t="shared" si="5"/>
        <v/>
      </c>
      <c r="H114" s="4" t="str">
        <f>IF(A114="","",SUMIF(Wyniki!$C$2:$C$501,A114,Wyniki!$O$2:$O$501))</f>
        <v/>
      </c>
      <c r="I114" s="4" t="str">
        <f t="shared" si="6"/>
        <v/>
      </c>
      <c r="J114" s="4" t="str">
        <f t="shared" si="7"/>
        <v/>
      </c>
    </row>
    <row r="115" spans="1:10" x14ac:dyDescent="0.25">
      <c r="A115" s="4"/>
      <c r="B115" s="4"/>
      <c r="C115" s="4"/>
      <c r="D115" s="4"/>
      <c r="E115" s="4" t="str">
        <f ca="1">IFERROR(_xludf.XLOOKUP(A115,Milestones!$A$2:$A$501,Milestones!$M$2:$M$501),"")</f>
        <v/>
      </c>
      <c r="F115" s="4" t="str">
        <f t="shared" ca="1" si="4"/>
        <v/>
      </c>
      <c r="G115" s="4" t="str">
        <f t="shared" si="5"/>
        <v/>
      </c>
      <c r="H115" s="4" t="str">
        <f>IF(A115="","",SUMIF(Wyniki!$C$2:$C$501,A115,Wyniki!$O$2:$O$501))</f>
        <v/>
      </c>
      <c r="I115" s="4" t="str">
        <f t="shared" si="6"/>
        <v/>
      </c>
      <c r="J115" s="4" t="str">
        <f t="shared" si="7"/>
        <v/>
      </c>
    </row>
    <row r="116" spans="1:10" x14ac:dyDescent="0.25">
      <c r="A116" s="4"/>
      <c r="B116" s="4"/>
      <c r="C116" s="4"/>
      <c r="D116" s="4"/>
      <c r="E116" s="4" t="str">
        <f ca="1">IFERROR(_xludf.XLOOKUP(A116,Milestones!$A$2:$A$501,Milestones!$M$2:$M$501),"")</f>
        <v/>
      </c>
      <c r="F116" s="4" t="str">
        <f t="shared" ca="1" si="4"/>
        <v/>
      </c>
      <c r="G116" s="4" t="str">
        <f t="shared" si="5"/>
        <v/>
      </c>
      <c r="H116" s="4" t="str">
        <f>IF(A116="","",SUMIF(Wyniki!$C$2:$C$501,A116,Wyniki!$O$2:$O$501))</f>
        <v/>
      </c>
      <c r="I116" s="4" t="str">
        <f t="shared" si="6"/>
        <v/>
      </c>
      <c r="J116" s="4" t="str">
        <f t="shared" si="7"/>
        <v/>
      </c>
    </row>
    <row r="117" spans="1:10" x14ac:dyDescent="0.25">
      <c r="A117" s="4"/>
      <c r="B117" s="4"/>
      <c r="C117" s="4"/>
      <c r="D117" s="4"/>
      <c r="E117" s="4" t="str">
        <f ca="1">IFERROR(_xludf.XLOOKUP(A117,Milestones!$A$2:$A$501,Milestones!$M$2:$M$501),"")</f>
        <v/>
      </c>
      <c r="F117" s="4" t="str">
        <f t="shared" ca="1" si="4"/>
        <v/>
      </c>
      <c r="G117" s="4" t="str">
        <f t="shared" si="5"/>
        <v/>
      </c>
      <c r="H117" s="4" t="str">
        <f>IF(A117="","",SUMIF(Wyniki!$C$2:$C$501,A117,Wyniki!$O$2:$O$501))</f>
        <v/>
      </c>
      <c r="I117" s="4" t="str">
        <f t="shared" si="6"/>
        <v/>
      </c>
      <c r="J117" s="4" t="str">
        <f t="shared" si="7"/>
        <v/>
      </c>
    </row>
    <row r="118" spans="1:10" x14ac:dyDescent="0.25">
      <c r="A118" s="4"/>
      <c r="B118" s="4"/>
      <c r="C118" s="4"/>
      <c r="D118" s="4"/>
      <c r="E118" s="4" t="str">
        <f ca="1">IFERROR(_xludf.XLOOKUP(A118,Milestones!$A$2:$A$501,Milestones!$M$2:$M$501),"")</f>
        <v/>
      </c>
      <c r="F118" s="4" t="str">
        <f t="shared" ca="1" si="4"/>
        <v/>
      </c>
      <c r="G118" s="4" t="str">
        <f t="shared" si="5"/>
        <v/>
      </c>
      <c r="H118" s="4" t="str">
        <f>IF(A118="","",SUMIF(Wyniki!$C$2:$C$501,A118,Wyniki!$O$2:$O$501))</f>
        <v/>
      </c>
      <c r="I118" s="4" t="str">
        <f t="shared" si="6"/>
        <v/>
      </c>
      <c r="J118" s="4" t="str">
        <f t="shared" si="7"/>
        <v/>
      </c>
    </row>
    <row r="119" spans="1:10" x14ac:dyDescent="0.25">
      <c r="A119" s="4"/>
      <c r="B119" s="4"/>
      <c r="C119" s="4"/>
      <c r="D119" s="4"/>
      <c r="E119" s="4" t="str">
        <f ca="1">IFERROR(_xludf.XLOOKUP(A119,Milestones!$A$2:$A$501,Milestones!$M$2:$M$501),"")</f>
        <v/>
      </c>
      <c r="F119" s="4" t="str">
        <f t="shared" ca="1" si="4"/>
        <v/>
      </c>
      <c r="G119" s="4" t="str">
        <f t="shared" si="5"/>
        <v/>
      </c>
      <c r="H119" s="4" t="str">
        <f>IF(A119="","",SUMIF(Wyniki!$C$2:$C$501,A119,Wyniki!$O$2:$O$501))</f>
        <v/>
      </c>
      <c r="I119" s="4" t="str">
        <f t="shared" si="6"/>
        <v/>
      </c>
      <c r="J119" s="4" t="str">
        <f t="shared" si="7"/>
        <v/>
      </c>
    </row>
    <row r="120" spans="1:10" x14ac:dyDescent="0.25">
      <c r="A120" s="4"/>
      <c r="B120" s="4"/>
      <c r="C120" s="4"/>
      <c r="D120" s="4"/>
      <c r="E120" s="4" t="str">
        <f ca="1">IFERROR(_xludf.XLOOKUP(A120,Milestones!$A$2:$A$501,Milestones!$M$2:$M$501),"")</f>
        <v/>
      </c>
      <c r="F120" s="4" t="str">
        <f t="shared" ca="1" si="4"/>
        <v/>
      </c>
      <c r="G120" s="4" t="str">
        <f t="shared" si="5"/>
        <v/>
      </c>
      <c r="H120" s="4" t="str">
        <f>IF(A120="","",SUMIF(Wyniki!$C$2:$C$501,A120,Wyniki!$O$2:$O$501))</f>
        <v/>
      </c>
      <c r="I120" s="4" t="str">
        <f t="shared" si="6"/>
        <v/>
      </c>
      <c r="J120" s="4" t="str">
        <f t="shared" si="7"/>
        <v/>
      </c>
    </row>
    <row r="121" spans="1:10" x14ac:dyDescent="0.25">
      <c r="A121" s="4"/>
      <c r="B121" s="4"/>
      <c r="C121" s="4"/>
      <c r="D121" s="4"/>
      <c r="E121" s="4" t="str">
        <f ca="1">IFERROR(_xludf.XLOOKUP(A121,Milestones!$A$2:$A$501,Milestones!$M$2:$M$501),"")</f>
        <v/>
      </c>
      <c r="F121" s="4" t="str">
        <f t="shared" ca="1" si="4"/>
        <v/>
      </c>
      <c r="G121" s="4" t="str">
        <f t="shared" si="5"/>
        <v/>
      </c>
      <c r="H121" s="4" t="str">
        <f>IF(A121="","",SUMIF(Wyniki!$C$2:$C$501,A121,Wyniki!$O$2:$O$501))</f>
        <v/>
      </c>
      <c r="I121" s="4" t="str">
        <f t="shared" si="6"/>
        <v/>
      </c>
      <c r="J121" s="4" t="str">
        <f t="shared" si="7"/>
        <v/>
      </c>
    </row>
    <row r="122" spans="1:10" x14ac:dyDescent="0.25">
      <c r="A122" s="4"/>
      <c r="B122" s="4"/>
      <c r="C122" s="4"/>
      <c r="D122" s="4"/>
      <c r="E122" s="4" t="str">
        <f ca="1">IFERROR(_xludf.XLOOKUP(A122,Milestones!$A$2:$A$501,Milestones!$M$2:$M$501),"")</f>
        <v/>
      </c>
      <c r="F122" s="4" t="str">
        <f t="shared" ca="1" si="4"/>
        <v/>
      </c>
      <c r="G122" s="4" t="str">
        <f t="shared" si="5"/>
        <v/>
      </c>
      <c r="H122" s="4" t="str">
        <f>IF(A122="","",SUMIF(Wyniki!$C$2:$C$501,A122,Wyniki!$O$2:$O$501))</f>
        <v/>
      </c>
      <c r="I122" s="4" t="str">
        <f t="shared" si="6"/>
        <v/>
      </c>
      <c r="J122" s="4" t="str">
        <f t="shared" si="7"/>
        <v/>
      </c>
    </row>
    <row r="123" spans="1:10" x14ac:dyDescent="0.25">
      <c r="A123" s="4"/>
      <c r="B123" s="4"/>
      <c r="C123" s="4"/>
      <c r="D123" s="4"/>
      <c r="E123" s="4" t="str">
        <f ca="1">IFERROR(_xludf.XLOOKUP(A123,Milestones!$A$2:$A$501,Milestones!$M$2:$M$501),"")</f>
        <v/>
      </c>
      <c r="F123" s="4" t="str">
        <f t="shared" ca="1" si="4"/>
        <v/>
      </c>
      <c r="G123" s="4" t="str">
        <f t="shared" si="5"/>
        <v/>
      </c>
      <c r="H123" s="4" t="str">
        <f>IF(A123="","",SUMIF(Wyniki!$C$2:$C$501,A123,Wyniki!$O$2:$O$501))</f>
        <v/>
      </c>
      <c r="I123" s="4" t="str">
        <f t="shared" si="6"/>
        <v/>
      </c>
      <c r="J123" s="4" t="str">
        <f t="shared" si="7"/>
        <v/>
      </c>
    </row>
    <row r="124" spans="1:10" x14ac:dyDescent="0.25">
      <c r="A124" s="4"/>
      <c r="B124" s="4"/>
      <c r="C124" s="4"/>
      <c r="D124" s="4"/>
      <c r="E124" s="4" t="str">
        <f ca="1">IFERROR(_xludf.XLOOKUP(A124,Milestones!$A$2:$A$501,Milestones!$M$2:$M$501),"")</f>
        <v/>
      </c>
      <c r="F124" s="4" t="str">
        <f t="shared" ca="1" si="4"/>
        <v/>
      </c>
      <c r="G124" s="4" t="str">
        <f t="shared" si="5"/>
        <v/>
      </c>
      <c r="H124" s="4" t="str">
        <f>IF(A124="","",SUMIF(Wyniki!$C$2:$C$501,A124,Wyniki!$O$2:$O$501))</f>
        <v/>
      </c>
      <c r="I124" s="4" t="str">
        <f t="shared" si="6"/>
        <v/>
      </c>
      <c r="J124" s="4" t="str">
        <f t="shared" si="7"/>
        <v/>
      </c>
    </row>
    <row r="125" spans="1:10" x14ac:dyDescent="0.25">
      <c r="A125" s="4"/>
      <c r="B125" s="4"/>
      <c r="C125" s="4"/>
      <c r="D125" s="4"/>
      <c r="E125" s="4" t="str">
        <f ca="1">IFERROR(_xludf.XLOOKUP(A125,Milestones!$A$2:$A$501,Milestones!$M$2:$M$501),"")</f>
        <v/>
      </c>
      <c r="F125" s="4" t="str">
        <f t="shared" ca="1" si="4"/>
        <v/>
      </c>
      <c r="G125" s="4" t="str">
        <f t="shared" si="5"/>
        <v/>
      </c>
      <c r="H125" s="4" t="str">
        <f>IF(A125="","",SUMIF(Wyniki!$C$2:$C$501,A125,Wyniki!$O$2:$O$501))</f>
        <v/>
      </c>
      <c r="I125" s="4" t="str">
        <f t="shared" si="6"/>
        <v/>
      </c>
      <c r="J125" s="4" t="str">
        <f t="shared" si="7"/>
        <v/>
      </c>
    </row>
    <row r="126" spans="1:10" x14ac:dyDescent="0.25">
      <c r="A126" s="4"/>
      <c r="B126" s="4"/>
      <c r="C126" s="4"/>
      <c r="D126" s="4"/>
      <c r="E126" s="4" t="str">
        <f ca="1">IFERROR(_xludf.XLOOKUP(A126,Milestones!$A$2:$A$501,Milestones!$M$2:$M$501),"")</f>
        <v/>
      </c>
      <c r="F126" s="4" t="str">
        <f t="shared" ca="1" si="4"/>
        <v/>
      </c>
      <c r="G126" s="4" t="str">
        <f t="shared" si="5"/>
        <v/>
      </c>
      <c r="H126" s="4" t="str">
        <f>IF(A126="","",SUMIF(Wyniki!$C$2:$C$501,A126,Wyniki!$O$2:$O$501))</f>
        <v/>
      </c>
      <c r="I126" s="4" t="str">
        <f t="shared" si="6"/>
        <v/>
      </c>
      <c r="J126" s="4" t="str">
        <f t="shared" si="7"/>
        <v/>
      </c>
    </row>
    <row r="127" spans="1:10" x14ac:dyDescent="0.25">
      <c r="A127" s="4"/>
      <c r="B127" s="4"/>
      <c r="C127" s="4"/>
      <c r="D127" s="4"/>
      <c r="E127" s="4" t="str">
        <f ca="1">IFERROR(_xludf.XLOOKUP(A127,Milestones!$A$2:$A$501,Milestones!$M$2:$M$501),"")</f>
        <v/>
      </c>
      <c r="F127" s="4" t="str">
        <f t="shared" ca="1" si="4"/>
        <v/>
      </c>
      <c r="G127" s="4" t="str">
        <f t="shared" si="5"/>
        <v/>
      </c>
      <c r="H127" s="4" t="str">
        <f>IF(A127="","",SUMIF(Wyniki!$C$2:$C$501,A127,Wyniki!$O$2:$O$501))</f>
        <v/>
      </c>
      <c r="I127" s="4" t="str">
        <f t="shared" si="6"/>
        <v/>
      </c>
      <c r="J127" s="4" t="str">
        <f t="shared" si="7"/>
        <v/>
      </c>
    </row>
    <row r="128" spans="1:10" x14ac:dyDescent="0.25">
      <c r="A128" s="4"/>
      <c r="B128" s="4"/>
      <c r="C128" s="4"/>
      <c r="D128" s="4"/>
      <c r="E128" s="4" t="str">
        <f ca="1">IFERROR(_xludf.XLOOKUP(A128,Milestones!$A$2:$A$501,Milestones!$M$2:$M$501),"")</f>
        <v/>
      </c>
      <c r="F128" s="4" t="str">
        <f t="shared" ca="1" si="4"/>
        <v/>
      </c>
      <c r="G128" s="4" t="str">
        <f t="shared" si="5"/>
        <v/>
      </c>
      <c r="H128" s="4" t="str">
        <f>IF(A128="","",SUMIF(Wyniki!$C$2:$C$501,A128,Wyniki!$O$2:$O$501))</f>
        <v/>
      </c>
      <c r="I128" s="4" t="str">
        <f t="shared" si="6"/>
        <v/>
      </c>
      <c r="J128" s="4" t="str">
        <f t="shared" si="7"/>
        <v/>
      </c>
    </row>
    <row r="129" spans="1:10" x14ac:dyDescent="0.25">
      <c r="A129" s="4"/>
      <c r="B129" s="4"/>
      <c r="C129" s="4"/>
      <c r="D129" s="4"/>
      <c r="E129" s="4" t="str">
        <f ca="1">IFERROR(_xludf.XLOOKUP(A129,Milestones!$A$2:$A$501,Milestones!$M$2:$M$501),"")</f>
        <v/>
      </c>
      <c r="F129" s="4" t="str">
        <f t="shared" ca="1" si="4"/>
        <v/>
      </c>
      <c r="G129" s="4" t="str">
        <f t="shared" si="5"/>
        <v/>
      </c>
      <c r="H129" s="4" t="str">
        <f>IF(A129="","",SUMIF(Wyniki!$C$2:$C$501,A129,Wyniki!$O$2:$O$501))</f>
        <v/>
      </c>
      <c r="I129" s="4" t="str">
        <f t="shared" si="6"/>
        <v/>
      </c>
      <c r="J129" s="4" t="str">
        <f t="shared" si="7"/>
        <v/>
      </c>
    </row>
    <row r="130" spans="1:10" x14ac:dyDescent="0.25">
      <c r="A130" s="4"/>
      <c r="B130" s="4"/>
      <c r="C130" s="4"/>
      <c r="D130" s="4"/>
      <c r="E130" s="4" t="str">
        <f ca="1">IFERROR(_xludf.XLOOKUP(A130,Milestones!$A$2:$A$501,Milestones!$M$2:$M$501),"")</f>
        <v/>
      </c>
      <c r="F130" s="4" t="str">
        <f t="shared" ref="F130:F193" ca="1" si="8">IF(E130="","",MIN(E130,1))</f>
        <v/>
      </c>
      <c r="G130" s="4" t="str">
        <f t="shared" ref="G130:G193" si="9">IF(D130="","",ROUNDDOWN(D130*F130,2))</f>
        <v/>
      </c>
      <c r="H130" s="4" t="str">
        <f>IF(A130="","",SUMIF(Wyniki!$C$2:$C$501,A130,Wyniki!$O$2:$O$501))</f>
        <v/>
      </c>
      <c r="I130" s="4" t="str">
        <f t="shared" ref="I130:I193" si="10">IF(G130="","",MAX(0,G130-H130))</f>
        <v/>
      </c>
      <c r="J130" s="4" t="str">
        <f t="shared" ref="J130:J193" si="11">IF(A130="","",IF(H130&lt;=G130,"OK","NIE"))</f>
        <v/>
      </c>
    </row>
    <row r="131" spans="1:10" x14ac:dyDescent="0.25">
      <c r="A131" s="4"/>
      <c r="B131" s="4"/>
      <c r="C131" s="4"/>
      <c r="D131" s="4"/>
      <c r="E131" s="4" t="str">
        <f ca="1">IFERROR(_xludf.XLOOKUP(A131,Milestones!$A$2:$A$501,Milestones!$M$2:$M$501),"")</f>
        <v/>
      </c>
      <c r="F131" s="4" t="str">
        <f t="shared" ca="1" si="8"/>
        <v/>
      </c>
      <c r="G131" s="4" t="str">
        <f t="shared" si="9"/>
        <v/>
      </c>
      <c r="H131" s="4" t="str">
        <f>IF(A131="","",SUMIF(Wyniki!$C$2:$C$501,A131,Wyniki!$O$2:$O$501))</f>
        <v/>
      </c>
      <c r="I131" s="4" t="str">
        <f t="shared" si="10"/>
        <v/>
      </c>
      <c r="J131" s="4" t="str">
        <f t="shared" si="11"/>
        <v/>
      </c>
    </row>
    <row r="132" spans="1:10" x14ac:dyDescent="0.25">
      <c r="A132" s="4"/>
      <c r="B132" s="4"/>
      <c r="C132" s="4"/>
      <c r="D132" s="4"/>
      <c r="E132" s="4" t="str">
        <f ca="1">IFERROR(_xludf.XLOOKUP(A132,Milestones!$A$2:$A$501,Milestones!$M$2:$M$501),"")</f>
        <v/>
      </c>
      <c r="F132" s="4" t="str">
        <f t="shared" ca="1" si="8"/>
        <v/>
      </c>
      <c r="G132" s="4" t="str">
        <f t="shared" si="9"/>
        <v/>
      </c>
      <c r="H132" s="4" t="str">
        <f>IF(A132="","",SUMIF(Wyniki!$C$2:$C$501,A132,Wyniki!$O$2:$O$501))</f>
        <v/>
      </c>
      <c r="I132" s="4" t="str">
        <f t="shared" si="10"/>
        <v/>
      </c>
      <c r="J132" s="4" t="str">
        <f t="shared" si="11"/>
        <v/>
      </c>
    </row>
    <row r="133" spans="1:10" x14ac:dyDescent="0.25">
      <c r="A133" s="4"/>
      <c r="B133" s="4"/>
      <c r="C133" s="4"/>
      <c r="D133" s="4"/>
      <c r="E133" s="4" t="str">
        <f ca="1">IFERROR(_xludf.XLOOKUP(A133,Milestones!$A$2:$A$501,Milestones!$M$2:$M$501),"")</f>
        <v/>
      </c>
      <c r="F133" s="4" t="str">
        <f t="shared" ca="1" si="8"/>
        <v/>
      </c>
      <c r="G133" s="4" t="str">
        <f t="shared" si="9"/>
        <v/>
      </c>
      <c r="H133" s="4" t="str">
        <f>IF(A133="","",SUMIF(Wyniki!$C$2:$C$501,A133,Wyniki!$O$2:$O$501))</f>
        <v/>
      </c>
      <c r="I133" s="4" t="str">
        <f t="shared" si="10"/>
        <v/>
      </c>
      <c r="J133" s="4" t="str">
        <f t="shared" si="11"/>
        <v/>
      </c>
    </row>
    <row r="134" spans="1:10" x14ac:dyDescent="0.25">
      <c r="A134" s="4"/>
      <c r="B134" s="4"/>
      <c r="C134" s="4"/>
      <c r="D134" s="4"/>
      <c r="E134" s="4" t="str">
        <f ca="1">IFERROR(_xludf.XLOOKUP(A134,Milestones!$A$2:$A$501,Milestones!$M$2:$M$501),"")</f>
        <v/>
      </c>
      <c r="F134" s="4" t="str">
        <f t="shared" ca="1" si="8"/>
        <v/>
      </c>
      <c r="G134" s="4" t="str">
        <f t="shared" si="9"/>
        <v/>
      </c>
      <c r="H134" s="4" t="str">
        <f>IF(A134="","",SUMIF(Wyniki!$C$2:$C$501,A134,Wyniki!$O$2:$O$501))</f>
        <v/>
      </c>
      <c r="I134" s="4" t="str">
        <f t="shared" si="10"/>
        <v/>
      </c>
      <c r="J134" s="4" t="str">
        <f t="shared" si="11"/>
        <v/>
      </c>
    </row>
    <row r="135" spans="1:10" x14ac:dyDescent="0.25">
      <c r="A135" s="4"/>
      <c r="B135" s="4"/>
      <c r="C135" s="4"/>
      <c r="D135" s="4"/>
      <c r="E135" s="4" t="str">
        <f ca="1">IFERROR(_xludf.XLOOKUP(A135,Milestones!$A$2:$A$501,Milestones!$M$2:$M$501),"")</f>
        <v/>
      </c>
      <c r="F135" s="4" t="str">
        <f t="shared" ca="1" si="8"/>
        <v/>
      </c>
      <c r="G135" s="4" t="str">
        <f t="shared" si="9"/>
        <v/>
      </c>
      <c r="H135" s="4" t="str">
        <f>IF(A135="","",SUMIF(Wyniki!$C$2:$C$501,A135,Wyniki!$O$2:$O$501))</f>
        <v/>
      </c>
      <c r="I135" s="4" t="str">
        <f t="shared" si="10"/>
        <v/>
      </c>
      <c r="J135" s="4" t="str">
        <f t="shared" si="11"/>
        <v/>
      </c>
    </row>
    <row r="136" spans="1:10" x14ac:dyDescent="0.25">
      <c r="A136" s="4"/>
      <c r="B136" s="4"/>
      <c r="C136" s="4"/>
      <c r="D136" s="4"/>
      <c r="E136" s="4" t="str">
        <f ca="1">IFERROR(_xludf.XLOOKUP(A136,Milestones!$A$2:$A$501,Milestones!$M$2:$M$501),"")</f>
        <v/>
      </c>
      <c r="F136" s="4" t="str">
        <f t="shared" ca="1" si="8"/>
        <v/>
      </c>
      <c r="G136" s="4" t="str">
        <f t="shared" si="9"/>
        <v/>
      </c>
      <c r="H136" s="4" t="str">
        <f>IF(A136="","",SUMIF(Wyniki!$C$2:$C$501,A136,Wyniki!$O$2:$O$501))</f>
        <v/>
      </c>
      <c r="I136" s="4" t="str">
        <f t="shared" si="10"/>
        <v/>
      </c>
      <c r="J136" s="4" t="str">
        <f t="shared" si="11"/>
        <v/>
      </c>
    </row>
    <row r="137" spans="1:10" x14ac:dyDescent="0.25">
      <c r="A137" s="4"/>
      <c r="B137" s="4"/>
      <c r="C137" s="4"/>
      <c r="D137" s="4"/>
      <c r="E137" s="4" t="str">
        <f ca="1">IFERROR(_xludf.XLOOKUP(A137,Milestones!$A$2:$A$501,Milestones!$M$2:$M$501),"")</f>
        <v/>
      </c>
      <c r="F137" s="4" t="str">
        <f t="shared" ca="1" si="8"/>
        <v/>
      </c>
      <c r="G137" s="4" t="str">
        <f t="shared" si="9"/>
        <v/>
      </c>
      <c r="H137" s="4" t="str">
        <f>IF(A137="","",SUMIF(Wyniki!$C$2:$C$501,A137,Wyniki!$O$2:$O$501))</f>
        <v/>
      </c>
      <c r="I137" s="4" t="str">
        <f t="shared" si="10"/>
        <v/>
      </c>
      <c r="J137" s="4" t="str">
        <f t="shared" si="11"/>
        <v/>
      </c>
    </row>
    <row r="138" spans="1:10" x14ac:dyDescent="0.25">
      <c r="A138" s="4"/>
      <c r="B138" s="4"/>
      <c r="C138" s="4"/>
      <c r="D138" s="4"/>
      <c r="E138" s="4" t="str">
        <f ca="1">IFERROR(_xludf.XLOOKUP(A138,Milestones!$A$2:$A$501,Milestones!$M$2:$M$501),"")</f>
        <v/>
      </c>
      <c r="F138" s="4" t="str">
        <f t="shared" ca="1" si="8"/>
        <v/>
      </c>
      <c r="G138" s="4" t="str">
        <f t="shared" si="9"/>
        <v/>
      </c>
      <c r="H138" s="4" t="str">
        <f>IF(A138="","",SUMIF(Wyniki!$C$2:$C$501,A138,Wyniki!$O$2:$O$501))</f>
        <v/>
      </c>
      <c r="I138" s="4" t="str">
        <f t="shared" si="10"/>
        <v/>
      </c>
      <c r="J138" s="4" t="str">
        <f t="shared" si="11"/>
        <v/>
      </c>
    </row>
    <row r="139" spans="1:10" x14ac:dyDescent="0.25">
      <c r="A139" s="4"/>
      <c r="B139" s="4"/>
      <c r="C139" s="4"/>
      <c r="D139" s="4"/>
      <c r="E139" s="4" t="str">
        <f ca="1">IFERROR(_xludf.XLOOKUP(A139,Milestones!$A$2:$A$501,Milestones!$M$2:$M$501),"")</f>
        <v/>
      </c>
      <c r="F139" s="4" t="str">
        <f t="shared" ca="1" si="8"/>
        <v/>
      </c>
      <c r="G139" s="4" t="str">
        <f t="shared" si="9"/>
        <v/>
      </c>
      <c r="H139" s="4" t="str">
        <f>IF(A139="","",SUMIF(Wyniki!$C$2:$C$501,A139,Wyniki!$O$2:$O$501))</f>
        <v/>
      </c>
      <c r="I139" s="4" t="str">
        <f t="shared" si="10"/>
        <v/>
      </c>
      <c r="J139" s="4" t="str">
        <f t="shared" si="11"/>
        <v/>
      </c>
    </row>
    <row r="140" spans="1:10" x14ac:dyDescent="0.25">
      <c r="A140" s="4"/>
      <c r="B140" s="4"/>
      <c r="C140" s="4"/>
      <c r="D140" s="4"/>
      <c r="E140" s="4" t="str">
        <f ca="1">IFERROR(_xludf.XLOOKUP(A140,Milestones!$A$2:$A$501,Milestones!$M$2:$M$501),"")</f>
        <v/>
      </c>
      <c r="F140" s="4" t="str">
        <f t="shared" ca="1" si="8"/>
        <v/>
      </c>
      <c r="G140" s="4" t="str">
        <f t="shared" si="9"/>
        <v/>
      </c>
      <c r="H140" s="4" t="str">
        <f>IF(A140="","",SUMIF(Wyniki!$C$2:$C$501,A140,Wyniki!$O$2:$O$501))</f>
        <v/>
      </c>
      <c r="I140" s="4" t="str">
        <f t="shared" si="10"/>
        <v/>
      </c>
      <c r="J140" s="4" t="str">
        <f t="shared" si="11"/>
        <v/>
      </c>
    </row>
    <row r="141" spans="1:10" x14ac:dyDescent="0.25">
      <c r="A141" s="4"/>
      <c r="B141" s="4"/>
      <c r="C141" s="4"/>
      <c r="D141" s="4"/>
      <c r="E141" s="4" t="str">
        <f ca="1">IFERROR(_xludf.XLOOKUP(A141,Milestones!$A$2:$A$501,Milestones!$M$2:$M$501),"")</f>
        <v/>
      </c>
      <c r="F141" s="4" t="str">
        <f t="shared" ca="1" si="8"/>
        <v/>
      </c>
      <c r="G141" s="4" t="str">
        <f t="shared" si="9"/>
        <v/>
      </c>
      <c r="H141" s="4" t="str">
        <f>IF(A141="","",SUMIF(Wyniki!$C$2:$C$501,A141,Wyniki!$O$2:$O$501))</f>
        <v/>
      </c>
      <c r="I141" s="4" t="str">
        <f t="shared" si="10"/>
        <v/>
      </c>
      <c r="J141" s="4" t="str">
        <f t="shared" si="11"/>
        <v/>
      </c>
    </row>
    <row r="142" spans="1:10" x14ac:dyDescent="0.25">
      <c r="A142" s="4"/>
      <c r="B142" s="4"/>
      <c r="C142" s="4"/>
      <c r="D142" s="4"/>
      <c r="E142" s="4" t="str">
        <f ca="1">IFERROR(_xludf.XLOOKUP(A142,Milestones!$A$2:$A$501,Milestones!$M$2:$M$501),"")</f>
        <v/>
      </c>
      <c r="F142" s="4" t="str">
        <f t="shared" ca="1" si="8"/>
        <v/>
      </c>
      <c r="G142" s="4" t="str">
        <f t="shared" si="9"/>
        <v/>
      </c>
      <c r="H142" s="4" t="str">
        <f>IF(A142="","",SUMIF(Wyniki!$C$2:$C$501,A142,Wyniki!$O$2:$O$501))</f>
        <v/>
      </c>
      <c r="I142" s="4" t="str">
        <f t="shared" si="10"/>
        <v/>
      </c>
      <c r="J142" s="4" t="str">
        <f t="shared" si="11"/>
        <v/>
      </c>
    </row>
    <row r="143" spans="1:10" x14ac:dyDescent="0.25">
      <c r="A143" s="4"/>
      <c r="B143" s="4"/>
      <c r="C143" s="4"/>
      <c r="D143" s="4"/>
      <c r="E143" s="4" t="str">
        <f ca="1">IFERROR(_xludf.XLOOKUP(A143,Milestones!$A$2:$A$501,Milestones!$M$2:$M$501),"")</f>
        <v/>
      </c>
      <c r="F143" s="4" t="str">
        <f t="shared" ca="1" si="8"/>
        <v/>
      </c>
      <c r="G143" s="4" t="str">
        <f t="shared" si="9"/>
        <v/>
      </c>
      <c r="H143" s="4" t="str">
        <f>IF(A143="","",SUMIF(Wyniki!$C$2:$C$501,A143,Wyniki!$O$2:$O$501))</f>
        <v/>
      </c>
      <c r="I143" s="4" t="str">
        <f t="shared" si="10"/>
        <v/>
      </c>
      <c r="J143" s="4" t="str">
        <f t="shared" si="11"/>
        <v/>
      </c>
    </row>
    <row r="144" spans="1:10" x14ac:dyDescent="0.25">
      <c r="A144" s="4"/>
      <c r="B144" s="4"/>
      <c r="C144" s="4"/>
      <c r="D144" s="4"/>
      <c r="E144" s="4" t="str">
        <f ca="1">IFERROR(_xludf.XLOOKUP(A144,Milestones!$A$2:$A$501,Milestones!$M$2:$M$501),"")</f>
        <v/>
      </c>
      <c r="F144" s="4" t="str">
        <f t="shared" ca="1" si="8"/>
        <v/>
      </c>
      <c r="G144" s="4" t="str">
        <f t="shared" si="9"/>
        <v/>
      </c>
      <c r="H144" s="4" t="str">
        <f>IF(A144="","",SUMIF(Wyniki!$C$2:$C$501,A144,Wyniki!$O$2:$O$501))</f>
        <v/>
      </c>
      <c r="I144" s="4" t="str">
        <f t="shared" si="10"/>
        <v/>
      </c>
      <c r="J144" s="4" t="str">
        <f t="shared" si="11"/>
        <v/>
      </c>
    </row>
    <row r="145" spans="1:10" x14ac:dyDescent="0.25">
      <c r="A145" s="4"/>
      <c r="B145" s="4"/>
      <c r="C145" s="4"/>
      <c r="D145" s="4"/>
      <c r="E145" s="4" t="str">
        <f ca="1">IFERROR(_xludf.XLOOKUP(A145,Milestones!$A$2:$A$501,Milestones!$M$2:$M$501),"")</f>
        <v/>
      </c>
      <c r="F145" s="4" t="str">
        <f t="shared" ca="1" si="8"/>
        <v/>
      </c>
      <c r="G145" s="4" t="str">
        <f t="shared" si="9"/>
        <v/>
      </c>
      <c r="H145" s="4" t="str">
        <f>IF(A145="","",SUMIF(Wyniki!$C$2:$C$501,A145,Wyniki!$O$2:$O$501))</f>
        <v/>
      </c>
      <c r="I145" s="4" t="str">
        <f t="shared" si="10"/>
        <v/>
      </c>
      <c r="J145" s="4" t="str">
        <f t="shared" si="11"/>
        <v/>
      </c>
    </row>
    <row r="146" spans="1:10" x14ac:dyDescent="0.25">
      <c r="A146" s="4"/>
      <c r="B146" s="4"/>
      <c r="C146" s="4"/>
      <c r="D146" s="4"/>
      <c r="E146" s="4" t="str">
        <f ca="1">IFERROR(_xludf.XLOOKUP(A146,Milestones!$A$2:$A$501,Milestones!$M$2:$M$501),"")</f>
        <v/>
      </c>
      <c r="F146" s="4" t="str">
        <f t="shared" ca="1" si="8"/>
        <v/>
      </c>
      <c r="G146" s="4" t="str">
        <f t="shared" si="9"/>
        <v/>
      </c>
      <c r="H146" s="4" t="str">
        <f>IF(A146="","",SUMIF(Wyniki!$C$2:$C$501,A146,Wyniki!$O$2:$O$501))</f>
        <v/>
      </c>
      <c r="I146" s="4" t="str">
        <f t="shared" si="10"/>
        <v/>
      </c>
      <c r="J146" s="4" t="str">
        <f t="shared" si="11"/>
        <v/>
      </c>
    </row>
    <row r="147" spans="1:10" x14ac:dyDescent="0.25">
      <c r="A147" s="4"/>
      <c r="B147" s="4"/>
      <c r="C147" s="4"/>
      <c r="D147" s="4"/>
      <c r="E147" s="4" t="str">
        <f ca="1">IFERROR(_xludf.XLOOKUP(A147,Milestones!$A$2:$A$501,Milestones!$M$2:$M$501),"")</f>
        <v/>
      </c>
      <c r="F147" s="4" t="str">
        <f t="shared" ca="1" si="8"/>
        <v/>
      </c>
      <c r="G147" s="4" t="str">
        <f t="shared" si="9"/>
        <v/>
      </c>
      <c r="H147" s="4" t="str">
        <f>IF(A147="","",SUMIF(Wyniki!$C$2:$C$501,A147,Wyniki!$O$2:$O$501))</f>
        <v/>
      </c>
      <c r="I147" s="4" t="str">
        <f t="shared" si="10"/>
        <v/>
      </c>
      <c r="J147" s="4" t="str">
        <f t="shared" si="11"/>
        <v/>
      </c>
    </row>
    <row r="148" spans="1:10" x14ac:dyDescent="0.25">
      <c r="A148" s="4"/>
      <c r="B148" s="4"/>
      <c r="C148" s="4"/>
      <c r="D148" s="4"/>
      <c r="E148" s="4" t="str">
        <f ca="1">IFERROR(_xludf.XLOOKUP(A148,Milestones!$A$2:$A$501,Milestones!$M$2:$M$501),"")</f>
        <v/>
      </c>
      <c r="F148" s="4" t="str">
        <f t="shared" ca="1" si="8"/>
        <v/>
      </c>
      <c r="G148" s="4" t="str">
        <f t="shared" si="9"/>
        <v/>
      </c>
      <c r="H148" s="4" t="str">
        <f>IF(A148="","",SUMIF(Wyniki!$C$2:$C$501,A148,Wyniki!$O$2:$O$501))</f>
        <v/>
      </c>
      <c r="I148" s="4" t="str">
        <f t="shared" si="10"/>
        <v/>
      </c>
      <c r="J148" s="4" t="str">
        <f t="shared" si="11"/>
        <v/>
      </c>
    </row>
    <row r="149" spans="1:10" x14ac:dyDescent="0.25">
      <c r="A149" s="4"/>
      <c r="B149" s="4"/>
      <c r="C149" s="4"/>
      <c r="D149" s="4"/>
      <c r="E149" s="4" t="str">
        <f ca="1">IFERROR(_xludf.XLOOKUP(A149,Milestones!$A$2:$A$501,Milestones!$M$2:$M$501),"")</f>
        <v/>
      </c>
      <c r="F149" s="4" t="str">
        <f t="shared" ca="1" si="8"/>
        <v/>
      </c>
      <c r="G149" s="4" t="str">
        <f t="shared" si="9"/>
        <v/>
      </c>
      <c r="H149" s="4" t="str">
        <f>IF(A149="","",SUMIF(Wyniki!$C$2:$C$501,A149,Wyniki!$O$2:$O$501))</f>
        <v/>
      </c>
      <c r="I149" s="4" t="str">
        <f t="shared" si="10"/>
        <v/>
      </c>
      <c r="J149" s="4" t="str">
        <f t="shared" si="11"/>
        <v/>
      </c>
    </row>
    <row r="150" spans="1:10" x14ac:dyDescent="0.25">
      <c r="A150" s="4"/>
      <c r="B150" s="4"/>
      <c r="C150" s="4"/>
      <c r="D150" s="4"/>
      <c r="E150" s="4" t="str">
        <f ca="1">IFERROR(_xludf.XLOOKUP(A150,Milestones!$A$2:$A$501,Milestones!$M$2:$M$501),"")</f>
        <v/>
      </c>
      <c r="F150" s="4" t="str">
        <f t="shared" ca="1" si="8"/>
        <v/>
      </c>
      <c r="G150" s="4" t="str">
        <f t="shared" si="9"/>
        <v/>
      </c>
      <c r="H150" s="4" t="str">
        <f>IF(A150="","",SUMIF(Wyniki!$C$2:$C$501,A150,Wyniki!$O$2:$O$501))</f>
        <v/>
      </c>
      <c r="I150" s="4" t="str">
        <f t="shared" si="10"/>
        <v/>
      </c>
      <c r="J150" s="4" t="str">
        <f t="shared" si="11"/>
        <v/>
      </c>
    </row>
    <row r="151" spans="1:10" x14ac:dyDescent="0.25">
      <c r="A151" s="4"/>
      <c r="B151" s="4"/>
      <c r="C151" s="4"/>
      <c r="D151" s="4"/>
      <c r="E151" s="4" t="str">
        <f ca="1">IFERROR(_xludf.XLOOKUP(A151,Milestones!$A$2:$A$501,Milestones!$M$2:$M$501),"")</f>
        <v/>
      </c>
      <c r="F151" s="4" t="str">
        <f t="shared" ca="1" si="8"/>
        <v/>
      </c>
      <c r="G151" s="4" t="str">
        <f t="shared" si="9"/>
        <v/>
      </c>
      <c r="H151" s="4" t="str">
        <f>IF(A151="","",SUMIF(Wyniki!$C$2:$C$501,A151,Wyniki!$O$2:$O$501))</f>
        <v/>
      </c>
      <c r="I151" s="4" t="str">
        <f t="shared" si="10"/>
        <v/>
      </c>
      <c r="J151" s="4" t="str">
        <f t="shared" si="11"/>
        <v/>
      </c>
    </row>
    <row r="152" spans="1:10" x14ac:dyDescent="0.25">
      <c r="A152" s="4"/>
      <c r="B152" s="4"/>
      <c r="C152" s="4"/>
      <c r="D152" s="4"/>
      <c r="E152" s="4" t="str">
        <f ca="1">IFERROR(_xludf.XLOOKUP(A152,Milestones!$A$2:$A$501,Milestones!$M$2:$M$501),"")</f>
        <v/>
      </c>
      <c r="F152" s="4" t="str">
        <f t="shared" ca="1" si="8"/>
        <v/>
      </c>
      <c r="G152" s="4" t="str">
        <f t="shared" si="9"/>
        <v/>
      </c>
      <c r="H152" s="4" t="str">
        <f>IF(A152="","",SUMIF(Wyniki!$C$2:$C$501,A152,Wyniki!$O$2:$O$501))</f>
        <v/>
      </c>
      <c r="I152" s="4" t="str">
        <f t="shared" si="10"/>
        <v/>
      </c>
      <c r="J152" s="4" t="str">
        <f t="shared" si="11"/>
        <v/>
      </c>
    </row>
    <row r="153" spans="1:10" x14ac:dyDescent="0.25">
      <c r="A153" s="4"/>
      <c r="B153" s="4"/>
      <c r="C153" s="4"/>
      <c r="D153" s="4"/>
      <c r="E153" s="4" t="str">
        <f ca="1">IFERROR(_xludf.XLOOKUP(A153,Milestones!$A$2:$A$501,Milestones!$M$2:$M$501),"")</f>
        <v/>
      </c>
      <c r="F153" s="4" t="str">
        <f t="shared" ca="1" si="8"/>
        <v/>
      </c>
      <c r="G153" s="4" t="str">
        <f t="shared" si="9"/>
        <v/>
      </c>
      <c r="H153" s="4" t="str">
        <f>IF(A153="","",SUMIF(Wyniki!$C$2:$C$501,A153,Wyniki!$O$2:$O$501))</f>
        <v/>
      </c>
      <c r="I153" s="4" t="str">
        <f t="shared" si="10"/>
        <v/>
      </c>
      <c r="J153" s="4" t="str">
        <f t="shared" si="11"/>
        <v/>
      </c>
    </row>
    <row r="154" spans="1:10" x14ac:dyDescent="0.25">
      <c r="A154" s="4"/>
      <c r="B154" s="4"/>
      <c r="C154" s="4"/>
      <c r="D154" s="4"/>
      <c r="E154" s="4" t="str">
        <f ca="1">IFERROR(_xludf.XLOOKUP(A154,Milestones!$A$2:$A$501,Milestones!$M$2:$M$501),"")</f>
        <v/>
      </c>
      <c r="F154" s="4" t="str">
        <f t="shared" ca="1" si="8"/>
        <v/>
      </c>
      <c r="G154" s="4" t="str">
        <f t="shared" si="9"/>
        <v/>
      </c>
      <c r="H154" s="4" t="str">
        <f>IF(A154="","",SUMIF(Wyniki!$C$2:$C$501,A154,Wyniki!$O$2:$O$501))</f>
        <v/>
      </c>
      <c r="I154" s="4" t="str">
        <f t="shared" si="10"/>
        <v/>
      </c>
      <c r="J154" s="4" t="str">
        <f t="shared" si="11"/>
        <v/>
      </c>
    </row>
    <row r="155" spans="1:10" x14ac:dyDescent="0.25">
      <c r="A155" s="4"/>
      <c r="B155" s="4"/>
      <c r="C155" s="4"/>
      <c r="D155" s="4"/>
      <c r="E155" s="4" t="str">
        <f ca="1">IFERROR(_xludf.XLOOKUP(A155,Milestones!$A$2:$A$501,Milestones!$M$2:$M$501),"")</f>
        <v/>
      </c>
      <c r="F155" s="4" t="str">
        <f t="shared" ca="1" si="8"/>
        <v/>
      </c>
      <c r="G155" s="4" t="str">
        <f t="shared" si="9"/>
        <v/>
      </c>
      <c r="H155" s="4" t="str">
        <f>IF(A155="","",SUMIF(Wyniki!$C$2:$C$501,A155,Wyniki!$O$2:$O$501))</f>
        <v/>
      </c>
      <c r="I155" s="4" t="str">
        <f t="shared" si="10"/>
        <v/>
      </c>
      <c r="J155" s="4" t="str">
        <f t="shared" si="11"/>
        <v/>
      </c>
    </row>
    <row r="156" spans="1:10" x14ac:dyDescent="0.25">
      <c r="A156" s="4"/>
      <c r="B156" s="4"/>
      <c r="C156" s="4"/>
      <c r="D156" s="4"/>
      <c r="E156" s="4" t="str">
        <f ca="1">IFERROR(_xludf.XLOOKUP(A156,Milestones!$A$2:$A$501,Milestones!$M$2:$M$501),"")</f>
        <v/>
      </c>
      <c r="F156" s="4" t="str">
        <f t="shared" ca="1" si="8"/>
        <v/>
      </c>
      <c r="G156" s="4" t="str">
        <f t="shared" si="9"/>
        <v/>
      </c>
      <c r="H156" s="4" t="str">
        <f>IF(A156="","",SUMIF(Wyniki!$C$2:$C$501,A156,Wyniki!$O$2:$O$501))</f>
        <v/>
      </c>
      <c r="I156" s="4" t="str">
        <f t="shared" si="10"/>
        <v/>
      </c>
      <c r="J156" s="4" t="str">
        <f t="shared" si="11"/>
        <v/>
      </c>
    </row>
    <row r="157" spans="1:10" x14ac:dyDescent="0.25">
      <c r="A157" s="4"/>
      <c r="B157" s="4"/>
      <c r="C157" s="4"/>
      <c r="D157" s="4"/>
      <c r="E157" s="4" t="str">
        <f ca="1">IFERROR(_xludf.XLOOKUP(A157,Milestones!$A$2:$A$501,Milestones!$M$2:$M$501),"")</f>
        <v/>
      </c>
      <c r="F157" s="4" t="str">
        <f t="shared" ca="1" si="8"/>
        <v/>
      </c>
      <c r="G157" s="4" t="str">
        <f t="shared" si="9"/>
        <v/>
      </c>
      <c r="H157" s="4" t="str">
        <f>IF(A157="","",SUMIF(Wyniki!$C$2:$C$501,A157,Wyniki!$O$2:$O$501))</f>
        <v/>
      </c>
      <c r="I157" s="4" t="str">
        <f t="shared" si="10"/>
        <v/>
      </c>
      <c r="J157" s="4" t="str">
        <f t="shared" si="11"/>
        <v/>
      </c>
    </row>
    <row r="158" spans="1:10" x14ac:dyDescent="0.25">
      <c r="A158" s="4"/>
      <c r="B158" s="4"/>
      <c r="C158" s="4"/>
      <c r="D158" s="4"/>
      <c r="E158" s="4" t="str">
        <f ca="1">IFERROR(_xludf.XLOOKUP(A158,Milestones!$A$2:$A$501,Milestones!$M$2:$M$501),"")</f>
        <v/>
      </c>
      <c r="F158" s="4" t="str">
        <f t="shared" ca="1" si="8"/>
        <v/>
      </c>
      <c r="G158" s="4" t="str">
        <f t="shared" si="9"/>
        <v/>
      </c>
      <c r="H158" s="4" t="str">
        <f>IF(A158="","",SUMIF(Wyniki!$C$2:$C$501,A158,Wyniki!$O$2:$O$501))</f>
        <v/>
      </c>
      <c r="I158" s="4" t="str">
        <f t="shared" si="10"/>
        <v/>
      </c>
      <c r="J158" s="4" t="str">
        <f t="shared" si="11"/>
        <v/>
      </c>
    </row>
    <row r="159" spans="1:10" x14ac:dyDescent="0.25">
      <c r="A159" s="4"/>
      <c r="B159" s="4"/>
      <c r="C159" s="4"/>
      <c r="D159" s="4"/>
      <c r="E159" s="4" t="str">
        <f ca="1">IFERROR(_xludf.XLOOKUP(A159,Milestones!$A$2:$A$501,Milestones!$M$2:$M$501),"")</f>
        <v/>
      </c>
      <c r="F159" s="4" t="str">
        <f t="shared" ca="1" si="8"/>
        <v/>
      </c>
      <c r="G159" s="4" t="str">
        <f t="shared" si="9"/>
        <v/>
      </c>
      <c r="H159" s="4" t="str">
        <f>IF(A159="","",SUMIF(Wyniki!$C$2:$C$501,A159,Wyniki!$O$2:$O$501))</f>
        <v/>
      </c>
      <c r="I159" s="4" t="str">
        <f t="shared" si="10"/>
        <v/>
      </c>
      <c r="J159" s="4" t="str">
        <f t="shared" si="11"/>
        <v/>
      </c>
    </row>
    <row r="160" spans="1:10" x14ac:dyDescent="0.25">
      <c r="A160" s="4"/>
      <c r="B160" s="4"/>
      <c r="C160" s="4"/>
      <c r="D160" s="4"/>
      <c r="E160" s="4" t="str">
        <f ca="1">IFERROR(_xludf.XLOOKUP(A160,Milestones!$A$2:$A$501,Milestones!$M$2:$M$501),"")</f>
        <v/>
      </c>
      <c r="F160" s="4" t="str">
        <f t="shared" ca="1" si="8"/>
        <v/>
      </c>
      <c r="G160" s="4" t="str">
        <f t="shared" si="9"/>
        <v/>
      </c>
      <c r="H160" s="4" t="str">
        <f>IF(A160="","",SUMIF(Wyniki!$C$2:$C$501,A160,Wyniki!$O$2:$O$501))</f>
        <v/>
      </c>
      <c r="I160" s="4" t="str">
        <f t="shared" si="10"/>
        <v/>
      </c>
      <c r="J160" s="4" t="str">
        <f t="shared" si="11"/>
        <v/>
      </c>
    </row>
    <row r="161" spans="1:10" x14ac:dyDescent="0.25">
      <c r="A161" s="4"/>
      <c r="B161" s="4"/>
      <c r="C161" s="4"/>
      <c r="D161" s="4"/>
      <c r="E161" s="4" t="str">
        <f ca="1">IFERROR(_xludf.XLOOKUP(A161,Milestones!$A$2:$A$501,Milestones!$M$2:$M$501),"")</f>
        <v/>
      </c>
      <c r="F161" s="4" t="str">
        <f t="shared" ca="1" si="8"/>
        <v/>
      </c>
      <c r="G161" s="4" t="str">
        <f t="shared" si="9"/>
        <v/>
      </c>
      <c r="H161" s="4" t="str">
        <f>IF(A161="","",SUMIF(Wyniki!$C$2:$C$501,A161,Wyniki!$O$2:$O$501))</f>
        <v/>
      </c>
      <c r="I161" s="4" t="str">
        <f t="shared" si="10"/>
        <v/>
      </c>
      <c r="J161" s="4" t="str">
        <f t="shared" si="11"/>
        <v/>
      </c>
    </row>
    <row r="162" spans="1:10" x14ac:dyDescent="0.25">
      <c r="A162" s="4"/>
      <c r="B162" s="4"/>
      <c r="C162" s="4"/>
      <c r="D162" s="4"/>
      <c r="E162" s="4" t="str">
        <f ca="1">IFERROR(_xludf.XLOOKUP(A162,Milestones!$A$2:$A$501,Milestones!$M$2:$M$501),"")</f>
        <v/>
      </c>
      <c r="F162" s="4" t="str">
        <f t="shared" ca="1" si="8"/>
        <v/>
      </c>
      <c r="G162" s="4" t="str">
        <f t="shared" si="9"/>
        <v/>
      </c>
      <c r="H162" s="4" t="str">
        <f>IF(A162="","",SUMIF(Wyniki!$C$2:$C$501,A162,Wyniki!$O$2:$O$501))</f>
        <v/>
      </c>
      <c r="I162" s="4" t="str">
        <f t="shared" si="10"/>
        <v/>
      </c>
      <c r="J162" s="4" t="str">
        <f t="shared" si="11"/>
        <v/>
      </c>
    </row>
    <row r="163" spans="1:10" x14ac:dyDescent="0.25">
      <c r="A163" s="4"/>
      <c r="B163" s="4"/>
      <c r="C163" s="4"/>
      <c r="D163" s="4"/>
      <c r="E163" s="4" t="str">
        <f ca="1">IFERROR(_xludf.XLOOKUP(A163,Milestones!$A$2:$A$501,Milestones!$M$2:$M$501),"")</f>
        <v/>
      </c>
      <c r="F163" s="4" t="str">
        <f t="shared" ca="1" si="8"/>
        <v/>
      </c>
      <c r="G163" s="4" t="str">
        <f t="shared" si="9"/>
        <v/>
      </c>
      <c r="H163" s="4" t="str">
        <f>IF(A163="","",SUMIF(Wyniki!$C$2:$C$501,A163,Wyniki!$O$2:$O$501))</f>
        <v/>
      </c>
      <c r="I163" s="4" t="str">
        <f t="shared" si="10"/>
        <v/>
      </c>
      <c r="J163" s="4" t="str">
        <f t="shared" si="11"/>
        <v/>
      </c>
    </row>
    <row r="164" spans="1:10" x14ac:dyDescent="0.25">
      <c r="A164" s="4"/>
      <c r="B164" s="4"/>
      <c r="C164" s="4"/>
      <c r="D164" s="4"/>
      <c r="E164" s="4" t="str">
        <f ca="1">IFERROR(_xludf.XLOOKUP(A164,Milestones!$A$2:$A$501,Milestones!$M$2:$M$501),"")</f>
        <v/>
      </c>
      <c r="F164" s="4" t="str">
        <f t="shared" ca="1" si="8"/>
        <v/>
      </c>
      <c r="G164" s="4" t="str">
        <f t="shared" si="9"/>
        <v/>
      </c>
      <c r="H164" s="4" t="str">
        <f>IF(A164="","",SUMIF(Wyniki!$C$2:$C$501,A164,Wyniki!$O$2:$O$501))</f>
        <v/>
      </c>
      <c r="I164" s="4" t="str">
        <f t="shared" si="10"/>
        <v/>
      </c>
      <c r="J164" s="4" t="str">
        <f t="shared" si="11"/>
        <v/>
      </c>
    </row>
    <row r="165" spans="1:10" x14ac:dyDescent="0.25">
      <c r="A165" s="4"/>
      <c r="B165" s="4"/>
      <c r="C165" s="4"/>
      <c r="D165" s="4"/>
      <c r="E165" s="4" t="str">
        <f ca="1">IFERROR(_xludf.XLOOKUP(A165,Milestones!$A$2:$A$501,Milestones!$M$2:$M$501),"")</f>
        <v/>
      </c>
      <c r="F165" s="4" t="str">
        <f t="shared" ca="1" si="8"/>
        <v/>
      </c>
      <c r="G165" s="4" t="str">
        <f t="shared" si="9"/>
        <v/>
      </c>
      <c r="H165" s="4" t="str">
        <f>IF(A165="","",SUMIF(Wyniki!$C$2:$C$501,A165,Wyniki!$O$2:$O$501))</f>
        <v/>
      </c>
      <c r="I165" s="4" t="str">
        <f t="shared" si="10"/>
        <v/>
      </c>
      <c r="J165" s="4" t="str">
        <f t="shared" si="11"/>
        <v/>
      </c>
    </row>
    <row r="166" spans="1:10" x14ac:dyDescent="0.25">
      <c r="A166" s="4"/>
      <c r="B166" s="4"/>
      <c r="C166" s="4"/>
      <c r="D166" s="4"/>
      <c r="E166" s="4" t="str">
        <f ca="1">IFERROR(_xludf.XLOOKUP(A166,Milestones!$A$2:$A$501,Milestones!$M$2:$M$501),"")</f>
        <v/>
      </c>
      <c r="F166" s="4" t="str">
        <f t="shared" ca="1" si="8"/>
        <v/>
      </c>
      <c r="G166" s="4" t="str">
        <f t="shared" si="9"/>
        <v/>
      </c>
      <c r="H166" s="4" t="str">
        <f>IF(A166="","",SUMIF(Wyniki!$C$2:$C$501,A166,Wyniki!$O$2:$O$501))</f>
        <v/>
      </c>
      <c r="I166" s="4" t="str">
        <f t="shared" si="10"/>
        <v/>
      </c>
      <c r="J166" s="4" t="str">
        <f t="shared" si="11"/>
        <v/>
      </c>
    </row>
    <row r="167" spans="1:10" x14ac:dyDescent="0.25">
      <c r="A167" s="4"/>
      <c r="B167" s="4"/>
      <c r="C167" s="4"/>
      <c r="D167" s="4"/>
      <c r="E167" s="4" t="str">
        <f ca="1">IFERROR(_xludf.XLOOKUP(A167,Milestones!$A$2:$A$501,Milestones!$M$2:$M$501),"")</f>
        <v/>
      </c>
      <c r="F167" s="4" t="str">
        <f t="shared" ca="1" si="8"/>
        <v/>
      </c>
      <c r="G167" s="4" t="str">
        <f t="shared" si="9"/>
        <v/>
      </c>
      <c r="H167" s="4" t="str">
        <f>IF(A167="","",SUMIF(Wyniki!$C$2:$C$501,A167,Wyniki!$O$2:$O$501))</f>
        <v/>
      </c>
      <c r="I167" s="4" t="str">
        <f t="shared" si="10"/>
        <v/>
      </c>
      <c r="J167" s="4" t="str">
        <f t="shared" si="11"/>
        <v/>
      </c>
    </row>
    <row r="168" spans="1:10" x14ac:dyDescent="0.25">
      <c r="A168" s="4"/>
      <c r="B168" s="4"/>
      <c r="C168" s="4"/>
      <c r="D168" s="4"/>
      <c r="E168" s="4" t="str">
        <f ca="1">IFERROR(_xludf.XLOOKUP(A168,Milestones!$A$2:$A$501,Milestones!$M$2:$M$501),"")</f>
        <v/>
      </c>
      <c r="F168" s="4" t="str">
        <f t="shared" ca="1" si="8"/>
        <v/>
      </c>
      <c r="G168" s="4" t="str">
        <f t="shared" si="9"/>
        <v/>
      </c>
      <c r="H168" s="4" t="str">
        <f>IF(A168="","",SUMIF(Wyniki!$C$2:$C$501,A168,Wyniki!$O$2:$O$501))</f>
        <v/>
      </c>
      <c r="I168" s="4" t="str">
        <f t="shared" si="10"/>
        <v/>
      </c>
      <c r="J168" s="4" t="str">
        <f t="shared" si="11"/>
        <v/>
      </c>
    </row>
    <row r="169" spans="1:10" x14ac:dyDescent="0.25">
      <c r="A169" s="4"/>
      <c r="B169" s="4"/>
      <c r="C169" s="4"/>
      <c r="D169" s="4"/>
      <c r="E169" s="4" t="str">
        <f ca="1">IFERROR(_xludf.XLOOKUP(A169,Milestones!$A$2:$A$501,Milestones!$M$2:$M$501),"")</f>
        <v/>
      </c>
      <c r="F169" s="4" t="str">
        <f t="shared" ca="1" si="8"/>
        <v/>
      </c>
      <c r="G169" s="4" t="str">
        <f t="shared" si="9"/>
        <v/>
      </c>
      <c r="H169" s="4" t="str">
        <f>IF(A169="","",SUMIF(Wyniki!$C$2:$C$501,A169,Wyniki!$O$2:$O$501))</f>
        <v/>
      </c>
      <c r="I169" s="4" t="str">
        <f t="shared" si="10"/>
        <v/>
      </c>
      <c r="J169" s="4" t="str">
        <f t="shared" si="11"/>
        <v/>
      </c>
    </row>
    <row r="170" spans="1:10" x14ac:dyDescent="0.25">
      <c r="A170" s="4"/>
      <c r="B170" s="4"/>
      <c r="C170" s="4"/>
      <c r="D170" s="4"/>
      <c r="E170" s="4" t="str">
        <f ca="1">IFERROR(_xludf.XLOOKUP(A170,Milestones!$A$2:$A$501,Milestones!$M$2:$M$501),"")</f>
        <v/>
      </c>
      <c r="F170" s="4" t="str">
        <f t="shared" ca="1" si="8"/>
        <v/>
      </c>
      <c r="G170" s="4" t="str">
        <f t="shared" si="9"/>
        <v/>
      </c>
      <c r="H170" s="4" t="str">
        <f>IF(A170="","",SUMIF(Wyniki!$C$2:$C$501,A170,Wyniki!$O$2:$O$501))</f>
        <v/>
      </c>
      <c r="I170" s="4" t="str">
        <f t="shared" si="10"/>
        <v/>
      </c>
      <c r="J170" s="4" t="str">
        <f t="shared" si="11"/>
        <v/>
      </c>
    </row>
    <row r="171" spans="1:10" x14ac:dyDescent="0.25">
      <c r="A171" s="4"/>
      <c r="B171" s="4"/>
      <c r="C171" s="4"/>
      <c r="D171" s="4"/>
      <c r="E171" s="4" t="str">
        <f ca="1">IFERROR(_xludf.XLOOKUP(A171,Milestones!$A$2:$A$501,Milestones!$M$2:$M$501),"")</f>
        <v/>
      </c>
      <c r="F171" s="4" t="str">
        <f t="shared" ca="1" si="8"/>
        <v/>
      </c>
      <c r="G171" s="4" t="str">
        <f t="shared" si="9"/>
        <v/>
      </c>
      <c r="H171" s="4" t="str">
        <f>IF(A171="","",SUMIF(Wyniki!$C$2:$C$501,A171,Wyniki!$O$2:$O$501))</f>
        <v/>
      </c>
      <c r="I171" s="4" t="str">
        <f t="shared" si="10"/>
        <v/>
      </c>
      <c r="J171" s="4" t="str">
        <f t="shared" si="11"/>
        <v/>
      </c>
    </row>
    <row r="172" spans="1:10" x14ac:dyDescent="0.25">
      <c r="A172" s="4"/>
      <c r="B172" s="4"/>
      <c r="C172" s="4"/>
      <c r="D172" s="4"/>
      <c r="E172" s="4" t="str">
        <f ca="1">IFERROR(_xludf.XLOOKUP(A172,Milestones!$A$2:$A$501,Milestones!$M$2:$M$501),"")</f>
        <v/>
      </c>
      <c r="F172" s="4" t="str">
        <f t="shared" ca="1" si="8"/>
        <v/>
      </c>
      <c r="G172" s="4" t="str">
        <f t="shared" si="9"/>
        <v/>
      </c>
      <c r="H172" s="4" t="str">
        <f>IF(A172="","",SUMIF(Wyniki!$C$2:$C$501,A172,Wyniki!$O$2:$O$501))</f>
        <v/>
      </c>
      <c r="I172" s="4" t="str">
        <f t="shared" si="10"/>
        <v/>
      </c>
      <c r="J172" s="4" t="str">
        <f t="shared" si="11"/>
        <v/>
      </c>
    </row>
    <row r="173" spans="1:10" x14ac:dyDescent="0.25">
      <c r="A173" s="4"/>
      <c r="B173" s="4"/>
      <c r="C173" s="4"/>
      <c r="D173" s="4"/>
      <c r="E173" s="4" t="str">
        <f ca="1">IFERROR(_xludf.XLOOKUP(A173,Milestones!$A$2:$A$501,Milestones!$M$2:$M$501),"")</f>
        <v/>
      </c>
      <c r="F173" s="4" t="str">
        <f t="shared" ca="1" si="8"/>
        <v/>
      </c>
      <c r="G173" s="4" t="str">
        <f t="shared" si="9"/>
        <v/>
      </c>
      <c r="H173" s="4" t="str">
        <f>IF(A173="","",SUMIF(Wyniki!$C$2:$C$501,A173,Wyniki!$O$2:$O$501))</f>
        <v/>
      </c>
      <c r="I173" s="4" t="str">
        <f t="shared" si="10"/>
        <v/>
      </c>
      <c r="J173" s="4" t="str">
        <f t="shared" si="11"/>
        <v/>
      </c>
    </row>
    <row r="174" spans="1:10" x14ac:dyDescent="0.25">
      <c r="A174" s="4"/>
      <c r="B174" s="4"/>
      <c r="C174" s="4"/>
      <c r="D174" s="4"/>
      <c r="E174" s="4" t="str">
        <f ca="1">IFERROR(_xludf.XLOOKUP(A174,Milestones!$A$2:$A$501,Milestones!$M$2:$M$501),"")</f>
        <v/>
      </c>
      <c r="F174" s="4" t="str">
        <f t="shared" ca="1" si="8"/>
        <v/>
      </c>
      <c r="G174" s="4" t="str">
        <f t="shared" si="9"/>
        <v/>
      </c>
      <c r="H174" s="4" t="str">
        <f>IF(A174="","",SUMIF(Wyniki!$C$2:$C$501,A174,Wyniki!$O$2:$O$501))</f>
        <v/>
      </c>
      <c r="I174" s="4" t="str">
        <f t="shared" si="10"/>
        <v/>
      </c>
      <c r="J174" s="4" t="str">
        <f t="shared" si="11"/>
        <v/>
      </c>
    </row>
    <row r="175" spans="1:10" x14ac:dyDescent="0.25">
      <c r="A175" s="4"/>
      <c r="B175" s="4"/>
      <c r="C175" s="4"/>
      <c r="D175" s="4"/>
      <c r="E175" s="4" t="str">
        <f ca="1">IFERROR(_xludf.XLOOKUP(A175,Milestones!$A$2:$A$501,Milestones!$M$2:$M$501),"")</f>
        <v/>
      </c>
      <c r="F175" s="4" t="str">
        <f t="shared" ca="1" si="8"/>
        <v/>
      </c>
      <c r="G175" s="4" t="str">
        <f t="shared" si="9"/>
        <v/>
      </c>
      <c r="H175" s="4" t="str">
        <f>IF(A175="","",SUMIF(Wyniki!$C$2:$C$501,A175,Wyniki!$O$2:$O$501))</f>
        <v/>
      </c>
      <c r="I175" s="4" t="str">
        <f t="shared" si="10"/>
        <v/>
      </c>
      <c r="J175" s="4" t="str">
        <f t="shared" si="11"/>
        <v/>
      </c>
    </row>
    <row r="176" spans="1:10" x14ac:dyDescent="0.25">
      <c r="A176" s="4"/>
      <c r="B176" s="4"/>
      <c r="C176" s="4"/>
      <c r="D176" s="4"/>
      <c r="E176" s="4" t="str">
        <f ca="1">IFERROR(_xludf.XLOOKUP(A176,Milestones!$A$2:$A$501,Milestones!$M$2:$M$501),"")</f>
        <v/>
      </c>
      <c r="F176" s="4" t="str">
        <f t="shared" ca="1" si="8"/>
        <v/>
      </c>
      <c r="G176" s="4" t="str">
        <f t="shared" si="9"/>
        <v/>
      </c>
      <c r="H176" s="4" t="str">
        <f>IF(A176="","",SUMIF(Wyniki!$C$2:$C$501,A176,Wyniki!$O$2:$O$501))</f>
        <v/>
      </c>
      <c r="I176" s="4" t="str">
        <f t="shared" si="10"/>
        <v/>
      </c>
      <c r="J176" s="4" t="str">
        <f t="shared" si="11"/>
        <v/>
      </c>
    </row>
    <row r="177" spans="1:10" x14ac:dyDescent="0.25">
      <c r="A177" s="4"/>
      <c r="B177" s="4"/>
      <c r="C177" s="4"/>
      <c r="D177" s="4"/>
      <c r="E177" s="4" t="str">
        <f ca="1">IFERROR(_xludf.XLOOKUP(A177,Milestones!$A$2:$A$501,Milestones!$M$2:$M$501),"")</f>
        <v/>
      </c>
      <c r="F177" s="4" t="str">
        <f t="shared" ca="1" si="8"/>
        <v/>
      </c>
      <c r="G177" s="4" t="str">
        <f t="shared" si="9"/>
        <v/>
      </c>
      <c r="H177" s="4" t="str">
        <f>IF(A177="","",SUMIF(Wyniki!$C$2:$C$501,A177,Wyniki!$O$2:$O$501))</f>
        <v/>
      </c>
      <c r="I177" s="4" t="str">
        <f t="shared" si="10"/>
        <v/>
      </c>
      <c r="J177" s="4" t="str">
        <f t="shared" si="11"/>
        <v/>
      </c>
    </row>
    <row r="178" spans="1:10" x14ac:dyDescent="0.25">
      <c r="A178" s="4"/>
      <c r="B178" s="4"/>
      <c r="C178" s="4"/>
      <c r="D178" s="4"/>
      <c r="E178" s="4" t="str">
        <f ca="1">IFERROR(_xludf.XLOOKUP(A178,Milestones!$A$2:$A$501,Milestones!$M$2:$M$501),"")</f>
        <v/>
      </c>
      <c r="F178" s="4" t="str">
        <f t="shared" ca="1" si="8"/>
        <v/>
      </c>
      <c r="G178" s="4" t="str">
        <f t="shared" si="9"/>
        <v/>
      </c>
      <c r="H178" s="4" t="str">
        <f>IF(A178="","",SUMIF(Wyniki!$C$2:$C$501,A178,Wyniki!$O$2:$O$501))</f>
        <v/>
      </c>
      <c r="I178" s="4" t="str">
        <f t="shared" si="10"/>
        <v/>
      </c>
      <c r="J178" s="4" t="str">
        <f t="shared" si="11"/>
        <v/>
      </c>
    </row>
    <row r="179" spans="1:10" x14ac:dyDescent="0.25">
      <c r="A179" s="4"/>
      <c r="B179" s="4"/>
      <c r="C179" s="4"/>
      <c r="D179" s="4"/>
      <c r="E179" s="4" t="str">
        <f ca="1">IFERROR(_xludf.XLOOKUP(A179,Milestones!$A$2:$A$501,Milestones!$M$2:$M$501),"")</f>
        <v/>
      </c>
      <c r="F179" s="4" t="str">
        <f t="shared" ca="1" si="8"/>
        <v/>
      </c>
      <c r="G179" s="4" t="str">
        <f t="shared" si="9"/>
        <v/>
      </c>
      <c r="H179" s="4" t="str">
        <f>IF(A179="","",SUMIF(Wyniki!$C$2:$C$501,A179,Wyniki!$O$2:$O$501))</f>
        <v/>
      </c>
      <c r="I179" s="4" t="str">
        <f t="shared" si="10"/>
        <v/>
      </c>
      <c r="J179" s="4" t="str">
        <f t="shared" si="11"/>
        <v/>
      </c>
    </row>
    <row r="180" spans="1:10" x14ac:dyDescent="0.25">
      <c r="A180" s="4"/>
      <c r="B180" s="4"/>
      <c r="C180" s="4"/>
      <c r="D180" s="4"/>
      <c r="E180" s="4" t="str">
        <f ca="1">IFERROR(_xludf.XLOOKUP(A180,Milestones!$A$2:$A$501,Milestones!$M$2:$M$501),"")</f>
        <v/>
      </c>
      <c r="F180" s="4" t="str">
        <f t="shared" ca="1" si="8"/>
        <v/>
      </c>
      <c r="G180" s="4" t="str">
        <f t="shared" si="9"/>
        <v/>
      </c>
      <c r="H180" s="4" t="str">
        <f>IF(A180="","",SUMIF(Wyniki!$C$2:$C$501,A180,Wyniki!$O$2:$O$501))</f>
        <v/>
      </c>
      <c r="I180" s="4" t="str">
        <f t="shared" si="10"/>
        <v/>
      </c>
      <c r="J180" s="4" t="str">
        <f t="shared" si="11"/>
        <v/>
      </c>
    </row>
    <row r="181" spans="1:10" x14ac:dyDescent="0.25">
      <c r="A181" s="4"/>
      <c r="B181" s="4"/>
      <c r="C181" s="4"/>
      <c r="D181" s="4"/>
      <c r="E181" s="4" t="str">
        <f ca="1">IFERROR(_xludf.XLOOKUP(A181,Milestones!$A$2:$A$501,Milestones!$M$2:$M$501),"")</f>
        <v/>
      </c>
      <c r="F181" s="4" t="str">
        <f t="shared" ca="1" si="8"/>
        <v/>
      </c>
      <c r="G181" s="4" t="str">
        <f t="shared" si="9"/>
        <v/>
      </c>
      <c r="H181" s="4" t="str">
        <f>IF(A181="","",SUMIF(Wyniki!$C$2:$C$501,A181,Wyniki!$O$2:$O$501))</f>
        <v/>
      </c>
      <c r="I181" s="4" t="str">
        <f t="shared" si="10"/>
        <v/>
      </c>
      <c r="J181" s="4" t="str">
        <f t="shared" si="11"/>
        <v/>
      </c>
    </row>
    <row r="182" spans="1:10" x14ac:dyDescent="0.25">
      <c r="A182" s="4"/>
      <c r="B182" s="4"/>
      <c r="C182" s="4"/>
      <c r="D182" s="4"/>
      <c r="E182" s="4" t="str">
        <f ca="1">IFERROR(_xludf.XLOOKUP(A182,Milestones!$A$2:$A$501,Milestones!$M$2:$M$501),"")</f>
        <v/>
      </c>
      <c r="F182" s="4" t="str">
        <f t="shared" ca="1" si="8"/>
        <v/>
      </c>
      <c r="G182" s="4" t="str">
        <f t="shared" si="9"/>
        <v/>
      </c>
      <c r="H182" s="4" t="str">
        <f>IF(A182="","",SUMIF(Wyniki!$C$2:$C$501,A182,Wyniki!$O$2:$O$501))</f>
        <v/>
      </c>
      <c r="I182" s="4" t="str">
        <f t="shared" si="10"/>
        <v/>
      </c>
      <c r="J182" s="4" t="str">
        <f t="shared" si="11"/>
        <v/>
      </c>
    </row>
    <row r="183" spans="1:10" x14ac:dyDescent="0.25">
      <c r="A183" s="4"/>
      <c r="B183" s="4"/>
      <c r="C183" s="4"/>
      <c r="D183" s="4"/>
      <c r="E183" s="4" t="str">
        <f ca="1">IFERROR(_xludf.XLOOKUP(A183,Milestones!$A$2:$A$501,Milestones!$M$2:$M$501),"")</f>
        <v/>
      </c>
      <c r="F183" s="4" t="str">
        <f t="shared" ca="1" si="8"/>
        <v/>
      </c>
      <c r="G183" s="4" t="str">
        <f t="shared" si="9"/>
        <v/>
      </c>
      <c r="H183" s="4" t="str">
        <f>IF(A183="","",SUMIF(Wyniki!$C$2:$C$501,A183,Wyniki!$O$2:$O$501))</f>
        <v/>
      </c>
      <c r="I183" s="4" t="str">
        <f t="shared" si="10"/>
        <v/>
      </c>
      <c r="J183" s="4" t="str">
        <f t="shared" si="11"/>
        <v/>
      </c>
    </row>
    <row r="184" spans="1:10" x14ac:dyDescent="0.25">
      <c r="A184" s="4"/>
      <c r="B184" s="4"/>
      <c r="C184" s="4"/>
      <c r="D184" s="4"/>
      <c r="E184" s="4" t="str">
        <f ca="1">IFERROR(_xludf.XLOOKUP(A184,Milestones!$A$2:$A$501,Milestones!$M$2:$M$501),"")</f>
        <v/>
      </c>
      <c r="F184" s="4" t="str">
        <f t="shared" ca="1" si="8"/>
        <v/>
      </c>
      <c r="G184" s="4" t="str">
        <f t="shared" si="9"/>
        <v/>
      </c>
      <c r="H184" s="4" t="str">
        <f>IF(A184="","",SUMIF(Wyniki!$C$2:$C$501,A184,Wyniki!$O$2:$O$501))</f>
        <v/>
      </c>
      <c r="I184" s="4" t="str">
        <f t="shared" si="10"/>
        <v/>
      </c>
      <c r="J184" s="4" t="str">
        <f t="shared" si="11"/>
        <v/>
      </c>
    </row>
    <row r="185" spans="1:10" x14ac:dyDescent="0.25">
      <c r="A185" s="4"/>
      <c r="B185" s="4"/>
      <c r="C185" s="4"/>
      <c r="D185" s="4"/>
      <c r="E185" s="4" t="str">
        <f ca="1">IFERROR(_xludf.XLOOKUP(A185,Milestones!$A$2:$A$501,Milestones!$M$2:$M$501),"")</f>
        <v/>
      </c>
      <c r="F185" s="4" t="str">
        <f t="shared" ca="1" si="8"/>
        <v/>
      </c>
      <c r="G185" s="4" t="str">
        <f t="shared" si="9"/>
        <v/>
      </c>
      <c r="H185" s="4" t="str">
        <f>IF(A185="","",SUMIF(Wyniki!$C$2:$C$501,A185,Wyniki!$O$2:$O$501))</f>
        <v/>
      </c>
      <c r="I185" s="4" t="str">
        <f t="shared" si="10"/>
        <v/>
      </c>
      <c r="J185" s="4" t="str">
        <f t="shared" si="11"/>
        <v/>
      </c>
    </row>
    <row r="186" spans="1:10" x14ac:dyDescent="0.25">
      <c r="A186" s="4"/>
      <c r="B186" s="4"/>
      <c r="C186" s="4"/>
      <c r="D186" s="4"/>
      <c r="E186" s="4" t="str">
        <f ca="1">IFERROR(_xludf.XLOOKUP(A186,Milestones!$A$2:$A$501,Milestones!$M$2:$M$501),"")</f>
        <v/>
      </c>
      <c r="F186" s="4" t="str">
        <f t="shared" ca="1" si="8"/>
        <v/>
      </c>
      <c r="G186" s="4" t="str">
        <f t="shared" si="9"/>
        <v/>
      </c>
      <c r="H186" s="4" t="str">
        <f>IF(A186="","",SUMIF(Wyniki!$C$2:$C$501,A186,Wyniki!$O$2:$O$501))</f>
        <v/>
      </c>
      <c r="I186" s="4" t="str">
        <f t="shared" si="10"/>
        <v/>
      </c>
      <c r="J186" s="4" t="str">
        <f t="shared" si="11"/>
        <v/>
      </c>
    </row>
    <row r="187" spans="1:10" x14ac:dyDescent="0.25">
      <c r="A187" s="4"/>
      <c r="B187" s="4"/>
      <c r="C187" s="4"/>
      <c r="D187" s="4"/>
      <c r="E187" s="4" t="str">
        <f ca="1">IFERROR(_xludf.XLOOKUP(A187,Milestones!$A$2:$A$501,Milestones!$M$2:$M$501),"")</f>
        <v/>
      </c>
      <c r="F187" s="4" t="str">
        <f t="shared" ca="1" si="8"/>
        <v/>
      </c>
      <c r="G187" s="4" t="str">
        <f t="shared" si="9"/>
        <v/>
      </c>
      <c r="H187" s="4" t="str">
        <f>IF(A187="","",SUMIF(Wyniki!$C$2:$C$501,A187,Wyniki!$O$2:$O$501))</f>
        <v/>
      </c>
      <c r="I187" s="4" t="str">
        <f t="shared" si="10"/>
        <v/>
      </c>
      <c r="J187" s="4" t="str">
        <f t="shared" si="11"/>
        <v/>
      </c>
    </row>
    <row r="188" spans="1:10" x14ac:dyDescent="0.25">
      <c r="A188" s="4"/>
      <c r="B188" s="4"/>
      <c r="C188" s="4"/>
      <c r="D188" s="4"/>
      <c r="E188" s="4" t="str">
        <f ca="1">IFERROR(_xludf.XLOOKUP(A188,Milestones!$A$2:$A$501,Milestones!$M$2:$M$501),"")</f>
        <v/>
      </c>
      <c r="F188" s="4" t="str">
        <f t="shared" ca="1" si="8"/>
        <v/>
      </c>
      <c r="G188" s="4" t="str">
        <f t="shared" si="9"/>
        <v/>
      </c>
      <c r="H188" s="4" t="str">
        <f>IF(A188="","",SUMIF(Wyniki!$C$2:$C$501,A188,Wyniki!$O$2:$O$501))</f>
        <v/>
      </c>
      <c r="I188" s="4" t="str">
        <f t="shared" si="10"/>
        <v/>
      </c>
      <c r="J188" s="4" t="str">
        <f t="shared" si="11"/>
        <v/>
      </c>
    </row>
    <row r="189" spans="1:10" x14ac:dyDescent="0.25">
      <c r="A189" s="4"/>
      <c r="B189" s="4"/>
      <c r="C189" s="4"/>
      <c r="D189" s="4"/>
      <c r="E189" s="4" t="str">
        <f ca="1">IFERROR(_xludf.XLOOKUP(A189,Milestones!$A$2:$A$501,Milestones!$M$2:$M$501),"")</f>
        <v/>
      </c>
      <c r="F189" s="4" t="str">
        <f t="shared" ca="1" si="8"/>
        <v/>
      </c>
      <c r="G189" s="4" t="str">
        <f t="shared" si="9"/>
        <v/>
      </c>
      <c r="H189" s="4" t="str">
        <f>IF(A189="","",SUMIF(Wyniki!$C$2:$C$501,A189,Wyniki!$O$2:$O$501))</f>
        <v/>
      </c>
      <c r="I189" s="4" t="str">
        <f t="shared" si="10"/>
        <v/>
      </c>
      <c r="J189" s="4" t="str">
        <f t="shared" si="11"/>
        <v/>
      </c>
    </row>
    <row r="190" spans="1:10" x14ac:dyDescent="0.25">
      <c r="A190" s="4"/>
      <c r="B190" s="4"/>
      <c r="C190" s="4"/>
      <c r="D190" s="4"/>
      <c r="E190" s="4" t="str">
        <f ca="1">IFERROR(_xludf.XLOOKUP(A190,Milestones!$A$2:$A$501,Milestones!$M$2:$M$501),"")</f>
        <v/>
      </c>
      <c r="F190" s="4" t="str">
        <f t="shared" ca="1" si="8"/>
        <v/>
      </c>
      <c r="G190" s="4" t="str">
        <f t="shared" si="9"/>
        <v/>
      </c>
      <c r="H190" s="4" t="str">
        <f>IF(A190="","",SUMIF(Wyniki!$C$2:$C$501,A190,Wyniki!$O$2:$O$501))</f>
        <v/>
      </c>
      <c r="I190" s="4" t="str">
        <f t="shared" si="10"/>
        <v/>
      </c>
      <c r="J190" s="4" t="str">
        <f t="shared" si="11"/>
        <v/>
      </c>
    </row>
    <row r="191" spans="1:10" x14ac:dyDescent="0.25">
      <c r="A191" s="4"/>
      <c r="B191" s="4"/>
      <c r="C191" s="4"/>
      <c r="D191" s="4"/>
      <c r="E191" s="4" t="str">
        <f ca="1">IFERROR(_xludf.XLOOKUP(A191,Milestones!$A$2:$A$501,Milestones!$M$2:$M$501),"")</f>
        <v/>
      </c>
      <c r="F191" s="4" t="str">
        <f t="shared" ca="1" si="8"/>
        <v/>
      </c>
      <c r="G191" s="4" t="str">
        <f t="shared" si="9"/>
        <v/>
      </c>
      <c r="H191" s="4" t="str">
        <f>IF(A191="","",SUMIF(Wyniki!$C$2:$C$501,A191,Wyniki!$O$2:$O$501))</f>
        <v/>
      </c>
      <c r="I191" s="4" t="str">
        <f t="shared" si="10"/>
        <v/>
      </c>
      <c r="J191" s="4" t="str">
        <f t="shared" si="11"/>
        <v/>
      </c>
    </row>
    <row r="192" spans="1:10" x14ac:dyDescent="0.25">
      <c r="A192" s="4"/>
      <c r="B192" s="4"/>
      <c r="C192" s="4"/>
      <c r="D192" s="4"/>
      <c r="E192" s="4" t="str">
        <f ca="1">IFERROR(_xludf.XLOOKUP(A192,Milestones!$A$2:$A$501,Milestones!$M$2:$M$501),"")</f>
        <v/>
      </c>
      <c r="F192" s="4" t="str">
        <f t="shared" ca="1" si="8"/>
        <v/>
      </c>
      <c r="G192" s="4" t="str">
        <f t="shared" si="9"/>
        <v/>
      </c>
      <c r="H192" s="4" t="str">
        <f>IF(A192="","",SUMIF(Wyniki!$C$2:$C$501,A192,Wyniki!$O$2:$O$501))</f>
        <v/>
      </c>
      <c r="I192" s="4" t="str">
        <f t="shared" si="10"/>
        <v/>
      </c>
      <c r="J192" s="4" t="str">
        <f t="shared" si="11"/>
        <v/>
      </c>
    </row>
    <row r="193" spans="1:10" x14ac:dyDescent="0.25">
      <c r="A193" s="4"/>
      <c r="B193" s="4"/>
      <c r="C193" s="4"/>
      <c r="D193" s="4"/>
      <c r="E193" s="4" t="str">
        <f ca="1">IFERROR(_xludf.XLOOKUP(A193,Milestones!$A$2:$A$501,Milestones!$M$2:$M$501),"")</f>
        <v/>
      </c>
      <c r="F193" s="4" t="str">
        <f t="shared" ca="1" si="8"/>
        <v/>
      </c>
      <c r="G193" s="4" t="str">
        <f t="shared" si="9"/>
        <v/>
      </c>
      <c r="H193" s="4" t="str">
        <f>IF(A193="","",SUMIF(Wyniki!$C$2:$C$501,A193,Wyniki!$O$2:$O$501))</f>
        <v/>
      </c>
      <c r="I193" s="4" t="str">
        <f t="shared" si="10"/>
        <v/>
      </c>
      <c r="J193" s="4" t="str">
        <f t="shared" si="11"/>
        <v/>
      </c>
    </row>
    <row r="194" spans="1:10" x14ac:dyDescent="0.25">
      <c r="A194" s="4"/>
      <c r="B194" s="4"/>
      <c r="C194" s="4"/>
      <c r="D194" s="4"/>
      <c r="E194" s="4" t="str">
        <f ca="1">IFERROR(_xludf.XLOOKUP(A194,Milestones!$A$2:$A$501,Milestones!$M$2:$M$501),"")</f>
        <v/>
      </c>
      <c r="F194" s="4" t="str">
        <f t="shared" ref="F194:F257" ca="1" si="12">IF(E194="","",MIN(E194,1))</f>
        <v/>
      </c>
      <c r="G194" s="4" t="str">
        <f t="shared" ref="G194:G257" si="13">IF(D194="","",ROUNDDOWN(D194*F194,2))</f>
        <v/>
      </c>
      <c r="H194" s="4" t="str">
        <f>IF(A194="","",SUMIF(Wyniki!$C$2:$C$501,A194,Wyniki!$O$2:$O$501))</f>
        <v/>
      </c>
      <c r="I194" s="4" t="str">
        <f t="shared" ref="I194:I257" si="14">IF(G194="","",MAX(0,G194-H194))</f>
        <v/>
      </c>
      <c r="J194" s="4" t="str">
        <f t="shared" ref="J194:J257" si="15">IF(A194="","",IF(H194&lt;=G194,"OK","NIE"))</f>
        <v/>
      </c>
    </row>
    <row r="195" spans="1:10" x14ac:dyDescent="0.25">
      <c r="A195" s="4"/>
      <c r="B195" s="4"/>
      <c r="C195" s="4"/>
      <c r="D195" s="4"/>
      <c r="E195" s="4" t="str">
        <f ca="1">IFERROR(_xludf.XLOOKUP(A195,Milestones!$A$2:$A$501,Milestones!$M$2:$M$501),"")</f>
        <v/>
      </c>
      <c r="F195" s="4" t="str">
        <f t="shared" ca="1" si="12"/>
        <v/>
      </c>
      <c r="G195" s="4" t="str">
        <f t="shared" si="13"/>
        <v/>
      </c>
      <c r="H195" s="4" t="str">
        <f>IF(A195="","",SUMIF(Wyniki!$C$2:$C$501,A195,Wyniki!$O$2:$O$501))</f>
        <v/>
      </c>
      <c r="I195" s="4" t="str">
        <f t="shared" si="14"/>
        <v/>
      </c>
      <c r="J195" s="4" t="str">
        <f t="shared" si="15"/>
        <v/>
      </c>
    </row>
    <row r="196" spans="1:10" x14ac:dyDescent="0.25">
      <c r="A196" s="4"/>
      <c r="B196" s="4"/>
      <c r="C196" s="4"/>
      <c r="D196" s="4"/>
      <c r="E196" s="4" t="str">
        <f ca="1">IFERROR(_xludf.XLOOKUP(A196,Milestones!$A$2:$A$501,Milestones!$M$2:$M$501),"")</f>
        <v/>
      </c>
      <c r="F196" s="4" t="str">
        <f t="shared" ca="1" si="12"/>
        <v/>
      </c>
      <c r="G196" s="4" t="str">
        <f t="shared" si="13"/>
        <v/>
      </c>
      <c r="H196" s="4" t="str">
        <f>IF(A196="","",SUMIF(Wyniki!$C$2:$C$501,A196,Wyniki!$O$2:$O$501))</f>
        <v/>
      </c>
      <c r="I196" s="4" t="str">
        <f t="shared" si="14"/>
        <v/>
      </c>
      <c r="J196" s="4" t="str">
        <f t="shared" si="15"/>
        <v/>
      </c>
    </row>
    <row r="197" spans="1:10" x14ac:dyDescent="0.25">
      <c r="A197" s="4"/>
      <c r="B197" s="4"/>
      <c r="C197" s="4"/>
      <c r="D197" s="4"/>
      <c r="E197" s="4" t="str">
        <f ca="1">IFERROR(_xludf.XLOOKUP(A197,Milestones!$A$2:$A$501,Milestones!$M$2:$M$501),"")</f>
        <v/>
      </c>
      <c r="F197" s="4" t="str">
        <f t="shared" ca="1" si="12"/>
        <v/>
      </c>
      <c r="G197" s="4" t="str">
        <f t="shared" si="13"/>
        <v/>
      </c>
      <c r="H197" s="4" t="str">
        <f>IF(A197="","",SUMIF(Wyniki!$C$2:$C$501,A197,Wyniki!$O$2:$O$501))</f>
        <v/>
      </c>
      <c r="I197" s="4" t="str">
        <f t="shared" si="14"/>
        <v/>
      </c>
      <c r="J197" s="4" t="str">
        <f t="shared" si="15"/>
        <v/>
      </c>
    </row>
    <row r="198" spans="1:10" x14ac:dyDescent="0.25">
      <c r="A198" s="4"/>
      <c r="B198" s="4"/>
      <c r="C198" s="4"/>
      <c r="D198" s="4"/>
      <c r="E198" s="4" t="str">
        <f ca="1">IFERROR(_xludf.XLOOKUP(A198,Milestones!$A$2:$A$501,Milestones!$M$2:$M$501),"")</f>
        <v/>
      </c>
      <c r="F198" s="4" t="str">
        <f t="shared" ca="1" si="12"/>
        <v/>
      </c>
      <c r="G198" s="4" t="str">
        <f t="shared" si="13"/>
        <v/>
      </c>
      <c r="H198" s="4" t="str">
        <f>IF(A198="","",SUMIF(Wyniki!$C$2:$C$501,A198,Wyniki!$O$2:$O$501))</f>
        <v/>
      </c>
      <c r="I198" s="4" t="str">
        <f t="shared" si="14"/>
        <v/>
      </c>
      <c r="J198" s="4" t="str">
        <f t="shared" si="15"/>
        <v/>
      </c>
    </row>
    <row r="199" spans="1:10" x14ac:dyDescent="0.25">
      <c r="A199" s="4"/>
      <c r="B199" s="4"/>
      <c r="C199" s="4"/>
      <c r="D199" s="4"/>
      <c r="E199" s="4" t="str">
        <f ca="1">IFERROR(_xludf.XLOOKUP(A199,Milestones!$A$2:$A$501,Milestones!$M$2:$M$501),"")</f>
        <v/>
      </c>
      <c r="F199" s="4" t="str">
        <f t="shared" ca="1" si="12"/>
        <v/>
      </c>
      <c r="G199" s="4" t="str">
        <f t="shared" si="13"/>
        <v/>
      </c>
      <c r="H199" s="4" t="str">
        <f>IF(A199="","",SUMIF(Wyniki!$C$2:$C$501,A199,Wyniki!$O$2:$O$501))</f>
        <v/>
      </c>
      <c r="I199" s="4" t="str">
        <f t="shared" si="14"/>
        <v/>
      </c>
      <c r="J199" s="4" t="str">
        <f t="shared" si="15"/>
        <v/>
      </c>
    </row>
    <row r="200" spans="1:10" x14ac:dyDescent="0.25">
      <c r="A200" s="4"/>
      <c r="B200" s="4"/>
      <c r="C200" s="4"/>
      <c r="D200" s="4"/>
      <c r="E200" s="4" t="str">
        <f ca="1">IFERROR(_xludf.XLOOKUP(A200,Milestones!$A$2:$A$501,Milestones!$M$2:$M$501),"")</f>
        <v/>
      </c>
      <c r="F200" s="4" t="str">
        <f t="shared" ca="1" si="12"/>
        <v/>
      </c>
      <c r="G200" s="4" t="str">
        <f t="shared" si="13"/>
        <v/>
      </c>
      <c r="H200" s="4" t="str">
        <f>IF(A200="","",SUMIF(Wyniki!$C$2:$C$501,A200,Wyniki!$O$2:$O$501))</f>
        <v/>
      </c>
      <c r="I200" s="4" t="str">
        <f t="shared" si="14"/>
        <v/>
      </c>
      <c r="J200" s="4" t="str">
        <f t="shared" si="15"/>
        <v/>
      </c>
    </row>
    <row r="201" spans="1:10" x14ac:dyDescent="0.25">
      <c r="A201" s="4"/>
      <c r="B201" s="4"/>
      <c r="C201" s="4"/>
      <c r="D201" s="4"/>
      <c r="E201" s="4" t="str">
        <f ca="1">IFERROR(_xludf.XLOOKUP(A201,Milestones!$A$2:$A$501,Milestones!$M$2:$M$501),"")</f>
        <v/>
      </c>
      <c r="F201" s="4" t="str">
        <f t="shared" ca="1" si="12"/>
        <v/>
      </c>
      <c r="G201" s="4" t="str">
        <f t="shared" si="13"/>
        <v/>
      </c>
      <c r="H201" s="4" t="str">
        <f>IF(A201="","",SUMIF(Wyniki!$C$2:$C$501,A201,Wyniki!$O$2:$O$501))</f>
        <v/>
      </c>
      <c r="I201" s="4" t="str">
        <f t="shared" si="14"/>
        <v/>
      </c>
      <c r="J201" s="4" t="str">
        <f t="shared" si="15"/>
        <v/>
      </c>
    </row>
    <row r="202" spans="1:10" x14ac:dyDescent="0.25">
      <c r="A202" s="4"/>
      <c r="B202" s="4"/>
      <c r="C202" s="4"/>
      <c r="D202" s="4"/>
      <c r="E202" s="4" t="str">
        <f ca="1">IFERROR(_xludf.XLOOKUP(A202,Milestones!$A$2:$A$501,Milestones!$M$2:$M$501),"")</f>
        <v/>
      </c>
      <c r="F202" s="4" t="str">
        <f t="shared" ca="1" si="12"/>
        <v/>
      </c>
      <c r="G202" s="4" t="str">
        <f t="shared" si="13"/>
        <v/>
      </c>
      <c r="H202" s="4" t="str">
        <f>IF(A202="","",SUMIF(Wyniki!$C$2:$C$501,A202,Wyniki!$O$2:$O$501))</f>
        <v/>
      </c>
      <c r="I202" s="4" t="str">
        <f t="shared" si="14"/>
        <v/>
      </c>
      <c r="J202" s="4" t="str">
        <f t="shared" si="15"/>
        <v/>
      </c>
    </row>
    <row r="203" spans="1:10" x14ac:dyDescent="0.25">
      <c r="A203" s="4"/>
      <c r="B203" s="4"/>
      <c r="C203" s="4"/>
      <c r="D203" s="4"/>
      <c r="E203" s="4" t="str">
        <f ca="1">IFERROR(_xludf.XLOOKUP(A203,Milestones!$A$2:$A$501,Milestones!$M$2:$M$501),"")</f>
        <v/>
      </c>
      <c r="F203" s="4" t="str">
        <f t="shared" ca="1" si="12"/>
        <v/>
      </c>
      <c r="G203" s="4" t="str">
        <f t="shared" si="13"/>
        <v/>
      </c>
      <c r="H203" s="4" t="str">
        <f>IF(A203="","",SUMIF(Wyniki!$C$2:$C$501,A203,Wyniki!$O$2:$O$501))</f>
        <v/>
      </c>
      <c r="I203" s="4" t="str">
        <f t="shared" si="14"/>
        <v/>
      </c>
      <c r="J203" s="4" t="str">
        <f t="shared" si="15"/>
        <v/>
      </c>
    </row>
    <row r="204" spans="1:10" x14ac:dyDescent="0.25">
      <c r="A204" s="4"/>
      <c r="B204" s="4"/>
      <c r="C204" s="4"/>
      <c r="D204" s="4"/>
      <c r="E204" s="4" t="str">
        <f ca="1">IFERROR(_xludf.XLOOKUP(A204,Milestones!$A$2:$A$501,Milestones!$M$2:$M$501),"")</f>
        <v/>
      </c>
      <c r="F204" s="4" t="str">
        <f t="shared" ca="1" si="12"/>
        <v/>
      </c>
      <c r="G204" s="4" t="str">
        <f t="shared" si="13"/>
        <v/>
      </c>
      <c r="H204" s="4" t="str">
        <f>IF(A204="","",SUMIF(Wyniki!$C$2:$C$501,A204,Wyniki!$O$2:$O$501))</f>
        <v/>
      </c>
      <c r="I204" s="4" t="str">
        <f t="shared" si="14"/>
        <v/>
      </c>
      <c r="J204" s="4" t="str">
        <f t="shared" si="15"/>
        <v/>
      </c>
    </row>
    <row r="205" spans="1:10" x14ac:dyDescent="0.25">
      <c r="A205" s="4"/>
      <c r="B205" s="4"/>
      <c r="C205" s="4"/>
      <c r="D205" s="4"/>
      <c r="E205" s="4" t="str">
        <f ca="1">IFERROR(_xludf.XLOOKUP(A205,Milestones!$A$2:$A$501,Milestones!$M$2:$M$501),"")</f>
        <v/>
      </c>
      <c r="F205" s="4" t="str">
        <f t="shared" ca="1" si="12"/>
        <v/>
      </c>
      <c r="G205" s="4" t="str">
        <f t="shared" si="13"/>
        <v/>
      </c>
      <c r="H205" s="4" t="str">
        <f>IF(A205="","",SUMIF(Wyniki!$C$2:$C$501,A205,Wyniki!$O$2:$O$501))</f>
        <v/>
      </c>
      <c r="I205" s="4" t="str">
        <f t="shared" si="14"/>
        <v/>
      </c>
      <c r="J205" s="4" t="str">
        <f t="shared" si="15"/>
        <v/>
      </c>
    </row>
    <row r="206" spans="1:10" x14ac:dyDescent="0.25">
      <c r="A206" s="4"/>
      <c r="B206" s="4"/>
      <c r="C206" s="4"/>
      <c r="D206" s="4"/>
      <c r="E206" s="4" t="str">
        <f ca="1">IFERROR(_xludf.XLOOKUP(A206,Milestones!$A$2:$A$501,Milestones!$M$2:$M$501),"")</f>
        <v/>
      </c>
      <c r="F206" s="4" t="str">
        <f t="shared" ca="1" si="12"/>
        <v/>
      </c>
      <c r="G206" s="4" t="str">
        <f t="shared" si="13"/>
        <v/>
      </c>
      <c r="H206" s="4" t="str">
        <f>IF(A206="","",SUMIF(Wyniki!$C$2:$C$501,A206,Wyniki!$O$2:$O$501))</f>
        <v/>
      </c>
      <c r="I206" s="4" t="str">
        <f t="shared" si="14"/>
        <v/>
      </c>
      <c r="J206" s="4" t="str">
        <f t="shared" si="15"/>
        <v/>
      </c>
    </row>
    <row r="207" spans="1:10" x14ac:dyDescent="0.25">
      <c r="A207" s="4"/>
      <c r="B207" s="4"/>
      <c r="C207" s="4"/>
      <c r="D207" s="4"/>
      <c r="E207" s="4" t="str">
        <f ca="1">IFERROR(_xludf.XLOOKUP(A207,Milestones!$A$2:$A$501,Milestones!$M$2:$M$501),"")</f>
        <v/>
      </c>
      <c r="F207" s="4" t="str">
        <f t="shared" ca="1" si="12"/>
        <v/>
      </c>
      <c r="G207" s="4" t="str">
        <f t="shared" si="13"/>
        <v/>
      </c>
      <c r="H207" s="4" t="str">
        <f>IF(A207="","",SUMIF(Wyniki!$C$2:$C$501,A207,Wyniki!$O$2:$O$501))</f>
        <v/>
      </c>
      <c r="I207" s="4" t="str">
        <f t="shared" si="14"/>
        <v/>
      </c>
      <c r="J207" s="4" t="str">
        <f t="shared" si="15"/>
        <v/>
      </c>
    </row>
    <row r="208" spans="1:10" x14ac:dyDescent="0.25">
      <c r="A208" s="4"/>
      <c r="B208" s="4"/>
      <c r="C208" s="4"/>
      <c r="D208" s="4"/>
      <c r="E208" s="4" t="str">
        <f ca="1">IFERROR(_xludf.XLOOKUP(A208,Milestones!$A$2:$A$501,Milestones!$M$2:$M$501),"")</f>
        <v/>
      </c>
      <c r="F208" s="4" t="str">
        <f t="shared" ca="1" si="12"/>
        <v/>
      </c>
      <c r="G208" s="4" t="str">
        <f t="shared" si="13"/>
        <v/>
      </c>
      <c r="H208" s="4" t="str">
        <f>IF(A208="","",SUMIF(Wyniki!$C$2:$C$501,A208,Wyniki!$O$2:$O$501))</f>
        <v/>
      </c>
      <c r="I208" s="4" t="str">
        <f t="shared" si="14"/>
        <v/>
      </c>
      <c r="J208" s="4" t="str">
        <f t="shared" si="15"/>
        <v/>
      </c>
    </row>
    <row r="209" spans="1:10" x14ac:dyDescent="0.25">
      <c r="A209" s="4"/>
      <c r="B209" s="4"/>
      <c r="C209" s="4"/>
      <c r="D209" s="4"/>
      <c r="E209" s="4" t="str">
        <f ca="1">IFERROR(_xludf.XLOOKUP(A209,Milestones!$A$2:$A$501,Milestones!$M$2:$M$501),"")</f>
        <v/>
      </c>
      <c r="F209" s="4" t="str">
        <f t="shared" ca="1" si="12"/>
        <v/>
      </c>
      <c r="G209" s="4" t="str">
        <f t="shared" si="13"/>
        <v/>
      </c>
      <c r="H209" s="4" t="str">
        <f>IF(A209="","",SUMIF(Wyniki!$C$2:$C$501,A209,Wyniki!$O$2:$O$501))</f>
        <v/>
      </c>
      <c r="I209" s="4" t="str">
        <f t="shared" si="14"/>
        <v/>
      </c>
      <c r="J209" s="4" t="str">
        <f t="shared" si="15"/>
        <v/>
      </c>
    </row>
    <row r="210" spans="1:10" x14ac:dyDescent="0.25">
      <c r="A210" s="4"/>
      <c r="B210" s="4"/>
      <c r="C210" s="4"/>
      <c r="D210" s="4"/>
      <c r="E210" s="4" t="str">
        <f ca="1">IFERROR(_xludf.XLOOKUP(A210,Milestones!$A$2:$A$501,Milestones!$M$2:$M$501),"")</f>
        <v/>
      </c>
      <c r="F210" s="4" t="str">
        <f t="shared" ca="1" si="12"/>
        <v/>
      </c>
      <c r="G210" s="4" t="str">
        <f t="shared" si="13"/>
        <v/>
      </c>
      <c r="H210" s="4" t="str">
        <f>IF(A210="","",SUMIF(Wyniki!$C$2:$C$501,A210,Wyniki!$O$2:$O$501))</f>
        <v/>
      </c>
      <c r="I210" s="4" t="str">
        <f t="shared" si="14"/>
        <v/>
      </c>
      <c r="J210" s="4" t="str">
        <f t="shared" si="15"/>
        <v/>
      </c>
    </row>
    <row r="211" spans="1:10" x14ac:dyDescent="0.25">
      <c r="A211" s="4"/>
      <c r="B211" s="4"/>
      <c r="C211" s="4"/>
      <c r="D211" s="4"/>
      <c r="E211" s="4" t="str">
        <f ca="1">IFERROR(_xludf.XLOOKUP(A211,Milestones!$A$2:$A$501,Milestones!$M$2:$M$501),"")</f>
        <v/>
      </c>
      <c r="F211" s="4" t="str">
        <f t="shared" ca="1" si="12"/>
        <v/>
      </c>
      <c r="G211" s="4" t="str">
        <f t="shared" si="13"/>
        <v/>
      </c>
      <c r="H211" s="4" t="str">
        <f>IF(A211="","",SUMIF(Wyniki!$C$2:$C$501,A211,Wyniki!$O$2:$O$501))</f>
        <v/>
      </c>
      <c r="I211" s="4" t="str">
        <f t="shared" si="14"/>
        <v/>
      </c>
      <c r="J211" s="4" t="str">
        <f t="shared" si="15"/>
        <v/>
      </c>
    </row>
    <row r="212" spans="1:10" x14ac:dyDescent="0.25">
      <c r="A212" s="4"/>
      <c r="B212" s="4"/>
      <c r="C212" s="4"/>
      <c r="D212" s="4"/>
      <c r="E212" s="4" t="str">
        <f ca="1">IFERROR(_xludf.XLOOKUP(A212,Milestones!$A$2:$A$501,Milestones!$M$2:$M$501),"")</f>
        <v/>
      </c>
      <c r="F212" s="4" t="str">
        <f t="shared" ca="1" si="12"/>
        <v/>
      </c>
      <c r="G212" s="4" t="str">
        <f t="shared" si="13"/>
        <v/>
      </c>
      <c r="H212" s="4" t="str">
        <f>IF(A212="","",SUMIF(Wyniki!$C$2:$C$501,A212,Wyniki!$O$2:$O$501))</f>
        <v/>
      </c>
      <c r="I212" s="4" t="str">
        <f t="shared" si="14"/>
        <v/>
      </c>
      <c r="J212" s="4" t="str">
        <f t="shared" si="15"/>
        <v/>
      </c>
    </row>
    <row r="213" spans="1:10" x14ac:dyDescent="0.25">
      <c r="A213" s="4"/>
      <c r="B213" s="4"/>
      <c r="C213" s="4"/>
      <c r="D213" s="4"/>
      <c r="E213" s="4" t="str">
        <f ca="1">IFERROR(_xludf.XLOOKUP(A213,Milestones!$A$2:$A$501,Milestones!$M$2:$M$501),"")</f>
        <v/>
      </c>
      <c r="F213" s="4" t="str">
        <f t="shared" ca="1" si="12"/>
        <v/>
      </c>
      <c r="G213" s="4" t="str">
        <f t="shared" si="13"/>
        <v/>
      </c>
      <c r="H213" s="4" t="str">
        <f>IF(A213="","",SUMIF(Wyniki!$C$2:$C$501,A213,Wyniki!$O$2:$O$501))</f>
        <v/>
      </c>
      <c r="I213" s="4" t="str">
        <f t="shared" si="14"/>
        <v/>
      </c>
      <c r="J213" s="4" t="str">
        <f t="shared" si="15"/>
        <v/>
      </c>
    </row>
    <row r="214" spans="1:10" x14ac:dyDescent="0.25">
      <c r="A214" s="4"/>
      <c r="B214" s="4"/>
      <c r="C214" s="4"/>
      <c r="D214" s="4"/>
      <c r="E214" s="4" t="str">
        <f ca="1">IFERROR(_xludf.XLOOKUP(A214,Milestones!$A$2:$A$501,Milestones!$M$2:$M$501),"")</f>
        <v/>
      </c>
      <c r="F214" s="4" t="str">
        <f t="shared" ca="1" si="12"/>
        <v/>
      </c>
      <c r="G214" s="4" t="str">
        <f t="shared" si="13"/>
        <v/>
      </c>
      <c r="H214" s="4" t="str">
        <f>IF(A214="","",SUMIF(Wyniki!$C$2:$C$501,A214,Wyniki!$O$2:$O$501))</f>
        <v/>
      </c>
      <c r="I214" s="4" t="str">
        <f t="shared" si="14"/>
        <v/>
      </c>
      <c r="J214" s="4" t="str">
        <f t="shared" si="15"/>
        <v/>
      </c>
    </row>
    <row r="215" spans="1:10" x14ac:dyDescent="0.25">
      <c r="A215" s="4"/>
      <c r="B215" s="4"/>
      <c r="C215" s="4"/>
      <c r="D215" s="4"/>
      <c r="E215" s="4" t="str">
        <f ca="1">IFERROR(_xludf.XLOOKUP(A215,Milestones!$A$2:$A$501,Milestones!$M$2:$M$501),"")</f>
        <v/>
      </c>
      <c r="F215" s="4" t="str">
        <f t="shared" ca="1" si="12"/>
        <v/>
      </c>
      <c r="G215" s="4" t="str">
        <f t="shared" si="13"/>
        <v/>
      </c>
      <c r="H215" s="4" t="str">
        <f>IF(A215="","",SUMIF(Wyniki!$C$2:$C$501,A215,Wyniki!$O$2:$O$501))</f>
        <v/>
      </c>
      <c r="I215" s="4" t="str">
        <f t="shared" si="14"/>
        <v/>
      </c>
      <c r="J215" s="4" t="str">
        <f t="shared" si="15"/>
        <v/>
      </c>
    </row>
    <row r="216" spans="1:10" x14ac:dyDescent="0.25">
      <c r="A216" s="4"/>
      <c r="B216" s="4"/>
      <c r="C216" s="4"/>
      <c r="D216" s="4"/>
      <c r="E216" s="4" t="str">
        <f ca="1">IFERROR(_xludf.XLOOKUP(A216,Milestones!$A$2:$A$501,Milestones!$M$2:$M$501),"")</f>
        <v/>
      </c>
      <c r="F216" s="4" t="str">
        <f t="shared" ca="1" si="12"/>
        <v/>
      </c>
      <c r="G216" s="4" t="str">
        <f t="shared" si="13"/>
        <v/>
      </c>
      <c r="H216" s="4" t="str">
        <f>IF(A216="","",SUMIF(Wyniki!$C$2:$C$501,A216,Wyniki!$O$2:$O$501))</f>
        <v/>
      </c>
      <c r="I216" s="4" t="str">
        <f t="shared" si="14"/>
        <v/>
      </c>
      <c r="J216" s="4" t="str">
        <f t="shared" si="15"/>
        <v/>
      </c>
    </row>
    <row r="217" spans="1:10" x14ac:dyDescent="0.25">
      <c r="A217" s="4"/>
      <c r="B217" s="4"/>
      <c r="C217" s="4"/>
      <c r="D217" s="4"/>
      <c r="E217" s="4" t="str">
        <f ca="1">IFERROR(_xludf.XLOOKUP(A217,Milestones!$A$2:$A$501,Milestones!$M$2:$M$501),"")</f>
        <v/>
      </c>
      <c r="F217" s="4" t="str">
        <f t="shared" ca="1" si="12"/>
        <v/>
      </c>
      <c r="G217" s="4" t="str">
        <f t="shared" si="13"/>
        <v/>
      </c>
      <c r="H217" s="4" t="str">
        <f>IF(A217="","",SUMIF(Wyniki!$C$2:$C$501,A217,Wyniki!$O$2:$O$501))</f>
        <v/>
      </c>
      <c r="I217" s="4" t="str">
        <f t="shared" si="14"/>
        <v/>
      </c>
      <c r="J217" s="4" t="str">
        <f t="shared" si="15"/>
        <v/>
      </c>
    </row>
    <row r="218" spans="1:10" x14ac:dyDescent="0.25">
      <c r="A218" s="4"/>
      <c r="B218" s="4"/>
      <c r="C218" s="4"/>
      <c r="D218" s="4"/>
      <c r="E218" s="4" t="str">
        <f ca="1">IFERROR(_xludf.XLOOKUP(A218,Milestones!$A$2:$A$501,Milestones!$M$2:$M$501),"")</f>
        <v/>
      </c>
      <c r="F218" s="4" t="str">
        <f t="shared" ca="1" si="12"/>
        <v/>
      </c>
      <c r="G218" s="4" t="str">
        <f t="shared" si="13"/>
        <v/>
      </c>
      <c r="H218" s="4" t="str">
        <f>IF(A218="","",SUMIF(Wyniki!$C$2:$C$501,A218,Wyniki!$O$2:$O$501))</f>
        <v/>
      </c>
      <c r="I218" s="4" t="str">
        <f t="shared" si="14"/>
        <v/>
      </c>
      <c r="J218" s="4" t="str">
        <f t="shared" si="15"/>
        <v/>
      </c>
    </row>
    <row r="219" spans="1:10" x14ac:dyDescent="0.25">
      <c r="A219" s="4"/>
      <c r="B219" s="4"/>
      <c r="C219" s="4"/>
      <c r="D219" s="4"/>
      <c r="E219" s="4" t="str">
        <f ca="1">IFERROR(_xludf.XLOOKUP(A219,Milestones!$A$2:$A$501,Milestones!$M$2:$M$501),"")</f>
        <v/>
      </c>
      <c r="F219" s="4" t="str">
        <f t="shared" ca="1" si="12"/>
        <v/>
      </c>
      <c r="G219" s="4" t="str">
        <f t="shared" si="13"/>
        <v/>
      </c>
      <c r="H219" s="4" t="str">
        <f>IF(A219="","",SUMIF(Wyniki!$C$2:$C$501,A219,Wyniki!$O$2:$O$501))</f>
        <v/>
      </c>
      <c r="I219" s="4" t="str">
        <f t="shared" si="14"/>
        <v/>
      </c>
      <c r="J219" s="4" t="str">
        <f t="shared" si="15"/>
        <v/>
      </c>
    </row>
    <row r="220" spans="1:10" x14ac:dyDescent="0.25">
      <c r="A220" s="4"/>
      <c r="B220" s="4"/>
      <c r="C220" s="4"/>
      <c r="D220" s="4"/>
      <c r="E220" s="4" t="str">
        <f ca="1">IFERROR(_xludf.XLOOKUP(A220,Milestones!$A$2:$A$501,Milestones!$M$2:$M$501),"")</f>
        <v/>
      </c>
      <c r="F220" s="4" t="str">
        <f t="shared" ca="1" si="12"/>
        <v/>
      </c>
      <c r="G220" s="4" t="str">
        <f t="shared" si="13"/>
        <v/>
      </c>
      <c r="H220" s="4" t="str">
        <f>IF(A220="","",SUMIF(Wyniki!$C$2:$C$501,A220,Wyniki!$O$2:$O$501))</f>
        <v/>
      </c>
      <c r="I220" s="4" t="str">
        <f t="shared" si="14"/>
        <v/>
      </c>
      <c r="J220" s="4" t="str">
        <f t="shared" si="15"/>
        <v/>
      </c>
    </row>
    <row r="221" spans="1:10" x14ac:dyDescent="0.25">
      <c r="A221" s="4"/>
      <c r="B221" s="4"/>
      <c r="C221" s="4"/>
      <c r="D221" s="4"/>
      <c r="E221" s="4" t="str">
        <f ca="1">IFERROR(_xludf.XLOOKUP(A221,Milestones!$A$2:$A$501,Milestones!$M$2:$M$501),"")</f>
        <v/>
      </c>
      <c r="F221" s="4" t="str">
        <f t="shared" ca="1" si="12"/>
        <v/>
      </c>
      <c r="G221" s="4" t="str">
        <f t="shared" si="13"/>
        <v/>
      </c>
      <c r="H221" s="4" t="str">
        <f>IF(A221="","",SUMIF(Wyniki!$C$2:$C$501,A221,Wyniki!$O$2:$O$501))</f>
        <v/>
      </c>
      <c r="I221" s="4" t="str">
        <f t="shared" si="14"/>
        <v/>
      </c>
      <c r="J221" s="4" t="str">
        <f t="shared" si="15"/>
        <v/>
      </c>
    </row>
    <row r="222" spans="1:10" x14ac:dyDescent="0.25">
      <c r="A222" s="4"/>
      <c r="B222" s="4"/>
      <c r="C222" s="4"/>
      <c r="D222" s="4"/>
      <c r="E222" s="4" t="str">
        <f ca="1">IFERROR(_xludf.XLOOKUP(A222,Milestones!$A$2:$A$501,Milestones!$M$2:$M$501),"")</f>
        <v/>
      </c>
      <c r="F222" s="4" t="str">
        <f t="shared" ca="1" si="12"/>
        <v/>
      </c>
      <c r="G222" s="4" t="str">
        <f t="shared" si="13"/>
        <v/>
      </c>
      <c r="H222" s="4" t="str">
        <f>IF(A222="","",SUMIF(Wyniki!$C$2:$C$501,A222,Wyniki!$O$2:$O$501))</f>
        <v/>
      </c>
      <c r="I222" s="4" t="str">
        <f t="shared" si="14"/>
        <v/>
      </c>
      <c r="J222" s="4" t="str">
        <f t="shared" si="15"/>
        <v/>
      </c>
    </row>
    <row r="223" spans="1:10" x14ac:dyDescent="0.25">
      <c r="A223" s="4"/>
      <c r="B223" s="4"/>
      <c r="C223" s="4"/>
      <c r="D223" s="4"/>
      <c r="E223" s="4" t="str">
        <f ca="1">IFERROR(_xludf.XLOOKUP(A223,Milestones!$A$2:$A$501,Milestones!$M$2:$M$501),"")</f>
        <v/>
      </c>
      <c r="F223" s="4" t="str">
        <f t="shared" ca="1" si="12"/>
        <v/>
      </c>
      <c r="G223" s="4" t="str">
        <f t="shared" si="13"/>
        <v/>
      </c>
      <c r="H223" s="4" t="str">
        <f>IF(A223="","",SUMIF(Wyniki!$C$2:$C$501,A223,Wyniki!$O$2:$O$501))</f>
        <v/>
      </c>
      <c r="I223" s="4" t="str">
        <f t="shared" si="14"/>
        <v/>
      </c>
      <c r="J223" s="4" t="str">
        <f t="shared" si="15"/>
        <v/>
      </c>
    </row>
    <row r="224" spans="1:10" x14ac:dyDescent="0.25">
      <c r="A224" s="4"/>
      <c r="B224" s="4"/>
      <c r="C224" s="4"/>
      <c r="D224" s="4"/>
      <c r="E224" s="4" t="str">
        <f ca="1">IFERROR(_xludf.XLOOKUP(A224,Milestones!$A$2:$A$501,Milestones!$M$2:$M$501),"")</f>
        <v/>
      </c>
      <c r="F224" s="4" t="str">
        <f t="shared" ca="1" si="12"/>
        <v/>
      </c>
      <c r="G224" s="4" t="str">
        <f t="shared" si="13"/>
        <v/>
      </c>
      <c r="H224" s="4" t="str">
        <f>IF(A224="","",SUMIF(Wyniki!$C$2:$C$501,A224,Wyniki!$O$2:$O$501))</f>
        <v/>
      </c>
      <c r="I224" s="4" t="str">
        <f t="shared" si="14"/>
        <v/>
      </c>
      <c r="J224" s="4" t="str">
        <f t="shared" si="15"/>
        <v/>
      </c>
    </row>
    <row r="225" spans="1:10" x14ac:dyDescent="0.25">
      <c r="A225" s="4"/>
      <c r="B225" s="4"/>
      <c r="C225" s="4"/>
      <c r="D225" s="4"/>
      <c r="E225" s="4" t="str">
        <f ca="1">IFERROR(_xludf.XLOOKUP(A225,Milestones!$A$2:$A$501,Milestones!$M$2:$M$501),"")</f>
        <v/>
      </c>
      <c r="F225" s="4" t="str">
        <f t="shared" ca="1" si="12"/>
        <v/>
      </c>
      <c r="G225" s="4" t="str">
        <f t="shared" si="13"/>
        <v/>
      </c>
      <c r="H225" s="4" t="str">
        <f>IF(A225="","",SUMIF(Wyniki!$C$2:$C$501,A225,Wyniki!$O$2:$O$501))</f>
        <v/>
      </c>
      <c r="I225" s="4" t="str">
        <f t="shared" si="14"/>
        <v/>
      </c>
      <c r="J225" s="4" t="str">
        <f t="shared" si="15"/>
        <v/>
      </c>
    </row>
    <row r="226" spans="1:10" x14ac:dyDescent="0.25">
      <c r="A226" s="4"/>
      <c r="B226" s="4"/>
      <c r="C226" s="4"/>
      <c r="D226" s="4"/>
      <c r="E226" s="4" t="str">
        <f ca="1">IFERROR(_xludf.XLOOKUP(A226,Milestones!$A$2:$A$501,Milestones!$M$2:$M$501),"")</f>
        <v/>
      </c>
      <c r="F226" s="4" t="str">
        <f t="shared" ca="1" si="12"/>
        <v/>
      </c>
      <c r="G226" s="4" t="str">
        <f t="shared" si="13"/>
        <v/>
      </c>
      <c r="H226" s="4" t="str">
        <f>IF(A226="","",SUMIF(Wyniki!$C$2:$C$501,A226,Wyniki!$O$2:$O$501))</f>
        <v/>
      </c>
      <c r="I226" s="4" t="str">
        <f t="shared" si="14"/>
        <v/>
      </c>
      <c r="J226" s="4" t="str">
        <f t="shared" si="15"/>
        <v/>
      </c>
    </row>
    <row r="227" spans="1:10" x14ac:dyDescent="0.25">
      <c r="A227" s="4"/>
      <c r="B227" s="4"/>
      <c r="C227" s="4"/>
      <c r="D227" s="4"/>
      <c r="E227" s="4" t="str">
        <f ca="1">IFERROR(_xludf.XLOOKUP(A227,Milestones!$A$2:$A$501,Milestones!$M$2:$M$501),"")</f>
        <v/>
      </c>
      <c r="F227" s="4" t="str">
        <f t="shared" ca="1" si="12"/>
        <v/>
      </c>
      <c r="G227" s="4" t="str">
        <f t="shared" si="13"/>
        <v/>
      </c>
      <c r="H227" s="4" t="str">
        <f>IF(A227="","",SUMIF(Wyniki!$C$2:$C$501,A227,Wyniki!$O$2:$O$501))</f>
        <v/>
      </c>
      <c r="I227" s="4" t="str">
        <f t="shared" si="14"/>
        <v/>
      </c>
      <c r="J227" s="4" t="str">
        <f t="shared" si="15"/>
        <v/>
      </c>
    </row>
    <row r="228" spans="1:10" x14ac:dyDescent="0.25">
      <c r="A228" s="4"/>
      <c r="B228" s="4"/>
      <c r="C228" s="4"/>
      <c r="D228" s="4"/>
      <c r="E228" s="4" t="str">
        <f ca="1">IFERROR(_xludf.XLOOKUP(A228,Milestones!$A$2:$A$501,Milestones!$M$2:$M$501),"")</f>
        <v/>
      </c>
      <c r="F228" s="4" t="str">
        <f t="shared" ca="1" si="12"/>
        <v/>
      </c>
      <c r="G228" s="4" t="str">
        <f t="shared" si="13"/>
        <v/>
      </c>
      <c r="H228" s="4" t="str">
        <f>IF(A228="","",SUMIF(Wyniki!$C$2:$C$501,A228,Wyniki!$O$2:$O$501))</f>
        <v/>
      </c>
      <c r="I228" s="4" t="str">
        <f t="shared" si="14"/>
        <v/>
      </c>
      <c r="J228" s="4" t="str">
        <f t="shared" si="15"/>
        <v/>
      </c>
    </row>
    <row r="229" spans="1:10" x14ac:dyDescent="0.25">
      <c r="A229" s="4"/>
      <c r="B229" s="4"/>
      <c r="C229" s="4"/>
      <c r="D229" s="4"/>
      <c r="E229" s="4" t="str">
        <f ca="1">IFERROR(_xludf.XLOOKUP(A229,Milestones!$A$2:$A$501,Milestones!$M$2:$M$501),"")</f>
        <v/>
      </c>
      <c r="F229" s="4" t="str">
        <f t="shared" ca="1" si="12"/>
        <v/>
      </c>
      <c r="G229" s="4" t="str">
        <f t="shared" si="13"/>
        <v/>
      </c>
      <c r="H229" s="4" t="str">
        <f>IF(A229="","",SUMIF(Wyniki!$C$2:$C$501,A229,Wyniki!$O$2:$O$501))</f>
        <v/>
      </c>
      <c r="I229" s="4" t="str">
        <f t="shared" si="14"/>
        <v/>
      </c>
      <c r="J229" s="4" t="str">
        <f t="shared" si="15"/>
        <v/>
      </c>
    </row>
    <row r="230" spans="1:10" x14ac:dyDescent="0.25">
      <c r="A230" s="4"/>
      <c r="B230" s="4"/>
      <c r="C230" s="4"/>
      <c r="D230" s="4"/>
      <c r="E230" s="4" t="str">
        <f ca="1">IFERROR(_xludf.XLOOKUP(A230,Milestones!$A$2:$A$501,Milestones!$M$2:$M$501),"")</f>
        <v/>
      </c>
      <c r="F230" s="4" t="str">
        <f t="shared" ca="1" si="12"/>
        <v/>
      </c>
      <c r="G230" s="4" t="str">
        <f t="shared" si="13"/>
        <v/>
      </c>
      <c r="H230" s="4" t="str">
        <f>IF(A230="","",SUMIF(Wyniki!$C$2:$C$501,A230,Wyniki!$O$2:$O$501))</f>
        <v/>
      </c>
      <c r="I230" s="4" t="str">
        <f t="shared" si="14"/>
        <v/>
      </c>
      <c r="J230" s="4" t="str">
        <f t="shared" si="15"/>
        <v/>
      </c>
    </row>
    <row r="231" spans="1:10" x14ac:dyDescent="0.25">
      <c r="A231" s="4"/>
      <c r="B231" s="4"/>
      <c r="C231" s="4"/>
      <c r="D231" s="4"/>
      <c r="E231" s="4" t="str">
        <f ca="1">IFERROR(_xludf.XLOOKUP(A231,Milestones!$A$2:$A$501,Milestones!$M$2:$M$501),"")</f>
        <v/>
      </c>
      <c r="F231" s="4" t="str">
        <f t="shared" ca="1" si="12"/>
        <v/>
      </c>
      <c r="G231" s="4" t="str">
        <f t="shared" si="13"/>
        <v/>
      </c>
      <c r="H231" s="4" t="str">
        <f>IF(A231="","",SUMIF(Wyniki!$C$2:$C$501,A231,Wyniki!$O$2:$O$501))</f>
        <v/>
      </c>
      <c r="I231" s="4" t="str">
        <f t="shared" si="14"/>
        <v/>
      </c>
      <c r="J231" s="4" t="str">
        <f t="shared" si="15"/>
        <v/>
      </c>
    </row>
    <row r="232" spans="1:10" x14ac:dyDescent="0.25">
      <c r="A232" s="4"/>
      <c r="B232" s="4"/>
      <c r="C232" s="4"/>
      <c r="D232" s="4"/>
      <c r="E232" s="4" t="str">
        <f ca="1">IFERROR(_xludf.XLOOKUP(A232,Milestones!$A$2:$A$501,Milestones!$M$2:$M$501),"")</f>
        <v/>
      </c>
      <c r="F232" s="4" t="str">
        <f t="shared" ca="1" si="12"/>
        <v/>
      </c>
      <c r="G232" s="4" t="str">
        <f t="shared" si="13"/>
        <v/>
      </c>
      <c r="H232" s="4" t="str">
        <f>IF(A232="","",SUMIF(Wyniki!$C$2:$C$501,A232,Wyniki!$O$2:$O$501))</f>
        <v/>
      </c>
      <c r="I232" s="4" t="str">
        <f t="shared" si="14"/>
        <v/>
      </c>
      <c r="J232" s="4" t="str">
        <f t="shared" si="15"/>
        <v/>
      </c>
    </row>
    <row r="233" spans="1:10" x14ac:dyDescent="0.25">
      <c r="A233" s="4"/>
      <c r="B233" s="4"/>
      <c r="C233" s="4"/>
      <c r="D233" s="4"/>
      <c r="E233" s="4" t="str">
        <f ca="1">IFERROR(_xludf.XLOOKUP(A233,Milestones!$A$2:$A$501,Milestones!$M$2:$M$501),"")</f>
        <v/>
      </c>
      <c r="F233" s="4" t="str">
        <f t="shared" ca="1" si="12"/>
        <v/>
      </c>
      <c r="G233" s="4" t="str">
        <f t="shared" si="13"/>
        <v/>
      </c>
      <c r="H233" s="4" t="str">
        <f>IF(A233="","",SUMIF(Wyniki!$C$2:$C$501,A233,Wyniki!$O$2:$O$501))</f>
        <v/>
      </c>
      <c r="I233" s="4" t="str">
        <f t="shared" si="14"/>
        <v/>
      </c>
      <c r="J233" s="4" t="str">
        <f t="shared" si="15"/>
        <v/>
      </c>
    </row>
    <row r="234" spans="1:10" x14ac:dyDescent="0.25">
      <c r="A234" s="4"/>
      <c r="B234" s="4"/>
      <c r="C234" s="4"/>
      <c r="D234" s="4"/>
      <c r="E234" s="4" t="str">
        <f ca="1">IFERROR(_xludf.XLOOKUP(A234,Milestones!$A$2:$A$501,Milestones!$M$2:$M$501),"")</f>
        <v/>
      </c>
      <c r="F234" s="4" t="str">
        <f t="shared" ca="1" si="12"/>
        <v/>
      </c>
      <c r="G234" s="4" t="str">
        <f t="shared" si="13"/>
        <v/>
      </c>
      <c r="H234" s="4" t="str">
        <f>IF(A234="","",SUMIF(Wyniki!$C$2:$C$501,A234,Wyniki!$O$2:$O$501))</f>
        <v/>
      </c>
      <c r="I234" s="4" t="str">
        <f t="shared" si="14"/>
        <v/>
      </c>
      <c r="J234" s="4" t="str">
        <f t="shared" si="15"/>
        <v/>
      </c>
    </row>
    <row r="235" spans="1:10" x14ac:dyDescent="0.25">
      <c r="A235" s="4"/>
      <c r="B235" s="4"/>
      <c r="C235" s="4"/>
      <c r="D235" s="4"/>
      <c r="E235" s="4" t="str">
        <f ca="1">IFERROR(_xludf.XLOOKUP(A235,Milestones!$A$2:$A$501,Milestones!$M$2:$M$501),"")</f>
        <v/>
      </c>
      <c r="F235" s="4" t="str">
        <f t="shared" ca="1" si="12"/>
        <v/>
      </c>
      <c r="G235" s="4" t="str">
        <f t="shared" si="13"/>
        <v/>
      </c>
      <c r="H235" s="4" t="str">
        <f>IF(A235="","",SUMIF(Wyniki!$C$2:$C$501,A235,Wyniki!$O$2:$O$501))</f>
        <v/>
      </c>
      <c r="I235" s="4" t="str">
        <f t="shared" si="14"/>
        <v/>
      </c>
      <c r="J235" s="4" t="str">
        <f t="shared" si="15"/>
        <v/>
      </c>
    </row>
    <row r="236" spans="1:10" x14ac:dyDescent="0.25">
      <c r="A236" s="4"/>
      <c r="B236" s="4"/>
      <c r="C236" s="4"/>
      <c r="D236" s="4"/>
      <c r="E236" s="4" t="str">
        <f ca="1">IFERROR(_xludf.XLOOKUP(A236,Milestones!$A$2:$A$501,Milestones!$M$2:$M$501),"")</f>
        <v/>
      </c>
      <c r="F236" s="4" t="str">
        <f t="shared" ca="1" si="12"/>
        <v/>
      </c>
      <c r="G236" s="4" t="str">
        <f t="shared" si="13"/>
        <v/>
      </c>
      <c r="H236" s="4" t="str">
        <f>IF(A236="","",SUMIF(Wyniki!$C$2:$C$501,A236,Wyniki!$O$2:$O$501))</f>
        <v/>
      </c>
      <c r="I236" s="4" t="str">
        <f t="shared" si="14"/>
        <v/>
      </c>
      <c r="J236" s="4" t="str">
        <f t="shared" si="15"/>
        <v/>
      </c>
    </row>
    <row r="237" spans="1:10" x14ac:dyDescent="0.25">
      <c r="A237" s="4"/>
      <c r="B237" s="4"/>
      <c r="C237" s="4"/>
      <c r="D237" s="4"/>
      <c r="E237" s="4" t="str">
        <f ca="1">IFERROR(_xludf.XLOOKUP(A237,Milestones!$A$2:$A$501,Milestones!$M$2:$M$501),"")</f>
        <v/>
      </c>
      <c r="F237" s="4" t="str">
        <f t="shared" ca="1" si="12"/>
        <v/>
      </c>
      <c r="G237" s="4" t="str">
        <f t="shared" si="13"/>
        <v/>
      </c>
      <c r="H237" s="4" t="str">
        <f>IF(A237="","",SUMIF(Wyniki!$C$2:$C$501,A237,Wyniki!$O$2:$O$501))</f>
        <v/>
      </c>
      <c r="I237" s="4" t="str">
        <f t="shared" si="14"/>
        <v/>
      </c>
      <c r="J237" s="4" t="str">
        <f t="shared" si="15"/>
        <v/>
      </c>
    </row>
    <row r="238" spans="1:10" x14ac:dyDescent="0.25">
      <c r="A238" s="4"/>
      <c r="B238" s="4"/>
      <c r="C238" s="4"/>
      <c r="D238" s="4"/>
      <c r="E238" s="4" t="str">
        <f ca="1">IFERROR(_xludf.XLOOKUP(A238,Milestones!$A$2:$A$501,Milestones!$M$2:$M$501),"")</f>
        <v/>
      </c>
      <c r="F238" s="4" t="str">
        <f t="shared" ca="1" si="12"/>
        <v/>
      </c>
      <c r="G238" s="4" t="str">
        <f t="shared" si="13"/>
        <v/>
      </c>
      <c r="H238" s="4" t="str">
        <f>IF(A238="","",SUMIF(Wyniki!$C$2:$C$501,A238,Wyniki!$O$2:$O$501))</f>
        <v/>
      </c>
      <c r="I238" s="4" t="str">
        <f t="shared" si="14"/>
        <v/>
      </c>
      <c r="J238" s="4" t="str">
        <f t="shared" si="15"/>
        <v/>
      </c>
    </row>
    <row r="239" spans="1:10" x14ac:dyDescent="0.25">
      <c r="A239" s="4"/>
      <c r="B239" s="4"/>
      <c r="C239" s="4"/>
      <c r="D239" s="4"/>
      <c r="E239" s="4" t="str">
        <f ca="1">IFERROR(_xludf.XLOOKUP(A239,Milestones!$A$2:$A$501,Milestones!$M$2:$M$501),"")</f>
        <v/>
      </c>
      <c r="F239" s="4" t="str">
        <f t="shared" ca="1" si="12"/>
        <v/>
      </c>
      <c r="G239" s="4" t="str">
        <f t="shared" si="13"/>
        <v/>
      </c>
      <c r="H239" s="4" t="str">
        <f>IF(A239="","",SUMIF(Wyniki!$C$2:$C$501,A239,Wyniki!$O$2:$O$501))</f>
        <v/>
      </c>
      <c r="I239" s="4" t="str">
        <f t="shared" si="14"/>
        <v/>
      </c>
      <c r="J239" s="4" t="str">
        <f t="shared" si="15"/>
        <v/>
      </c>
    </row>
    <row r="240" spans="1:10" x14ac:dyDescent="0.25">
      <c r="A240" s="4"/>
      <c r="B240" s="4"/>
      <c r="C240" s="4"/>
      <c r="D240" s="4"/>
      <c r="E240" s="4" t="str">
        <f ca="1">IFERROR(_xludf.XLOOKUP(A240,Milestones!$A$2:$A$501,Milestones!$M$2:$M$501),"")</f>
        <v/>
      </c>
      <c r="F240" s="4" t="str">
        <f t="shared" ca="1" si="12"/>
        <v/>
      </c>
      <c r="G240" s="4" t="str">
        <f t="shared" si="13"/>
        <v/>
      </c>
      <c r="H240" s="4" t="str">
        <f>IF(A240="","",SUMIF(Wyniki!$C$2:$C$501,A240,Wyniki!$O$2:$O$501))</f>
        <v/>
      </c>
      <c r="I240" s="4" t="str">
        <f t="shared" si="14"/>
        <v/>
      </c>
      <c r="J240" s="4" t="str">
        <f t="shared" si="15"/>
        <v/>
      </c>
    </row>
    <row r="241" spans="1:10" x14ac:dyDescent="0.25">
      <c r="A241" s="4"/>
      <c r="B241" s="4"/>
      <c r="C241" s="4"/>
      <c r="D241" s="4"/>
      <c r="E241" s="4" t="str">
        <f ca="1">IFERROR(_xludf.XLOOKUP(A241,Milestones!$A$2:$A$501,Milestones!$M$2:$M$501),"")</f>
        <v/>
      </c>
      <c r="F241" s="4" t="str">
        <f t="shared" ca="1" si="12"/>
        <v/>
      </c>
      <c r="G241" s="4" t="str">
        <f t="shared" si="13"/>
        <v/>
      </c>
      <c r="H241" s="4" t="str">
        <f>IF(A241="","",SUMIF(Wyniki!$C$2:$C$501,A241,Wyniki!$O$2:$O$501))</f>
        <v/>
      </c>
      <c r="I241" s="4" t="str">
        <f t="shared" si="14"/>
        <v/>
      </c>
      <c r="J241" s="4" t="str">
        <f t="shared" si="15"/>
        <v/>
      </c>
    </row>
    <row r="242" spans="1:10" x14ac:dyDescent="0.25">
      <c r="A242" s="4"/>
      <c r="B242" s="4"/>
      <c r="C242" s="4"/>
      <c r="D242" s="4"/>
      <c r="E242" s="4" t="str">
        <f ca="1">IFERROR(_xludf.XLOOKUP(A242,Milestones!$A$2:$A$501,Milestones!$M$2:$M$501),"")</f>
        <v/>
      </c>
      <c r="F242" s="4" t="str">
        <f t="shared" ca="1" si="12"/>
        <v/>
      </c>
      <c r="G242" s="4" t="str">
        <f t="shared" si="13"/>
        <v/>
      </c>
      <c r="H242" s="4" t="str">
        <f>IF(A242="","",SUMIF(Wyniki!$C$2:$C$501,A242,Wyniki!$O$2:$O$501))</f>
        <v/>
      </c>
      <c r="I242" s="4" t="str">
        <f t="shared" si="14"/>
        <v/>
      </c>
      <c r="J242" s="4" t="str">
        <f t="shared" si="15"/>
        <v/>
      </c>
    </row>
    <row r="243" spans="1:10" x14ac:dyDescent="0.25">
      <c r="A243" s="4"/>
      <c r="B243" s="4"/>
      <c r="C243" s="4"/>
      <c r="D243" s="4"/>
      <c r="E243" s="4" t="str">
        <f ca="1">IFERROR(_xludf.XLOOKUP(A243,Milestones!$A$2:$A$501,Milestones!$M$2:$M$501),"")</f>
        <v/>
      </c>
      <c r="F243" s="4" t="str">
        <f t="shared" ca="1" si="12"/>
        <v/>
      </c>
      <c r="G243" s="4" t="str">
        <f t="shared" si="13"/>
        <v/>
      </c>
      <c r="H243" s="4" t="str">
        <f>IF(A243="","",SUMIF(Wyniki!$C$2:$C$501,A243,Wyniki!$O$2:$O$501))</f>
        <v/>
      </c>
      <c r="I243" s="4" t="str">
        <f t="shared" si="14"/>
        <v/>
      </c>
      <c r="J243" s="4" t="str">
        <f t="shared" si="15"/>
        <v/>
      </c>
    </row>
    <row r="244" spans="1:10" x14ac:dyDescent="0.25">
      <c r="A244" s="4"/>
      <c r="B244" s="4"/>
      <c r="C244" s="4"/>
      <c r="D244" s="4"/>
      <c r="E244" s="4" t="str">
        <f ca="1">IFERROR(_xludf.XLOOKUP(A244,Milestones!$A$2:$A$501,Milestones!$M$2:$M$501),"")</f>
        <v/>
      </c>
      <c r="F244" s="4" t="str">
        <f t="shared" ca="1" si="12"/>
        <v/>
      </c>
      <c r="G244" s="4" t="str">
        <f t="shared" si="13"/>
        <v/>
      </c>
      <c r="H244" s="4" t="str">
        <f>IF(A244="","",SUMIF(Wyniki!$C$2:$C$501,A244,Wyniki!$O$2:$O$501))</f>
        <v/>
      </c>
      <c r="I244" s="4" t="str">
        <f t="shared" si="14"/>
        <v/>
      </c>
      <c r="J244" s="4" t="str">
        <f t="shared" si="15"/>
        <v/>
      </c>
    </row>
    <row r="245" spans="1:10" x14ac:dyDescent="0.25">
      <c r="A245" s="4"/>
      <c r="B245" s="4"/>
      <c r="C245" s="4"/>
      <c r="D245" s="4"/>
      <c r="E245" s="4" t="str">
        <f ca="1">IFERROR(_xludf.XLOOKUP(A245,Milestones!$A$2:$A$501,Milestones!$M$2:$M$501),"")</f>
        <v/>
      </c>
      <c r="F245" s="4" t="str">
        <f t="shared" ca="1" si="12"/>
        <v/>
      </c>
      <c r="G245" s="4" t="str">
        <f t="shared" si="13"/>
        <v/>
      </c>
      <c r="H245" s="4" t="str">
        <f>IF(A245="","",SUMIF(Wyniki!$C$2:$C$501,A245,Wyniki!$O$2:$O$501))</f>
        <v/>
      </c>
      <c r="I245" s="4" t="str">
        <f t="shared" si="14"/>
        <v/>
      </c>
      <c r="J245" s="4" t="str">
        <f t="shared" si="15"/>
        <v/>
      </c>
    </row>
    <row r="246" spans="1:10" x14ac:dyDescent="0.25">
      <c r="A246" s="4"/>
      <c r="B246" s="4"/>
      <c r="C246" s="4"/>
      <c r="D246" s="4"/>
      <c r="E246" s="4" t="str">
        <f ca="1">IFERROR(_xludf.XLOOKUP(A246,Milestones!$A$2:$A$501,Milestones!$M$2:$M$501),"")</f>
        <v/>
      </c>
      <c r="F246" s="4" t="str">
        <f t="shared" ca="1" si="12"/>
        <v/>
      </c>
      <c r="G246" s="4" t="str">
        <f t="shared" si="13"/>
        <v/>
      </c>
      <c r="H246" s="4" t="str">
        <f>IF(A246="","",SUMIF(Wyniki!$C$2:$C$501,A246,Wyniki!$O$2:$O$501))</f>
        <v/>
      </c>
      <c r="I246" s="4" t="str">
        <f t="shared" si="14"/>
        <v/>
      </c>
      <c r="J246" s="4" t="str">
        <f t="shared" si="15"/>
        <v/>
      </c>
    </row>
    <row r="247" spans="1:10" x14ac:dyDescent="0.25">
      <c r="A247" s="4"/>
      <c r="B247" s="4"/>
      <c r="C247" s="4"/>
      <c r="D247" s="4"/>
      <c r="E247" s="4" t="str">
        <f ca="1">IFERROR(_xludf.XLOOKUP(A247,Milestones!$A$2:$A$501,Milestones!$M$2:$M$501),"")</f>
        <v/>
      </c>
      <c r="F247" s="4" t="str">
        <f t="shared" ca="1" si="12"/>
        <v/>
      </c>
      <c r="G247" s="4" t="str">
        <f t="shared" si="13"/>
        <v/>
      </c>
      <c r="H247" s="4" t="str">
        <f>IF(A247="","",SUMIF(Wyniki!$C$2:$C$501,A247,Wyniki!$O$2:$O$501))</f>
        <v/>
      </c>
      <c r="I247" s="4" t="str">
        <f t="shared" si="14"/>
        <v/>
      </c>
      <c r="J247" s="4" t="str">
        <f t="shared" si="15"/>
        <v/>
      </c>
    </row>
    <row r="248" spans="1:10" x14ac:dyDescent="0.25">
      <c r="A248" s="4"/>
      <c r="B248" s="4"/>
      <c r="C248" s="4"/>
      <c r="D248" s="4"/>
      <c r="E248" s="4" t="str">
        <f ca="1">IFERROR(_xludf.XLOOKUP(A248,Milestones!$A$2:$A$501,Milestones!$M$2:$M$501),"")</f>
        <v/>
      </c>
      <c r="F248" s="4" t="str">
        <f t="shared" ca="1" si="12"/>
        <v/>
      </c>
      <c r="G248" s="4" t="str">
        <f t="shared" si="13"/>
        <v/>
      </c>
      <c r="H248" s="4" t="str">
        <f>IF(A248="","",SUMIF(Wyniki!$C$2:$C$501,A248,Wyniki!$O$2:$O$501))</f>
        <v/>
      </c>
      <c r="I248" s="4" t="str">
        <f t="shared" si="14"/>
        <v/>
      </c>
      <c r="J248" s="4" t="str">
        <f t="shared" si="15"/>
        <v/>
      </c>
    </row>
    <row r="249" spans="1:10" x14ac:dyDescent="0.25">
      <c r="A249" s="4"/>
      <c r="B249" s="4"/>
      <c r="C249" s="4"/>
      <c r="D249" s="4"/>
      <c r="E249" s="4" t="str">
        <f ca="1">IFERROR(_xludf.XLOOKUP(A249,Milestones!$A$2:$A$501,Milestones!$M$2:$M$501),"")</f>
        <v/>
      </c>
      <c r="F249" s="4" t="str">
        <f t="shared" ca="1" si="12"/>
        <v/>
      </c>
      <c r="G249" s="4" t="str">
        <f t="shared" si="13"/>
        <v/>
      </c>
      <c r="H249" s="4" t="str">
        <f>IF(A249="","",SUMIF(Wyniki!$C$2:$C$501,A249,Wyniki!$O$2:$O$501))</f>
        <v/>
      </c>
      <c r="I249" s="4" t="str">
        <f t="shared" si="14"/>
        <v/>
      </c>
      <c r="J249" s="4" t="str">
        <f t="shared" si="15"/>
        <v/>
      </c>
    </row>
    <row r="250" spans="1:10" x14ac:dyDescent="0.25">
      <c r="A250" s="4"/>
      <c r="B250" s="4"/>
      <c r="C250" s="4"/>
      <c r="D250" s="4"/>
      <c r="E250" s="4" t="str">
        <f ca="1">IFERROR(_xludf.XLOOKUP(A250,Milestones!$A$2:$A$501,Milestones!$M$2:$M$501),"")</f>
        <v/>
      </c>
      <c r="F250" s="4" t="str">
        <f t="shared" ca="1" si="12"/>
        <v/>
      </c>
      <c r="G250" s="4" t="str">
        <f t="shared" si="13"/>
        <v/>
      </c>
      <c r="H250" s="4" t="str">
        <f>IF(A250="","",SUMIF(Wyniki!$C$2:$C$501,A250,Wyniki!$O$2:$O$501))</f>
        <v/>
      </c>
      <c r="I250" s="4" t="str">
        <f t="shared" si="14"/>
        <v/>
      </c>
      <c r="J250" s="4" t="str">
        <f t="shared" si="15"/>
        <v/>
      </c>
    </row>
    <row r="251" spans="1:10" x14ac:dyDescent="0.25">
      <c r="A251" s="4"/>
      <c r="B251" s="4"/>
      <c r="C251" s="4"/>
      <c r="D251" s="4"/>
      <c r="E251" s="4" t="str">
        <f ca="1">IFERROR(_xludf.XLOOKUP(A251,Milestones!$A$2:$A$501,Milestones!$M$2:$M$501),"")</f>
        <v/>
      </c>
      <c r="F251" s="4" t="str">
        <f t="shared" ca="1" si="12"/>
        <v/>
      </c>
      <c r="G251" s="4" t="str">
        <f t="shared" si="13"/>
        <v/>
      </c>
      <c r="H251" s="4" t="str">
        <f>IF(A251="","",SUMIF(Wyniki!$C$2:$C$501,A251,Wyniki!$O$2:$O$501))</f>
        <v/>
      </c>
      <c r="I251" s="4" t="str">
        <f t="shared" si="14"/>
        <v/>
      </c>
      <c r="J251" s="4" t="str">
        <f t="shared" si="15"/>
        <v/>
      </c>
    </row>
    <row r="252" spans="1:10" x14ac:dyDescent="0.25">
      <c r="A252" s="4"/>
      <c r="B252" s="4"/>
      <c r="C252" s="4"/>
      <c r="D252" s="4"/>
      <c r="E252" s="4" t="str">
        <f ca="1">IFERROR(_xludf.XLOOKUP(A252,Milestones!$A$2:$A$501,Milestones!$M$2:$M$501),"")</f>
        <v/>
      </c>
      <c r="F252" s="4" t="str">
        <f t="shared" ca="1" si="12"/>
        <v/>
      </c>
      <c r="G252" s="4" t="str">
        <f t="shared" si="13"/>
        <v/>
      </c>
      <c r="H252" s="4" t="str">
        <f>IF(A252="","",SUMIF(Wyniki!$C$2:$C$501,A252,Wyniki!$O$2:$O$501))</f>
        <v/>
      </c>
      <c r="I252" s="4" t="str">
        <f t="shared" si="14"/>
        <v/>
      </c>
      <c r="J252" s="4" t="str">
        <f t="shared" si="15"/>
        <v/>
      </c>
    </row>
    <row r="253" spans="1:10" x14ac:dyDescent="0.25">
      <c r="A253" s="4"/>
      <c r="B253" s="4"/>
      <c r="C253" s="4"/>
      <c r="D253" s="4"/>
      <c r="E253" s="4" t="str">
        <f ca="1">IFERROR(_xludf.XLOOKUP(A253,Milestones!$A$2:$A$501,Milestones!$M$2:$M$501),"")</f>
        <v/>
      </c>
      <c r="F253" s="4" t="str">
        <f t="shared" ca="1" si="12"/>
        <v/>
      </c>
      <c r="G253" s="4" t="str">
        <f t="shared" si="13"/>
        <v/>
      </c>
      <c r="H253" s="4" t="str">
        <f>IF(A253="","",SUMIF(Wyniki!$C$2:$C$501,A253,Wyniki!$O$2:$O$501))</f>
        <v/>
      </c>
      <c r="I253" s="4" t="str">
        <f t="shared" si="14"/>
        <v/>
      </c>
      <c r="J253" s="4" t="str">
        <f t="shared" si="15"/>
        <v/>
      </c>
    </row>
    <row r="254" spans="1:10" x14ac:dyDescent="0.25">
      <c r="A254" s="4"/>
      <c r="B254" s="4"/>
      <c r="C254" s="4"/>
      <c r="D254" s="4"/>
      <c r="E254" s="4" t="str">
        <f ca="1">IFERROR(_xludf.XLOOKUP(A254,Milestones!$A$2:$A$501,Milestones!$M$2:$M$501),"")</f>
        <v/>
      </c>
      <c r="F254" s="4" t="str">
        <f t="shared" ca="1" si="12"/>
        <v/>
      </c>
      <c r="G254" s="4" t="str">
        <f t="shared" si="13"/>
        <v/>
      </c>
      <c r="H254" s="4" t="str">
        <f>IF(A254="","",SUMIF(Wyniki!$C$2:$C$501,A254,Wyniki!$O$2:$O$501))</f>
        <v/>
      </c>
      <c r="I254" s="4" t="str">
        <f t="shared" si="14"/>
        <v/>
      </c>
      <c r="J254" s="4" t="str">
        <f t="shared" si="15"/>
        <v/>
      </c>
    </row>
    <row r="255" spans="1:10" x14ac:dyDescent="0.25">
      <c r="A255" s="4"/>
      <c r="B255" s="4"/>
      <c r="C255" s="4"/>
      <c r="D255" s="4"/>
      <c r="E255" s="4" t="str">
        <f ca="1">IFERROR(_xludf.XLOOKUP(A255,Milestones!$A$2:$A$501,Milestones!$M$2:$M$501),"")</f>
        <v/>
      </c>
      <c r="F255" s="4" t="str">
        <f t="shared" ca="1" si="12"/>
        <v/>
      </c>
      <c r="G255" s="4" t="str">
        <f t="shared" si="13"/>
        <v/>
      </c>
      <c r="H255" s="4" t="str">
        <f>IF(A255="","",SUMIF(Wyniki!$C$2:$C$501,A255,Wyniki!$O$2:$O$501))</f>
        <v/>
      </c>
      <c r="I255" s="4" t="str">
        <f t="shared" si="14"/>
        <v/>
      </c>
      <c r="J255" s="4" t="str">
        <f t="shared" si="15"/>
        <v/>
      </c>
    </row>
    <row r="256" spans="1:10" x14ac:dyDescent="0.25">
      <c r="A256" s="4"/>
      <c r="B256" s="4"/>
      <c r="C256" s="4"/>
      <c r="D256" s="4"/>
      <c r="E256" s="4" t="str">
        <f ca="1">IFERROR(_xludf.XLOOKUP(A256,Milestones!$A$2:$A$501,Milestones!$M$2:$M$501),"")</f>
        <v/>
      </c>
      <c r="F256" s="4" t="str">
        <f t="shared" ca="1" si="12"/>
        <v/>
      </c>
      <c r="G256" s="4" t="str">
        <f t="shared" si="13"/>
        <v/>
      </c>
      <c r="H256" s="4" t="str">
        <f>IF(A256="","",SUMIF(Wyniki!$C$2:$C$501,A256,Wyniki!$O$2:$O$501))</f>
        <v/>
      </c>
      <c r="I256" s="4" t="str">
        <f t="shared" si="14"/>
        <v/>
      </c>
      <c r="J256" s="4" t="str">
        <f t="shared" si="15"/>
        <v/>
      </c>
    </row>
    <row r="257" spans="1:10" x14ac:dyDescent="0.25">
      <c r="A257" s="4"/>
      <c r="B257" s="4"/>
      <c r="C257" s="4"/>
      <c r="D257" s="4"/>
      <c r="E257" s="4" t="str">
        <f ca="1">IFERROR(_xludf.XLOOKUP(A257,Milestones!$A$2:$A$501,Milestones!$M$2:$M$501),"")</f>
        <v/>
      </c>
      <c r="F257" s="4" t="str">
        <f t="shared" ca="1" si="12"/>
        <v/>
      </c>
      <c r="G257" s="4" t="str">
        <f t="shared" si="13"/>
        <v/>
      </c>
      <c r="H257" s="4" t="str">
        <f>IF(A257="","",SUMIF(Wyniki!$C$2:$C$501,A257,Wyniki!$O$2:$O$501))</f>
        <v/>
      </c>
      <c r="I257" s="4" t="str">
        <f t="shared" si="14"/>
        <v/>
      </c>
      <c r="J257" s="4" t="str">
        <f t="shared" si="15"/>
        <v/>
      </c>
    </row>
    <row r="258" spans="1:10" x14ac:dyDescent="0.25">
      <c r="A258" s="4"/>
      <c r="B258" s="4"/>
      <c r="C258" s="4"/>
      <c r="D258" s="4"/>
      <c r="E258" s="4" t="str">
        <f ca="1">IFERROR(_xludf.XLOOKUP(A258,Milestones!$A$2:$A$501,Milestones!$M$2:$M$501),"")</f>
        <v/>
      </c>
      <c r="F258" s="4" t="str">
        <f t="shared" ref="F258:F321" ca="1" si="16">IF(E258="","",MIN(E258,1))</f>
        <v/>
      </c>
      <c r="G258" s="4" t="str">
        <f t="shared" ref="G258:G321" si="17">IF(D258="","",ROUNDDOWN(D258*F258,2))</f>
        <v/>
      </c>
      <c r="H258" s="4" t="str">
        <f>IF(A258="","",SUMIF(Wyniki!$C$2:$C$501,A258,Wyniki!$O$2:$O$501))</f>
        <v/>
      </c>
      <c r="I258" s="4" t="str">
        <f t="shared" ref="I258:I321" si="18">IF(G258="","",MAX(0,G258-H258))</f>
        <v/>
      </c>
      <c r="J258" s="4" t="str">
        <f t="shared" ref="J258:J321" si="19">IF(A258="","",IF(H258&lt;=G258,"OK","NIE"))</f>
        <v/>
      </c>
    </row>
    <row r="259" spans="1:10" x14ac:dyDescent="0.25">
      <c r="A259" s="4"/>
      <c r="B259" s="4"/>
      <c r="C259" s="4"/>
      <c r="D259" s="4"/>
      <c r="E259" s="4" t="str">
        <f ca="1">IFERROR(_xludf.XLOOKUP(A259,Milestones!$A$2:$A$501,Milestones!$M$2:$M$501),"")</f>
        <v/>
      </c>
      <c r="F259" s="4" t="str">
        <f t="shared" ca="1" si="16"/>
        <v/>
      </c>
      <c r="G259" s="4" t="str">
        <f t="shared" si="17"/>
        <v/>
      </c>
      <c r="H259" s="4" t="str">
        <f>IF(A259="","",SUMIF(Wyniki!$C$2:$C$501,A259,Wyniki!$O$2:$O$501))</f>
        <v/>
      </c>
      <c r="I259" s="4" t="str">
        <f t="shared" si="18"/>
        <v/>
      </c>
      <c r="J259" s="4" t="str">
        <f t="shared" si="19"/>
        <v/>
      </c>
    </row>
    <row r="260" spans="1:10" x14ac:dyDescent="0.25">
      <c r="A260" s="4"/>
      <c r="B260" s="4"/>
      <c r="C260" s="4"/>
      <c r="D260" s="4"/>
      <c r="E260" s="4" t="str">
        <f ca="1">IFERROR(_xludf.XLOOKUP(A260,Milestones!$A$2:$A$501,Milestones!$M$2:$M$501),"")</f>
        <v/>
      </c>
      <c r="F260" s="4" t="str">
        <f t="shared" ca="1" si="16"/>
        <v/>
      </c>
      <c r="G260" s="4" t="str">
        <f t="shared" si="17"/>
        <v/>
      </c>
      <c r="H260" s="4" t="str">
        <f>IF(A260="","",SUMIF(Wyniki!$C$2:$C$501,A260,Wyniki!$O$2:$O$501))</f>
        <v/>
      </c>
      <c r="I260" s="4" t="str">
        <f t="shared" si="18"/>
        <v/>
      </c>
      <c r="J260" s="4" t="str">
        <f t="shared" si="19"/>
        <v/>
      </c>
    </row>
    <row r="261" spans="1:10" x14ac:dyDescent="0.25">
      <c r="A261" s="4"/>
      <c r="B261" s="4"/>
      <c r="C261" s="4"/>
      <c r="D261" s="4"/>
      <c r="E261" s="4" t="str">
        <f ca="1">IFERROR(_xludf.XLOOKUP(A261,Milestones!$A$2:$A$501,Milestones!$M$2:$M$501),"")</f>
        <v/>
      </c>
      <c r="F261" s="4" t="str">
        <f t="shared" ca="1" si="16"/>
        <v/>
      </c>
      <c r="G261" s="4" t="str">
        <f t="shared" si="17"/>
        <v/>
      </c>
      <c r="H261" s="4" t="str">
        <f>IF(A261="","",SUMIF(Wyniki!$C$2:$C$501,A261,Wyniki!$O$2:$O$501))</f>
        <v/>
      </c>
      <c r="I261" s="4" t="str">
        <f t="shared" si="18"/>
        <v/>
      </c>
      <c r="J261" s="4" t="str">
        <f t="shared" si="19"/>
        <v/>
      </c>
    </row>
    <row r="262" spans="1:10" x14ac:dyDescent="0.25">
      <c r="A262" s="4"/>
      <c r="B262" s="4"/>
      <c r="C262" s="4"/>
      <c r="D262" s="4"/>
      <c r="E262" s="4" t="str">
        <f ca="1">IFERROR(_xludf.XLOOKUP(A262,Milestones!$A$2:$A$501,Milestones!$M$2:$M$501),"")</f>
        <v/>
      </c>
      <c r="F262" s="4" t="str">
        <f t="shared" ca="1" si="16"/>
        <v/>
      </c>
      <c r="G262" s="4" t="str">
        <f t="shared" si="17"/>
        <v/>
      </c>
      <c r="H262" s="4" t="str">
        <f>IF(A262="","",SUMIF(Wyniki!$C$2:$C$501,A262,Wyniki!$O$2:$O$501))</f>
        <v/>
      </c>
      <c r="I262" s="4" t="str">
        <f t="shared" si="18"/>
        <v/>
      </c>
      <c r="J262" s="4" t="str">
        <f t="shared" si="19"/>
        <v/>
      </c>
    </row>
    <row r="263" spans="1:10" x14ac:dyDescent="0.25">
      <c r="A263" s="4"/>
      <c r="B263" s="4"/>
      <c r="C263" s="4"/>
      <c r="D263" s="4"/>
      <c r="E263" s="4" t="str">
        <f ca="1">IFERROR(_xludf.XLOOKUP(A263,Milestones!$A$2:$A$501,Milestones!$M$2:$M$501),"")</f>
        <v/>
      </c>
      <c r="F263" s="4" t="str">
        <f t="shared" ca="1" si="16"/>
        <v/>
      </c>
      <c r="G263" s="4" t="str">
        <f t="shared" si="17"/>
        <v/>
      </c>
      <c r="H263" s="4" t="str">
        <f>IF(A263="","",SUMIF(Wyniki!$C$2:$C$501,A263,Wyniki!$O$2:$O$501))</f>
        <v/>
      </c>
      <c r="I263" s="4" t="str">
        <f t="shared" si="18"/>
        <v/>
      </c>
      <c r="J263" s="4" t="str">
        <f t="shared" si="19"/>
        <v/>
      </c>
    </row>
    <row r="264" spans="1:10" x14ac:dyDescent="0.25">
      <c r="A264" s="4"/>
      <c r="B264" s="4"/>
      <c r="C264" s="4"/>
      <c r="D264" s="4"/>
      <c r="E264" s="4" t="str">
        <f ca="1">IFERROR(_xludf.XLOOKUP(A264,Milestones!$A$2:$A$501,Milestones!$M$2:$M$501),"")</f>
        <v/>
      </c>
      <c r="F264" s="4" t="str">
        <f t="shared" ca="1" si="16"/>
        <v/>
      </c>
      <c r="G264" s="4" t="str">
        <f t="shared" si="17"/>
        <v/>
      </c>
      <c r="H264" s="4" t="str">
        <f>IF(A264="","",SUMIF(Wyniki!$C$2:$C$501,A264,Wyniki!$O$2:$O$501))</f>
        <v/>
      </c>
      <c r="I264" s="4" t="str">
        <f t="shared" si="18"/>
        <v/>
      </c>
      <c r="J264" s="4" t="str">
        <f t="shared" si="19"/>
        <v/>
      </c>
    </row>
    <row r="265" spans="1:10" x14ac:dyDescent="0.25">
      <c r="A265" s="4"/>
      <c r="B265" s="4"/>
      <c r="C265" s="4"/>
      <c r="D265" s="4"/>
      <c r="E265" s="4" t="str">
        <f ca="1">IFERROR(_xludf.XLOOKUP(A265,Milestones!$A$2:$A$501,Milestones!$M$2:$M$501),"")</f>
        <v/>
      </c>
      <c r="F265" s="4" t="str">
        <f t="shared" ca="1" si="16"/>
        <v/>
      </c>
      <c r="G265" s="4" t="str">
        <f t="shared" si="17"/>
        <v/>
      </c>
      <c r="H265" s="4" t="str">
        <f>IF(A265="","",SUMIF(Wyniki!$C$2:$C$501,A265,Wyniki!$O$2:$O$501))</f>
        <v/>
      </c>
      <c r="I265" s="4" t="str">
        <f t="shared" si="18"/>
        <v/>
      </c>
      <c r="J265" s="4" t="str">
        <f t="shared" si="19"/>
        <v/>
      </c>
    </row>
    <row r="266" spans="1:10" x14ac:dyDescent="0.25">
      <c r="A266" s="4"/>
      <c r="B266" s="4"/>
      <c r="C266" s="4"/>
      <c r="D266" s="4"/>
      <c r="E266" s="4" t="str">
        <f ca="1">IFERROR(_xludf.XLOOKUP(A266,Milestones!$A$2:$A$501,Milestones!$M$2:$M$501),"")</f>
        <v/>
      </c>
      <c r="F266" s="4" t="str">
        <f t="shared" ca="1" si="16"/>
        <v/>
      </c>
      <c r="G266" s="4" t="str">
        <f t="shared" si="17"/>
        <v/>
      </c>
      <c r="H266" s="4" t="str">
        <f>IF(A266="","",SUMIF(Wyniki!$C$2:$C$501,A266,Wyniki!$O$2:$O$501))</f>
        <v/>
      </c>
      <c r="I266" s="4" t="str">
        <f t="shared" si="18"/>
        <v/>
      </c>
      <c r="J266" s="4" t="str">
        <f t="shared" si="19"/>
        <v/>
      </c>
    </row>
    <row r="267" spans="1:10" x14ac:dyDescent="0.25">
      <c r="A267" s="4"/>
      <c r="B267" s="4"/>
      <c r="C267" s="4"/>
      <c r="D267" s="4"/>
      <c r="E267" s="4" t="str">
        <f ca="1">IFERROR(_xludf.XLOOKUP(A267,Milestones!$A$2:$A$501,Milestones!$M$2:$M$501),"")</f>
        <v/>
      </c>
      <c r="F267" s="4" t="str">
        <f t="shared" ca="1" si="16"/>
        <v/>
      </c>
      <c r="G267" s="4" t="str">
        <f t="shared" si="17"/>
        <v/>
      </c>
      <c r="H267" s="4" t="str">
        <f>IF(A267="","",SUMIF(Wyniki!$C$2:$C$501,A267,Wyniki!$O$2:$O$501))</f>
        <v/>
      </c>
      <c r="I267" s="4" t="str">
        <f t="shared" si="18"/>
        <v/>
      </c>
      <c r="J267" s="4" t="str">
        <f t="shared" si="19"/>
        <v/>
      </c>
    </row>
    <row r="268" spans="1:10" x14ac:dyDescent="0.25">
      <c r="A268" s="4"/>
      <c r="B268" s="4"/>
      <c r="C268" s="4"/>
      <c r="D268" s="4"/>
      <c r="E268" s="4" t="str">
        <f ca="1">IFERROR(_xludf.XLOOKUP(A268,Milestones!$A$2:$A$501,Milestones!$M$2:$M$501),"")</f>
        <v/>
      </c>
      <c r="F268" s="4" t="str">
        <f t="shared" ca="1" si="16"/>
        <v/>
      </c>
      <c r="G268" s="4" t="str">
        <f t="shared" si="17"/>
        <v/>
      </c>
      <c r="H268" s="4" t="str">
        <f>IF(A268="","",SUMIF(Wyniki!$C$2:$C$501,A268,Wyniki!$O$2:$O$501))</f>
        <v/>
      </c>
      <c r="I268" s="4" t="str">
        <f t="shared" si="18"/>
        <v/>
      </c>
      <c r="J268" s="4" t="str">
        <f t="shared" si="19"/>
        <v/>
      </c>
    </row>
    <row r="269" spans="1:10" x14ac:dyDescent="0.25">
      <c r="A269" s="4"/>
      <c r="B269" s="4"/>
      <c r="C269" s="4"/>
      <c r="D269" s="4"/>
      <c r="E269" s="4" t="str">
        <f ca="1">IFERROR(_xludf.XLOOKUP(A269,Milestones!$A$2:$A$501,Milestones!$M$2:$M$501),"")</f>
        <v/>
      </c>
      <c r="F269" s="4" t="str">
        <f t="shared" ca="1" si="16"/>
        <v/>
      </c>
      <c r="G269" s="4" t="str">
        <f t="shared" si="17"/>
        <v/>
      </c>
      <c r="H269" s="4" t="str">
        <f>IF(A269="","",SUMIF(Wyniki!$C$2:$C$501,A269,Wyniki!$O$2:$O$501))</f>
        <v/>
      </c>
      <c r="I269" s="4" t="str">
        <f t="shared" si="18"/>
        <v/>
      </c>
      <c r="J269" s="4" t="str">
        <f t="shared" si="19"/>
        <v/>
      </c>
    </row>
    <row r="270" spans="1:10" x14ac:dyDescent="0.25">
      <c r="A270" s="4"/>
      <c r="B270" s="4"/>
      <c r="C270" s="4"/>
      <c r="D270" s="4"/>
      <c r="E270" s="4" t="str">
        <f ca="1">IFERROR(_xludf.XLOOKUP(A270,Milestones!$A$2:$A$501,Milestones!$M$2:$M$501),"")</f>
        <v/>
      </c>
      <c r="F270" s="4" t="str">
        <f t="shared" ca="1" si="16"/>
        <v/>
      </c>
      <c r="G270" s="4" t="str">
        <f t="shared" si="17"/>
        <v/>
      </c>
      <c r="H270" s="4" t="str">
        <f>IF(A270="","",SUMIF(Wyniki!$C$2:$C$501,A270,Wyniki!$O$2:$O$501))</f>
        <v/>
      </c>
      <c r="I270" s="4" t="str">
        <f t="shared" si="18"/>
        <v/>
      </c>
      <c r="J270" s="4" t="str">
        <f t="shared" si="19"/>
        <v/>
      </c>
    </row>
    <row r="271" spans="1:10" x14ac:dyDescent="0.25">
      <c r="A271" s="4"/>
      <c r="B271" s="4"/>
      <c r="C271" s="4"/>
      <c r="D271" s="4"/>
      <c r="E271" s="4" t="str">
        <f ca="1">IFERROR(_xludf.XLOOKUP(A271,Milestones!$A$2:$A$501,Milestones!$M$2:$M$501),"")</f>
        <v/>
      </c>
      <c r="F271" s="4" t="str">
        <f t="shared" ca="1" si="16"/>
        <v/>
      </c>
      <c r="G271" s="4" t="str">
        <f t="shared" si="17"/>
        <v/>
      </c>
      <c r="H271" s="4" t="str">
        <f>IF(A271="","",SUMIF(Wyniki!$C$2:$C$501,A271,Wyniki!$O$2:$O$501))</f>
        <v/>
      </c>
      <c r="I271" s="4" t="str">
        <f t="shared" si="18"/>
        <v/>
      </c>
      <c r="J271" s="4" t="str">
        <f t="shared" si="19"/>
        <v/>
      </c>
    </row>
    <row r="272" spans="1:10" x14ac:dyDescent="0.25">
      <c r="A272" s="4"/>
      <c r="B272" s="4"/>
      <c r="C272" s="4"/>
      <c r="D272" s="4"/>
      <c r="E272" s="4" t="str">
        <f ca="1">IFERROR(_xludf.XLOOKUP(A272,Milestones!$A$2:$A$501,Milestones!$M$2:$M$501),"")</f>
        <v/>
      </c>
      <c r="F272" s="4" t="str">
        <f t="shared" ca="1" si="16"/>
        <v/>
      </c>
      <c r="G272" s="4" t="str">
        <f t="shared" si="17"/>
        <v/>
      </c>
      <c r="H272" s="4" t="str">
        <f>IF(A272="","",SUMIF(Wyniki!$C$2:$C$501,A272,Wyniki!$O$2:$O$501))</f>
        <v/>
      </c>
      <c r="I272" s="4" t="str">
        <f t="shared" si="18"/>
        <v/>
      </c>
      <c r="J272" s="4" t="str">
        <f t="shared" si="19"/>
        <v/>
      </c>
    </row>
    <row r="273" spans="1:10" x14ac:dyDescent="0.25">
      <c r="A273" s="4"/>
      <c r="B273" s="4"/>
      <c r="C273" s="4"/>
      <c r="D273" s="4"/>
      <c r="E273" s="4" t="str">
        <f ca="1">IFERROR(_xludf.XLOOKUP(A273,Milestones!$A$2:$A$501,Milestones!$M$2:$M$501),"")</f>
        <v/>
      </c>
      <c r="F273" s="4" t="str">
        <f t="shared" ca="1" si="16"/>
        <v/>
      </c>
      <c r="G273" s="4" t="str">
        <f t="shared" si="17"/>
        <v/>
      </c>
      <c r="H273" s="4" t="str">
        <f>IF(A273="","",SUMIF(Wyniki!$C$2:$C$501,A273,Wyniki!$O$2:$O$501))</f>
        <v/>
      </c>
      <c r="I273" s="4" t="str">
        <f t="shared" si="18"/>
        <v/>
      </c>
      <c r="J273" s="4" t="str">
        <f t="shared" si="19"/>
        <v/>
      </c>
    </row>
    <row r="274" spans="1:10" x14ac:dyDescent="0.25">
      <c r="A274" s="4"/>
      <c r="B274" s="4"/>
      <c r="C274" s="4"/>
      <c r="D274" s="4"/>
      <c r="E274" s="4" t="str">
        <f ca="1">IFERROR(_xludf.XLOOKUP(A274,Milestones!$A$2:$A$501,Milestones!$M$2:$M$501),"")</f>
        <v/>
      </c>
      <c r="F274" s="4" t="str">
        <f t="shared" ca="1" si="16"/>
        <v/>
      </c>
      <c r="G274" s="4" t="str">
        <f t="shared" si="17"/>
        <v/>
      </c>
      <c r="H274" s="4" t="str">
        <f>IF(A274="","",SUMIF(Wyniki!$C$2:$C$501,A274,Wyniki!$O$2:$O$501))</f>
        <v/>
      </c>
      <c r="I274" s="4" t="str">
        <f t="shared" si="18"/>
        <v/>
      </c>
      <c r="J274" s="4" t="str">
        <f t="shared" si="19"/>
        <v/>
      </c>
    </row>
    <row r="275" spans="1:10" x14ac:dyDescent="0.25">
      <c r="A275" s="4"/>
      <c r="B275" s="4"/>
      <c r="C275" s="4"/>
      <c r="D275" s="4"/>
      <c r="E275" s="4" t="str">
        <f ca="1">IFERROR(_xludf.XLOOKUP(A275,Milestones!$A$2:$A$501,Milestones!$M$2:$M$501),"")</f>
        <v/>
      </c>
      <c r="F275" s="4" t="str">
        <f t="shared" ca="1" si="16"/>
        <v/>
      </c>
      <c r="G275" s="4" t="str">
        <f t="shared" si="17"/>
        <v/>
      </c>
      <c r="H275" s="4" t="str">
        <f>IF(A275="","",SUMIF(Wyniki!$C$2:$C$501,A275,Wyniki!$O$2:$O$501))</f>
        <v/>
      </c>
      <c r="I275" s="4" t="str">
        <f t="shared" si="18"/>
        <v/>
      </c>
      <c r="J275" s="4" t="str">
        <f t="shared" si="19"/>
        <v/>
      </c>
    </row>
    <row r="276" spans="1:10" x14ac:dyDescent="0.25">
      <c r="A276" s="4"/>
      <c r="B276" s="4"/>
      <c r="C276" s="4"/>
      <c r="D276" s="4"/>
      <c r="E276" s="4" t="str">
        <f ca="1">IFERROR(_xludf.XLOOKUP(A276,Milestones!$A$2:$A$501,Milestones!$M$2:$M$501),"")</f>
        <v/>
      </c>
      <c r="F276" s="4" t="str">
        <f t="shared" ca="1" si="16"/>
        <v/>
      </c>
      <c r="G276" s="4" t="str">
        <f t="shared" si="17"/>
        <v/>
      </c>
      <c r="H276" s="4" t="str">
        <f>IF(A276="","",SUMIF(Wyniki!$C$2:$C$501,A276,Wyniki!$O$2:$O$501))</f>
        <v/>
      </c>
      <c r="I276" s="4" t="str">
        <f t="shared" si="18"/>
        <v/>
      </c>
      <c r="J276" s="4" t="str">
        <f t="shared" si="19"/>
        <v/>
      </c>
    </row>
    <row r="277" spans="1:10" x14ac:dyDescent="0.25">
      <c r="A277" s="4"/>
      <c r="B277" s="4"/>
      <c r="C277" s="4"/>
      <c r="D277" s="4"/>
      <c r="E277" s="4" t="str">
        <f ca="1">IFERROR(_xludf.XLOOKUP(A277,Milestones!$A$2:$A$501,Milestones!$M$2:$M$501),"")</f>
        <v/>
      </c>
      <c r="F277" s="4" t="str">
        <f t="shared" ca="1" si="16"/>
        <v/>
      </c>
      <c r="G277" s="4" t="str">
        <f t="shared" si="17"/>
        <v/>
      </c>
      <c r="H277" s="4" t="str">
        <f>IF(A277="","",SUMIF(Wyniki!$C$2:$C$501,A277,Wyniki!$O$2:$O$501))</f>
        <v/>
      </c>
      <c r="I277" s="4" t="str">
        <f t="shared" si="18"/>
        <v/>
      </c>
      <c r="J277" s="4" t="str">
        <f t="shared" si="19"/>
        <v/>
      </c>
    </row>
    <row r="278" spans="1:10" x14ac:dyDescent="0.25">
      <c r="A278" s="4"/>
      <c r="B278" s="4"/>
      <c r="C278" s="4"/>
      <c r="D278" s="4"/>
      <c r="E278" s="4" t="str">
        <f ca="1">IFERROR(_xludf.XLOOKUP(A278,Milestones!$A$2:$A$501,Milestones!$M$2:$M$501),"")</f>
        <v/>
      </c>
      <c r="F278" s="4" t="str">
        <f t="shared" ca="1" si="16"/>
        <v/>
      </c>
      <c r="G278" s="4" t="str">
        <f t="shared" si="17"/>
        <v/>
      </c>
      <c r="H278" s="4" t="str">
        <f>IF(A278="","",SUMIF(Wyniki!$C$2:$C$501,A278,Wyniki!$O$2:$O$501))</f>
        <v/>
      </c>
      <c r="I278" s="4" t="str">
        <f t="shared" si="18"/>
        <v/>
      </c>
      <c r="J278" s="4" t="str">
        <f t="shared" si="19"/>
        <v/>
      </c>
    </row>
    <row r="279" spans="1:10" x14ac:dyDescent="0.25">
      <c r="A279" s="4"/>
      <c r="B279" s="4"/>
      <c r="C279" s="4"/>
      <c r="D279" s="4"/>
      <c r="E279" s="4" t="str">
        <f ca="1">IFERROR(_xludf.XLOOKUP(A279,Milestones!$A$2:$A$501,Milestones!$M$2:$M$501),"")</f>
        <v/>
      </c>
      <c r="F279" s="4" t="str">
        <f t="shared" ca="1" si="16"/>
        <v/>
      </c>
      <c r="G279" s="4" t="str">
        <f t="shared" si="17"/>
        <v/>
      </c>
      <c r="H279" s="4" t="str">
        <f>IF(A279="","",SUMIF(Wyniki!$C$2:$C$501,A279,Wyniki!$O$2:$O$501))</f>
        <v/>
      </c>
      <c r="I279" s="4" t="str">
        <f t="shared" si="18"/>
        <v/>
      </c>
      <c r="J279" s="4" t="str">
        <f t="shared" si="19"/>
        <v/>
      </c>
    </row>
    <row r="280" spans="1:10" x14ac:dyDescent="0.25">
      <c r="A280" s="4"/>
      <c r="B280" s="4"/>
      <c r="C280" s="4"/>
      <c r="D280" s="4"/>
      <c r="E280" s="4" t="str">
        <f ca="1">IFERROR(_xludf.XLOOKUP(A280,Milestones!$A$2:$A$501,Milestones!$M$2:$M$501),"")</f>
        <v/>
      </c>
      <c r="F280" s="4" t="str">
        <f t="shared" ca="1" si="16"/>
        <v/>
      </c>
      <c r="G280" s="4" t="str">
        <f t="shared" si="17"/>
        <v/>
      </c>
      <c r="H280" s="4" t="str">
        <f>IF(A280="","",SUMIF(Wyniki!$C$2:$C$501,A280,Wyniki!$O$2:$O$501))</f>
        <v/>
      </c>
      <c r="I280" s="4" t="str">
        <f t="shared" si="18"/>
        <v/>
      </c>
      <c r="J280" s="4" t="str">
        <f t="shared" si="19"/>
        <v/>
      </c>
    </row>
    <row r="281" spans="1:10" x14ac:dyDescent="0.25">
      <c r="A281" s="4"/>
      <c r="B281" s="4"/>
      <c r="C281" s="4"/>
      <c r="D281" s="4"/>
      <c r="E281" s="4" t="str">
        <f ca="1">IFERROR(_xludf.XLOOKUP(A281,Milestones!$A$2:$A$501,Milestones!$M$2:$M$501),"")</f>
        <v/>
      </c>
      <c r="F281" s="4" t="str">
        <f t="shared" ca="1" si="16"/>
        <v/>
      </c>
      <c r="G281" s="4" t="str">
        <f t="shared" si="17"/>
        <v/>
      </c>
      <c r="H281" s="4" t="str">
        <f>IF(A281="","",SUMIF(Wyniki!$C$2:$C$501,A281,Wyniki!$O$2:$O$501))</f>
        <v/>
      </c>
      <c r="I281" s="4" t="str">
        <f t="shared" si="18"/>
        <v/>
      </c>
      <c r="J281" s="4" t="str">
        <f t="shared" si="19"/>
        <v/>
      </c>
    </row>
    <row r="282" spans="1:10" x14ac:dyDescent="0.25">
      <c r="A282" s="4"/>
      <c r="B282" s="4"/>
      <c r="C282" s="4"/>
      <c r="D282" s="4"/>
      <c r="E282" s="4" t="str">
        <f ca="1">IFERROR(_xludf.XLOOKUP(A282,Milestones!$A$2:$A$501,Milestones!$M$2:$M$501),"")</f>
        <v/>
      </c>
      <c r="F282" s="4" t="str">
        <f t="shared" ca="1" si="16"/>
        <v/>
      </c>
      <c r="G282" s="4" t="str">
        <f t="shared" si="17"/>
        <v/>
      </c>
      <c r="H282" s="4" t="str">
        <f>IF(A282="","",SUMIF(Wyniki!$C$2:$C$501,A282,Wyniki!$O$2:$O$501))</f>
        <v/>
      </c>
      <c r="I282" s="4" t="str">
        <f t="shared" si="18"/>
        <v/>
      </c>
      <c r="J282" s="4" t="str">
        <f t="shared" si="19"/>
        <v/>
      </c>
    </row>
    <row r="283" spans="1:10" x14ac:dyDescent="0.25">
      <c r="A283" s="4"/>
      <c r="B283" s="4"/>
      <c r="C283" s="4"/>
      <c r="D283" s="4"/>
      <c r="E283" s="4" t="str">
        <f ca="1">IFERROR(_xludf.XLOOKUP(A283,Milestones!$A$2:$A$501,Milestones!$M$2:$M$501),"")</f>
        <v/>
      </c>
      <c r="F283" s="4" t="str">
        <f t="shared" ca="1" si="16"/>
        <v/>
      </c>
      <c r="G283" s="4" t="str">
        <f t="shared" si="17"/>
        <v/>
      </c>
      <c r="H283" s="4" t="str">
        <f>IF(A283="","",SUMIF(Wyniki!$C$2:$C$501,A283,Wyniki!$O$2:$O$501))</f>
        <v/>
      </c>
      <c r="I283" s="4" t="str">
        <f t="shared" si="18"/>
        <v/>
      </c>
      <c r="J283" s="4" t="str">
        <f t="shared" si="19"/>
        <v/>
      </c>
    </row>
    <row r="284" spans="1:10" x14ac:dyDescent="0.25">
      <c r="A284" s="4"/>
      <c r="B284" s="4"/>
      <c r="C284" s="4"/>
      <c r="D284" s="4"/>
      <c r="E284" s="4" t="str">
        <f ca="1">IFERROR(_xludf.XLOOKUP(A284,Milestones!$A$2:$A$501,Milestones!$M$2:$M$501),"")</f>
        <v/>
      </c>
      <c r="F284" s="4" t="str">
        <f t="shared" ca="1" si="16"/>
        <v/>
      </c>
      <c r="G284" s="4" t="str">
        <f t="shared" si="17"/>
        <v/>
      </c>
      <c r="H284" s="4" t="str">
        <f>IF(A284="","",SUMIF(Wyniki!$C$2:$C$501,A284,Wyniki!$O$2:$O$501))</f>
        <v/>
      </c>
      <c r="I284" s="4" t="str">
        <f t="shared" si="18"/>
        <v/>
      </c>
      <c r="J284" s="4" t="str">
        <f t="shared" si="19"/>
        <v/>
      </c>
    </row>
    <row r="285" spans="1:10" x14ac:dyDescent="0.25">
      <c r="A285" s="4"/>
      <c r="B285" s="4"/>
      <c r="C285" s="4"/>
      <c r="D285" s="4"/>
      <c r="E285" s="4" t="str">
        <f ca="1">IFERROR(_xludf.XLOOKUP(A285,Milestones!$A$2:$A$501,Milestones!$M$2:$M$501),"")</f>
        <v/>
      </c>
      <c r="F285" s="4" t="str">
        <f t="shared" ca="1" si="16"/>
        <v/>
      </c>
      <c r="G285" s="4" t="str">
        <f t="shared" si="17"/>
        <v/>
      </c>
      <c r="H285" s="4" t="str">
        <f>IF(A285="","",SUMIF(Wyniki!$C$2:$C$501,A285,Wyniki!$O$2:$O$501))</f>
        <v/>
      </c>
      <c r="I285" s="4" t="str">
        <f t="shared" si="18"/>
        <v/>
      </c>
      <c r="J285" s="4" t="str">
        <f t="shared" si="19"/>
        <v/>
      </c>
    </row>
    <row r="286" spans="1:10" x14ac:dyDescent="0.25">
      <c r="A286" s="4"/>
      <c r="B286" s="4"/>
      <c r="C286" s="4"/>
      <c r="D286" s="4"/>
      <c r="E286" s="4" t="str">
        <f ca="1">IFERROR(_xludf.XLOOKUP(A286,Milestones!$A$2:$A$501,Milestones!$M$2:$M$501),"")</f>
        <v/>
      </c>
      <c r="F286" s="4" t="str">
        <f t="shared" ca="1" si="16"/>
        <v/>
      </c>
      <c r="G286" s="4" t="str">
        <f t="shared" si="17"/>
        <v/>
      </c>
      <c r="H286" s="4" t="str">
        <f>IF(A286="","",SUMIF(Wyniki!$C$2:$C$501,A286,Wyniki!$O$2:$O$501))</f>
        <v/>
      </c>
      <c r="I286" s="4" t="str">
        <f t="shared" si="18"/>
        <v/>
      </c>
      <c r="J286" s="4" t="str">
        <f t="shared" si="19"/>
        <v/>
      </c>
    </row>
    <row r="287" spans="1:10" x14ac:dyDescent="0.25">
      <c r="A287" s="4"/>
      <c r="B287" s="4"/>
      <c r="C287" s="4"/>
      <c r="D287" s="4"/>
      <c r="E287" s="4" t="str">
        <f ca="1">IFERROR(_xludf.XLOOKUP(A287,Milestones!$A$2:$A$501,Milestones!$M$2:$M$501),"")</f>
        <v/>
      </c>
      <c r="F287" s="4" t="str">
        <f t="shared" ca="1" si="16"/>
        <v/>
      </c>
      <c r="G287" s="4" t="str">
        <f t="shared" si="17"/>
        <v/>
      </c>
      <c r="H287" s="4" t="str">
        <f>IF(A287="","",SUMIF(Wyniki!$C$2:$C$501,A287,Wyniki!$O$2:$O$501))</f>
        <v/>
      </c>
      <c r="I287" s="4" t="str">
        <f t="shared" si="18"/>
        <v/>
      </c>
      <c r="J287" s="4" t="str">
        <f t="shared" si="19"/>
        <v/>
      </c>
    </row>
    <row r="288" spans="1:10" x14ac:dyDescent="0.25">
      <c r="A288" s="4"/>
      <c r="B288" s="4"/>
      <c r="C288" s="4"/>
      <c r="D288" s="4"/>
      <c r="E288" s="4" t="str">
        <f ca="1">IFERROR(_xludf.XLOOKUP(A288,Milestones!$A$2:$A$501,Milestones!$M$2:$M$501),"")</f>
        <v/>
      </c>
      <c r="F288" s="4" t="str">
        <f t="shared" ca="1" si="16"/>
        <v/>
      </c>
      <c r="G288" s="4" t="str">
        <f t="shared" si="17"/>
        <v/>
      </c>
      <c r="H288" s="4" t="str">
        <f>IF(A288="","",SUMIF(Wyniki!$C$2:$C$501,A288,Wyniki!$O$2:$O$501))</f>
        <v/>
      </c>
      <c r="I288" s="4" t="str">
        <f t="shared" si="18"/>
        <v/>
      </c>
      <c r="J288" s="4" t="str">
        <f t="shared" si="19"/>
        <v/>
      </c>
    </row>
    <row r="289" spans="1:10" x14ac:dyDescent="0.25">
      <c r="A289" s="4"/>
      <c r="B289" s="4"/>
      <c r="C289" s="4"/>
      <c r="D289" s="4"/>
      <c r="E289" s="4" t="str">
        <f ca="1">IFERROR(_xludf.XLOOKUP(A289,Milestones!$A$2:$A$501,Milestones!$M$2:$M$501),"")</f>
        <v/>
      </c>
      <c r="F289" s="4" t="str">
        <f t="shared" ca="1" si="16"/>
        <v/>
      </c>
      <c r="G289" s="4" t="str">
        <f t="shared" si="17"/>
        <v/>
      </c>
      <c r="H289" s="4" t="str">
        <f>IF(A289="","",SUMIF(Wyniki!$C$2:$C$501,A289,Wyniki!$O$2:$O$501))</f>
        <v/>
      </c>
      <c r="I289" s="4" t="str">
        <f t="shared" si="18"/>
        <v/>
      </c>
      <c r="J289" s="4" t="str">
        <f t="shared" si="19"/>
        <v/>
      </c>
    </row>
    <row r="290" spans="1:10" x14ac:dyDescent="0.25">
      <c r="A290" s="4"/>
      <c r="B290" s="4"/>
      <c r="C290" s="4"/>
      <c r="D290" s="4"/>
      <c r="E290" s="4" t="str">
        <f ca="1">IFERROR(_xludf.XLOOKUP(A290,Milestones!$A$2:$A$501,Milestones!$M$2:$M$501),"")</f>
        <v/>
      </c>
      <c r="F290" s="4" t="str">
        <f t="shared" ca="1" si="16"/>
        <v/>
      </c>
      <c r="G290" s="4" t="str">
        <f t="shared" si="17"/>
        <v/>
      </c>
      <c r="H290" s="4" t="str">
        <f>IF(A290="","",SUMIF(Wyniki!$C$2:$C$501,A290,Wyniki!$O$2:$O$501))</f>
        <v/>
      </c>
      <c r="I290" s="4" t="str">
        <f t="shared" si="18"/>
        <v/>
      </c>
      <c r="J290" s="4" t="str">
        <f t="shared" si="19"/>
        <v/>
      </c>
    </row>
    <row r="291" spans="1:10" x14ac:dyDescent="0.25">
      <c r="A291" s="4"/>
      <c r="B291" s="4"/>
      <c r="C291" s="4"/>
      <c r="D291" s="4"/>
      <c r="E291" s="4" t="str">
        <f ca="1">IFERROR(_xludf.XLOOKUP(A291,Milestones!$A$2:$A$501,Milestones!$M$2:$M$501),"")</f>
        <v/>
      </c>
      <c r="F291" s="4" t="str">
        <f t="shared" ca="1" si="16"/>
        <v/>
      </c>
      <c r="G291" s="4" t="str">
        <f t="shared" si="17"/>
        <v/>
      </c>
      <c r="H291" s="4" t="str">
        <f>IF(A291="","",SUMIF(Wyniki!$C$2:$C$501,A291,Wyniki!$O$2:$O$501))</f>
        <v/>
      </c>
      <c r="I291" s="4" t="str">
        <f t="shared" si="18"/>
        <v/>
      </c>
      <c r="J291" s="4" t="str">
        <f t="shared" si="19"/>
        <v/>
      </c>
    </row>
    <row r="292" spans="1:10" x14ac:dyDescent="0.25">
      <c r="A292" s="4"/>
      <c r="B292" s="4"/>
      <c r="C292" s="4"/>
      <c r="D292" s="4"/>
      <c r="E292" s="4" t="str">
        <f ca="1">IFERROR(_xludf.XLOOKUP(A292,Milestones!$A$2:$A$501,Milestones!$M$2:$M$501),"")</f>
        <v/>
      </c>
      <c r="F292" s="4" t="str">
        <f t="shared" ca="1" si="16"/>
        <v/>
      </c>
      <c r="G292" s="4" t="str">
        <f t="shared" si="17"/>
        <v/>
      </c>
      <c r="H292" s="4" t="str">
        <f>IF(A292="","",SUMIF(Wyniki!$C$2:$C$501,A292,Wyniki!$O$2:$O$501))</f>
        <v/>
      </c>
      <c r="I292" s="4" t="str">
        <f t="shared" si="18"/>
        <v/>
      </c>
      <c r="J292" s="4" t="str">
        <f t="shared" si="19"/>
        <v/>
      </c>
    </row>
    <row r="293" spans="1:10" x14ac:dyDescent="0.25">
      <c r="A293" s="4"/>
      <c r="B293" s="4"/>
      <c r="C293" s="4"/>
      <c r="D293" s="4"/>
      <c r="E293" s="4" t="str">
        <f ca="1">IFERROR(_xludf.XLOOKUP(A293,Milestones!$A$2:$A$501,Milestones!$M$2:$M$501),"")</f>
        <v/>
      </c>
      <c r="F293" s="4" t="str">
        <f t="shared" ca="1" si="16"/>
        <v/>
      </c>
      <c r="G293" s="4" t="str">
        <f t="shared" si="17"/>
        <v/>
      </c>
      <c r="H293" s="4" t="str">
        <f>IF(A293="","",SUMIF(Wyniki!$C$2:$C$501,A293,Wyniki!$O$2:$O$501))</f>
        <v/>
      </c>
      <c r="I293" s="4" t="str">
        <f t="shared" si="18"/>
        <v/>
      </c>
      <c r="J293" s="4" t="str">
        <f t="shared" si="19"/>
        <v/>
      </c>
    </row>
    <row r="294" spans="1:10" x14ac:dyDescent="0.25">
      <c r="A294" s="4"/>
      <c r="B294" s="4"/>
      <c r="C294" s="4"/>
      <c r="D294" s="4"/>
      <c r="E294" s="4" t="str">
        <f ca="1">IFERROR(_xludf.XLOOKUP(A294,Milestones!$A$2:$A$501,Milestones!$M$2:$M$501),"")</f>
        <v/>
      </c>
      <c r="F294" s="4" t="str">
        <f t="shared" ca="1" si="16"/>
        <v/>
      </c>
      <c r="G294" s="4" t="str">
        <f t="shared" si="17"/>
        <v/>
      </c>
      <c r="H294" s="4" t="str">
        <f>IF(A294="","",SUMIF(Wyniki!$C$2:$C$501,A294,Wyniki!$O$2:$O$501))</f>
        <v/>
      </c>
      <c r="I294" s="4" t="str">
        <f t="shared" si="18"/>
        <v/>
      </c>
      <c r="J294" s="4" t="str">
        <f t="shared" si="19"/>
        <v/>
      </c>
    </row>
    <row r="295" spans="1:10" x14ac:dyDescent="0.25">
      <c r="A295" s="4"/>
      <c r="B295" s="4"/>
      <c r="C295" s="4"/>
      <c r="D295" s="4"/>
      <c r="E295" s="4" t="str">
        <f ca="1">IFERROR(_xludf.XLOOKUP(A295,Milestones!$A$2:$A$501,Milestones!$M$2:$M$501),"")</f>
        <v/>
      </c>
      <c r="F295" s="4" t="str">
        <f t="shared" ca="1" si="16"/>
        <v/>
      </c>
      <c r="G295" s="4" t="str">
        <f t="shared" si="17"/>
        <v/>
      </c>
      <c r="H295" s="4" t="str">
        <f>IF(A295="","",SUMIF(Wyniki!$C$2:$C$501,A295,Wyniki!$O$2:$O$501))</f>
        <v/>
      </c>
      <c r="I295" s="4" t="str">
        <f t="shared" si="18"/>
        <v/>
      </c>
      <c r="J295" s="4" t="str">
        <f t="shared" si="19"/>
        <v/>
      </c>
    </row>
    <row r="296" spans="1:10" x14ac:dyDescent="0.25">
      <c r="A296" s="4"/>
      <c r="B296" s="4"/>
      <c r="C296" s="4"/>
      <c r="D296" s="4"/>
      <c r="E296" s="4" t="str">
        <f ca="1">IFERROR(_xludf.XLOOKUP(A296,Milestones!$A$2:$A$501,Milestones!$M$2:$M$501),"")</f>
        <v/>
      </c>
      <c r="F296" s="4" t="str">
        <f t="shared" ca="1" si="16"/>
        <v/>
      </c>
      <c r="G296" s="4" t="str">
        <f t="shared" si="17"/>
        <v/>
      </c>
      <c r="H296" s="4" t="str">
        <f>IF(A296="","",SUMIF(Wyniki!$C$2:$C$501,A296,Wyniki!$O$2:$O$501))</f>
        <v/>
      </c>
      <c r="I296" s="4" t="str">
        <f t="shared" si="18"/>
        <v/>
      </c>
      <c r="J296" s="4" t="str">
        <f t="shared" si="19"/>
        <v/>
      </c>
    </row>
    <row r="297" spans="1:10" x14ac:dyDescent="0.25">
      <c r="A297" s="4"/>
      <c r="B297" s="4"/>
      <c r="C297" s="4"/>
      <c r="D297" s="4"/>
      <c r="E297" s="4" t="str">
        <f ca="1">IFERROR(_xludf.XLOOKUP(A297,Milestones!$A$2:$A$501,Milestones!$M$2:$M$501),"")</f>
        <v/>
      </c>
      <c r="F297" s="4" t="str">
        <f t="shared" ca="1" si="16"/>
        <v/>
      </c>
      <c r="G297" s="4" t="str">
        <f t="shared" si="17"/>
        <v/>
      </c>
      <c r="H297" s="4" t="str">
        <f>IF(A297="","",SUMIF(Wyniki!$C$2:$C$501,A297,Wyniki!$O$2:$O$501))</f>
        <v/>
      </c>
      <c r="I297" s="4" t="str">
        <f t="shared" si="18"/>
        <v/>
      </c>
      <c r="J297" s="4" t="str">
        <f t="shared" si="19"/>
        <v/>
      </c>
    </row>
    <row r="298" spans="1:10" x14ac:dyDescent="0.25">
      <c r="A298" s="4"/>
      <c r="B298" s="4"/>
      <c r="C298" s="4"/>
      <c r="D298" s="4"/>
      <c r="E298" s="4" t="str">
        <f ca="1">IFERROR(_xludf.XLOOKUP(A298,Milestones!$A$2:$A$501,Milestones!$M$2:$M$501),"")</f>
        <v/>
      </c>
      <c r="F298" s="4" t="str">
        <f t="shared" ca="1" si="16"/>
        <v/>
      </c>
      <c r="G298" s="4" t="str">
        <f t="shared" si="17"/>
        <v/>
      </c>
      <c r="H298" s="4" t="str">
        <f>IF(A298="","",SUMIF(Wyniki!$C$2:$C$501,A298,Wyniki!$O$2:$O$501))</f>
        <v/>
      </c>
      <c r="I298" s="4" t="str">
        <f t="shared" si="18"/>
        <v/>
      </c>
      <c r="J298" s="4" t="str">
        <f t="shared" si="19"/>
        <v/>
      </c>
    </row>
    <row r="299" spans="1:10" x14ac:dyDescent="0.25">
      <c r="A299" s="4"/>
      <c r="B299" s="4"/>
      <c r="C299" s="4"/>
      <c r="D299" s="4"/>
      <c r="E299" s="4" t="str">
        <f ca="1">IFERROR(_xludf.XLOOKUP(A299,Milestones!$A$2:$A$501,Milestones!$M$2:$M$501),"")</f>
        <v/>
      </c>
      <c r="F299" s="4" t="str">
        <f t="shared" ca="1" si="16"/>
        <v/>
      </c>
      <c r="G299" s="4" t="str">
        <f t="shared" si="17"/>
        <v/>
      </c>
      <c r="H299" s="4" t="str">
        <f>IF(A299="","",SUMIF(Wyniki!$C$2:$C$501,A299,Wyniki!$O$2:$O$501))</f>
        <v/>
      </c>
      <c r="I299" s="4" t="str">
        <f t="shared" si="18"/>
        <v/>
      </c>
      <c r="J299" s="4" t="str">
        <f t="shared" si="19"/>
        <v/>
      </c>
    </row>
    <row r="300" spans="1:10" x14ac:dyDescent="0.25">
      <c r="A300" s="4"/>
      <c r="B300" s="4"/>
      <c r="C300" s="4"/>
      <c r="D300" s="4"/>
      <c r="E300" s="4" t="str">
        <f ca="1">IFERROR(_xludf.XLOOKUP(A300,Milestones!$A$2:$A$501,Milestones!$M$2:$M$501),"")</f>
        <v/>
      </c>
      <c r="F300" s="4" t="str">
        <f t="shared" ca="1" si="16"/>
        <v/>
      </c>
      <c r="G300" s="4" t="str">
        <f t="shared" si="17"/>
        <v/>
      </c>
      <c r="H300" s="4" t="str">
        <f>IF(A300="","",SUMIF(Wyniki!$C$2:$C$501,A300,Wyniki!$O$2:$O$501))</f>
        <v/>
      </c>
      <c r="I300" s="4" t="str">
        <f t="shared" si="18"/>
        <v/>
      </c>
      <c r="J300" s="4" t="str">
        <f t="shared" si="19"/>
        <v/>
      </c>
    </row>
    <row r="301" spans="1:10" x14ac:dyDescent="0.25">
      <c r="A301" s="4"/>
      <c r="B301" s="4"/>
      <c r="C301" s="4"/>
      <c r="D301" s="4"/>
      <c r="E301" s="4" t="str">
        <f ca="1">IFERROR(_xludf.XLOOKUP(A301,Milestones!$A$2:$A$501,Milestones!$M$2:$M$501),"")</f>
        <v/>
      </c>
      <c r="F301" s="4" t="str">
        <f t="shared" ca="1" si="16"/>
        <v/>
      </c>
      <c r="G301" s="4" t="str">
        <f t="shared" si="17"/>
        <v/>
      </c>
      <c r="H301" s="4" t="str">
        <f>IF(A301="","",SUMIF(Wyniki!$C$2:$C$501,A301,Wyniki!$O$2:$O$501))</f>
        <v/>
      </c>
      <c r="I301" s="4" t="str">
        <f t="shared" si="18"/>
        <v/>
      </c>
      <c r="J301" s="4" t="str">
        <f t="shared" si="19"/>
        <v/>
      </c>
    </row>
    <row r="302" spans="1:10" x14ac:dyDescent="0.25">
      <c r="A302" s="4"/>
      <c r="B302" s="4"/>
      <c r="C302" s="4"/>
      <c r="D302" s="4"/>
      <c r="E302" s="4" t="str">
        <f ca="1">IFERROR(_xludf.XLOOKUP(A302,Milestones!$A$2:$A$501,Milestones!$M$2:$M$501),"")</f>
        <v/>
      </c>
      <c r="F302" s="4" t="str">
        <f t="shared" ca="1" si="16"/>
        <v/>
      </c>
      <c r="G302" s="4" t="str">
        <f t="shared" si="17"/>
        <v/>
      </c>
      <c r="H302" s="4" t="str">
        <f>IF(A302="","",SUMIF(Wyniki!$C$2:$C$501,A302,Wyniki!$O$2:$O$501))</f>
        <v/>
      </c>
      <c r="I302" s="4" t="str">
        <f t="shared" si="18"/>
        <v/>
      </c>
      <c r="J302" s="4" t="str">
        <f t="shared" si="19"/>
        <v/>
      </c>
    </row>
    <row r="303" spans="1:10" x14ac:dyDescent="0.25">
      <c r="A303" s="4"/>
      <c r="B303" s="4"/>
      <c r="C303" s="4"/>
      <c r="D303" s="4"/>
      <c r="E303" s="4" t="str">
        <f ca="1">IFERROR(_xludf.XLOOKUP(A303,Milestones!$A$2:$A$501,Milestones!$M$2:$M$501),"")</f>
        <v/>
      </c>
      <c r="F303" s="4" t="str">
        <f t="shared" ca="1" si="16"/>
        <v/>
      </c>
      <c r="G303" s="4" t="str">
        <f t="shared" si="17"/>
        <v/>
      </c>
      <c r="H303" s="4" t="str">
        <f>IF(A303="","",SUMIF(Wyniki!$C$2:$C$501,A303,Wyniki!$O$2:$O$501))</f>
        <v/>
      </c>
      <c r="I303" s="4" t="str">
        <f t="shared" si="18"/>
        <v/>
      </c>
      <c r="J303" s="4" t="str">
        <f t="shared" si="19"/>
        <v/>
      </c>
    </row>
    <row r="304" spans="1:10" x14ac:dyDescent="0.25">
      <c r="A304" s="4"/>
      <c r="B304" s="4"/>
      <c r="C304" s="4"/>
      <c r="D304" s="4"/>
      <c r="E304" s="4" t="str">
        <f ca="1">IFERROR(_xludf.XLOOKUP(A304,Milestones!$A$2:$A$501,Milestones!$M$2:$M$501),"")</f>
        <v/>
      </c>
      <c r="F304" s="4" t="str">
        <f t="shared" ca="1" si="16"/>
        <v/>
      </c>
      <c r="G304" s="4" t="str">
        <f t="shared" si="17"/>
        <v/>
      </c>
      <c r="H304" s="4" t="str">
        <f>IF(A304="","",SUMIF(Wyniki!$C$2:$C$501,A304,Wyniki!$O$2:$O$501))</f>
        <v/>
      </c>
      <c r="I304" s="4" t="str">
        <f t="shared" si="18"/>
        <v/>
      </c>
      <c r="J304" s="4" t="str">
        <f t="shared" si="19"/>
        <v/>
      </c>
    </row>
    <row r="305" spans="1:10" x14ac:dyDescent="0.25">
      <c r="A305" s="4"/>
      <c r="B305" s="4"/>
      <c r="C305" s="4"/>
      <c r="D305" s="4"/>
      <c r="E305" s="4" t="str">
        <f ca="1">IFERROR(_xludf.XLOOKUP(A305,Milestones!$A$2:$A$501,Milestones!$M$2:$M$501),"")</f>
        <v/>
      </c>
      <c r="F305" s="4" t="str">
        <f t="shared" ca="1" si="16"/>
        <v/>
      </c>
      <c r="G305" s="4" t="str">
        <f t="shared" si="17"/>
        <v/>
      </c>
      <c r="H305" s="4" t="str">
        <f>IF(A305="","",SUMIF(Wyniki!$C$2:$C$501,A305,Wyniki!$O$2:$O$501))</f>
        <v/>
      </c>
      <c r="I305" s="4" t="str">
        <f t="shared" si="18"/>
        <v/>
      </c>
      <c r="J305" s="4" t="str">
        <f t="shared" si="19"/>
        <v/>
      </c>
    </row>
    <row r="306" spans="1:10" x14ac:dyDescent="0.25">
      <c r="A306" s="4"/>
      <c r="B306" s="4"/>
      <c r="C306" s="4"/>
      <c r="D306" s="4"/>
      <c r="E306" s="4" t="str">
        <f ca="1">IFERROR(_xludf.XLOOKUP(A306,Milestones!$A$2:$A$501,Milestones!$M$2:$M$501),"")</f>
        <v/>
      </c>
      <c r="F306" s="4" t="str">
        <f t="shared" ca="1" si="16"/>
        <v/>
      </c>
      <c r="G306" s="4" t="str">
        <f t="shared" si="17"/>
        <v/>
      </c>
      <c r="H306" s="4" t="str">
        <f>IF(A306="","",SUMIF(Wyniki!$C$2:$C$501,A306,Wyniki!$O$2:$O$501))</f>
        <v/>
      </c>
      <c r="I306" s="4" t="str">
        <f t="shared" si="18"/>
        <v/>
      </c>
      <c r="J306" s="4" t="str">
        <f t="shared" si="19"/>
        <v/>
      </c>
    </row>
    <row r="307" spans="1:10" x14ac:dyDescent="0.25">
      <c r="A307" s="4"/>
      <c r="B307" s="4"/>
      <c r="C307" s="4"/>
      <c r="D307" s="4"/>
      <c r="E307" s="4" t="str">
        <f ca="1">IFERROR(_xludf.XLOOKUP(A307,Milestones!$A$2:$A$501,Milestones!$M$2:$M$501),"")</f>
        <v/>
      </c>
      <c r="F307" s="4" t="str">
        <f t="shared" ca="1" si="16"/>
        <v/>
      </c>
      <c r="G307" s="4" t="str">
        <f t="shared" si="17"/>
        <v/>
      </c>
      <c r="H307" s="4" t="str">
        <f>IF(A307="","",SUMIF(Wyniki!$C$2:$C$501,A307,Wyniki!$O$2:$O$501))</f>
        <v/>
      </c>
      <c r="I307" s="4" t="str">
        <f t="shared" si="18"/>
        <v/>
      </c>
      <c r="J307" s="4" t="str">
        <f t="shared" si="19"/>
        <v/>
      </c>
    </row>
    <row r="308" spans="1:10" x14ac:dyDescent="0.25">
      <c r="A308" s="4"/>
      <c r="B308" s="4"/>
      <c r="C308" s="4"/>
      <c r="D308" s="4"/>
      <c r="E308" s="4" t="str">
        <f ca="1">IFERROR(_xludf.XLOOKUP(A308,Milestones!$A$2:$A$501,Milestones!$M$2:$M$501),"")</f>
        <v/>
      </c>
      <c r="F308" s="4" t="str">
        <f t="shared" ca="1" si="16"/>
        <v/>
      </c>
      <c r="G308" s="4" t="str">
        <f t="shared" si="17"/>
        <v/>
      </c>
      <c r="H308" s="4" t="str">
        <f>IF(A308="","",SUMIF(Wyniki!$C$2:$C$501,A308,Wyniki!$O$2:$O$501))</f>
        <v/>
      </c>
      <c r="I308" s="4" t="str">
        <f t="shared" si="18"/>
        <v/>
      </c>
      <c r="J308" s="4" t="str">
        <f t="shared" si="19"/>
        <v/>
      </c>
    </row>
    <row r="309" spans="1:10" x14ac:dyDescent="0.25">
      <c r="A309" s="4"/>
      <c r="B309" s="4"/>
      <c r="C309" s="4"/>
      <c r="D309" s="4"/>
      <c r="E309" s="4" t="str">
        <f ca="1">IFERROR(_xludf.XLOOKUP(A309,Milestones!$A$2:$A$501,Milestones!$M$2:$M$501),"")</f>
        <v/>
      </c>
      <c r="F309" s="4" t="str">
        <f t="shared" ca="1" si="16"/>
        <v/>
      </c>
      <c r="G309" s="4" t="str">
        <f t="shared" si="17"/>
        <v/>
      </c>
      <c r="H309" s="4" t="str">
        <f>IF(A309="","",SUMIF(Wyniki!$C$2:$C$501,A309,Wyniki!$O$2:$O$501))</f>
        <v/>
      </c>
      <c r="I309" s="4" t="str">
        <f t="shared" si="18"/>
        <v/>
      </c>
      <c r="J309" s="4" t="str">
        <f t="shared" si="19"/>
        <v/>
      </c>
    </row>
    <row r="310" spans="1:10" x14ac:dyDescent="0.25">
      <c r="A310" s="4"/>
      <c r="B310" s="4"/>
      <c r="C310" s="4"/>
      <c r="D310" s="4"/>
      <c r="E310" s="4" t="str">
        <f ca="1">IFERROR(_xludf.XLOOKUP(A310,Milestones!$A$2:$A$501,Milestones!$M$2:$M$501),"")</f>
        <v/>
      </c>
      <c r="F310" s="4" t="str">
        <f t="shared" ca="1" si="16"/>
        <v/>
      </c>
      <c r="G310" s="4" t="str">
        <f t="shared" si="17"/>
        <v/>
      </c>
      <c r="H310" s="4" t="str">
        <f>IF(A310="","",SUMIF(Wyniki!$C$2:$C$501,A310,Wyniki!$O$2:$O$501))</f>
        <v/>
      </c>
      <c r="I310" s="4" t="str">
        <f t="shared" si="18"/>
        <v/>
      </c>
      <c r="J310" s="4" t="str">
        <f t="shared" si="19"/>
        <v/>
      </c>
    </row>
    <row r="311" spans="1:10" x14ac:dyDescent="0.25">
      <c r="A311" s="4"/>
      <c r="B311" s="4"/>
      <c r="C311" s="4"/>
      <c r="D311" s="4"/>
      <c r="E311" s="4" t="str">
        <f ca="1">IFERROR(_xludf.XLOOKUP(A311,Milestones!$A$2:$A$501,Milestones!$M$2:$M$501),"")</f>
        <v/>
      </c>
      <c r="F311" s="4" t="str">
        <f t="shared" ca="1" si="16"/>
        <v/>
      </c>
      <c r="G311" s="4" t="str">
        <f t="shared" si="17"/>
        <v/>
      </c>
      <c r="H311" s="4" t="str">
        <f>IF(A311="","",SUMIF(Wyniki!$C$2:$C$501,A311,Wyniki!$O$2:$O$501))</f>
        <v/>
      </c>
      <c r="I311" s="4" t="str">
        <f t="shared" si="18"/>
        <v/>
      </c>
      <c r="J311" s="4" t="str">
        <f t="shared" si="19"/>
        <v/>
      </c>
    </row>
    <row r="312" spans="1:10" x14ac:dyDescent="0.25">
      <c r="A312" s="4"/>
      <c r="B312" s="4"/>
      <c r="C312" s="4"/>
      <c r="D312" s="4"/>
      <c r="E312" s="4" t="str">
        <f ca="1">IFERROR(_xludf.XLOOKUP(A312,Milestones!$A$2:$A$501,Milestones!$M$2:$M$501),"")</f>
        <v/>
      </c>
      <c r="F312" s="4" t="str">
        <f t="shared" ca="1" si="16"/>
        <v/>
      </c>
      <c r="G312" s="4" t="str">
        <f t="shared" si="17"/>
        <v/>
      </c>
      <c r="H312" s="4" t="str">
        <f>IF(A312="","",SUMIF(Wyniki!$C$2:$C$501,A312,Wyniki!$O$2:$O$501))</f>
        <v/>
      </c>
      <c r="I312" s="4" t="str">
        <f t="shared" si="18"/>
        <v/>
      </c>
      <c r="J312" s="4" t="str">
        <f t="shared" si="19"/>
        <v/>
      </c>
    </row>
    <row r="313" spans="1:10" x14ac:dyDescent="0.25">
      <c r="A313" s="4"/>
      <c r="B313" s="4"/>
      <c r="C313" s="4"/>
      <c r="D313" s="4"/>
      <c r="E313" s="4" t="str">
        <f ca="1">IFERROR(_xludf.XLOOKUP(A313,Milestones!$A$2:$A$501,Milestones!$M$2:$M$501),"")</f>
        <v/>
      </c>
      <c r="F313" s="4" t="str">
        <f t="shared" ca="1" si="16"/>
        <v/>
      </c>
      <c r="G313" s="4" t="str">
        <f t="shared" si="17"/>
        <v/>
      </c>
      <c r="H313" s="4" t="str">
        <f>IF(A313="","",SUMIF(Wyniki!$C$2:$C$501,A313,Wyniki!$O$2:$O$501))</f>
        <v/>
      </c>
      <c r="I313" s="4" t="str">
        <f t="shared" si="18"/>
        <v/>
      </c>
      <c r="J313" s="4" t="str">
        <f t="shared" si="19"/>
        <v/>
      </c>
    </row>
    <row r="314" spans="1:10" x14ac:dyDescent="0.25">
      <c r="A314" s="4"/>
      <c r="B314" s="4"/>
      <c r="C314" s="4"/>
      <c r="D314" s="4"/>
      <c r="E314" s="4" t="str">
        <f ca="1">IFERROR(_xludf.XLOOKUP(A314,Milestones!$A$2:$A$501,Milestones!$M$2:$M$501),"")</f>
        <v/>
      </c>
      <c r="F314" s="4" t="str">
        <f t="shared" ca="1" si="16"/>
        <v/>
      </c>
      <c r="G314" s="4" t="str">
        <f t="shared" si="17"/>
        <v/>
      </c>
      <c r="H314" s="4" t="str">
        <f>IF(A314="","",SUMIF(Wyniki!$C$2:$C$501,A314,Wyniki!$O$2:$O$501))</f>
        <v/>
      </c>
      <c r="I314" s="4" t="str">
        <f t="shared" si="18"/>
        <v/>
      </c>
      <c r="J314" s="4" t="str">
        <f t="shared" si="19"/>
        <v/>
      </c>
    </row>
    <row r="315" spans="1:10" x14ac:dyDescent="0.25">
      <c r="A315" s="4"/>
      <c r="B315" s="4"/>
      <c r="C315" s="4"/>
      <c r="D315" s="4"/>
      <c r="E315" s="4" t="str">
        <f ca="1">IFERROR(_xludf.XLOOKUP(A315,Milestones!$A$2:$A$501,Milestones!$M$2:$M$501),"")</f>
        <v/>
      </c>
      <c r="F315" s="4" t="str">
        <f t="shared" ca="1" si="16"/>
        <v/>
      </c>
      <c r="G315" s="4" t="str">
        <f t="shared" si="17"/>
        <v/>
      </c>
      <c r="H315" s="4" t="str">
        <f>IF(A315="","",SUMIF(Wyniki!$C$2:$C$501,A315,Wyniki!$O$2:$O$501))</f>
        <v/>
      </c>
      <c r="I315" s="4" t="str">
        <f t="shared" si="18"/>
        <v/>
      </c>
      <c r="J315" s="4" t="str">
        <f t="shared" si="19"/>
        <v/>
      </c>
    </row>
    <row r="316" spans="1:10" x14ac:dyDescent="0.25">
      <c r="A316" s="4"/>
      <c r="B316" s="4"/>
      <c r="C316" s="4"/>
      <c r="D316" s="4"/>
      <c r="E316" s="4" t="str">
        <f ca="1">IFERROR(_xludf.XLOOKUP(A316,Milestones!$A$2:$A$501,Milestones!$M$2:$M$501),"")</f>
        <v/>
      </c>
      <c r="F316" s="4" t="str">
        <f t="shared" ca="1" si="16"/>
        <v/>
      </c>
      <c r="G316" s="4" t="str">
        <f t="shared" si="17"/>
        <v/>
      </c>
      <c r="H316" s="4" t="str">
        <f>IF(A316="","",SUMIF(Wyniki!$C$2:$C$501,A316,Wyniki!$O$2:$O$501))</f>
        <v/>
      </c>
      <c r="I316" s="4" t="str">
        <f t="shared" si="18"/>
        <v/>
      </c>
      <c r="J316" s="4" t="str">
        <f t="shared" si="19"/>
        <v/>
      </c>
    </row>
    <row r="317" spans="1:10" x14ac:dyDescent="0.25">
      <c r="A317" s="4"/>
      <c r="B317" s="4"/>
      <c r="C317" s="4"/>
      <c r="D317" s="4"/>
      <c r="E317" s="4" t="str">
        <f ca="1">IFERROR(_xludf.XLOOKUP(A317,Milestones!$A$2:$A$501,Milestones!$M$2:$M$501),"")</f>
        <v/>
      </c>
      <c r="F317" s="4" t="str">
        <f t="shared" ca="1" si="16"/>
        <v/>
      </c>
      <c r="G317" s="4" t="str">
        <f t="shared" si="17"/>
        <v/>
      </c>
      <c r="H317" s="4" t="str">
        <f>IF(A317="","",SUMIF(Wyniki!$C$2:$C$501,A317,Wyniki!$O$2:$O$501))</f>
        <v/>
      </c>
      <c r="I317" s="4" t="str">
        <f t="shared" si="18"/>
        <v/>
      </c>
      <c r="J317" s="4" t="str">
        <f t="shared" si="19"/>
        <v/>
      </c>
    </row>
    <row r="318" spans="1:10" x14ac:dyDescent="0.25">
      <c r="A318" s="4"/>
      <c r="B318" s="4"/>
      <c r="C318" s="4"/>
      <c r="D318" s="4"/>
      <c r="E318" s="4" t="str">
        <f ca="1">IFERROR(_xludf.XLOOKUP(A318,Milestones!$A$2:$A$501,Milestones!$M$2:$M$501),"")</f>
        <v/>
      </c>
      <c r="F318" s="4" t="str">
        <f t="shared" ca="1" si="16"/>
        <v/>
      </c>
      <c r="G318" s="4" t="str">
        <f t="shared" si="17"/>
        <v/>
      </c>
      <c r="H318" s="4" t="str">
        <f>IF(A318="","",SUMIF(Wyniki!$C$2:$C$501,A318,Wyniki!$O$2:$O$501))</f>
        <v/>
      </c>
      <c r="I318" s="4" t="str">
        <f t="shared" si="18"/>
        <v/>
      </c>
      <c r="J318" s="4" t="str">
        <f t="shared" si="19"/>
        <v/>
      </c>
    </row>
    <row r="319" spans="1:10" x14ac:dyDescent="0.25">
      <c r="A319" s="4"/>
      <c r="B319" s="4"/>
      <c r="C319" s="4"/>
      <c r="D319" s="4"/>
      <c r="E319" s="4" t="str">
        <f ca="1">IFERROR(_xludf.XLOOKUP(A319,Milestones!$A$2:$A$501,Milestones!$M$2:$M$501),"")</f>
        <v/>
      </c>
      <c r="F319" s="4" t="str">
        <f t="shared" ca="1" si="16"/>
        <v/>
      </c>
      <c r="G319" s="4" t="str">
        <f t="shared" si="17"/>
        <v/>
      </c>
      <c r="H319" s="4" t="str">
        <f>IF(A319="","",SUMIF(Wyniki!$C$2:$C$501,A319,Wyniki!$O$2:$O$501))</f>
        <v/>
      </c>
      <c r="I319" s="4" t="str">
        <f t="shared" si="18"/>
        <v/>
      </c>
      <c r="J319" s="4" t="str">
        <f t="shared" si="19"/>
        <v/>
      </c>
    </row>
    <row r="320" spans="1:10" x14ac:dyDescent="0.25">
      <c r="A320" s="4"/>
      <c r="B320" s="4"/>
      <c r="C320" s="4"/>
      <c r="D320" s="4"/>
      <c r="E320" s="4" t="str">
        <f ca="1">IFERROR(_xludf.XLOOKUP(A320,Milestones!$A$2:$A$501,Milestones!$M$2:$M$501),"")</f>
        <v/>
      </c>
      <c r="F320" s="4" t="str">
        <f t="shared" ca="1" si="16"/>
        <v/>
      </c>
      <c r="G320" s="4" t="str">
        <f t="shared" si="17"/>
        <v/>
      </c>
      <c r="H320" s="4" t="str">
        <f>IF(A320="","",SUMIF(Wyniki!$C$2:$C$501,A320,Wyniki!$O$2:$O$501))</f>
        <v/>
      </c>
      <c r="I320" s="4" t="str">
        <f t="shared" si="18"/>
        <v/>
      </c>
      <c r="J320" s="4" t="str">
        <f t="shared" si="19"/>
        <v/>
      </c>
    </row>
    <row r="321" spans="1:10" x14ac:dyDescent="0.25">
      <c r="A321" s="4"/>
      <c r="B321" s="4"/>
      <c r="C321" s="4"/>
      <c r="D321" s="4"/>
      <c r="E321" s="4" t="str">
        <f ca="1">IFERROR(_xludf.XLOOKUP(A321,Milestones!$A$2:$A$501,Milestones!$M$2:$M$501),"")</f>
        <v/>
      </c>
      <c r="F321" s="4" t="str">
        <f t="shared" ca="1" si="16"/>
        <v/>
      </c>
      <c r="G321" s="4" t="str">
        <f t="shared" si="17"/>
        <v/>
      </c>
      <c r="H321" s="4" t="str">
        <f>IF(A321="","",SUMIF(Wyniki!$C$2:$C$501,A321,Wyniki!$O$2:$O$501))</f>
        <v/>
      </c>
      <c r="I321" s="4" t="str">
        <f t="shared" si="18"/>
        <v/>
      </c>
      <c r="J321" s="4" t="str">
        <f t="shared" si="19"/>
        <v/>
      </c>
    </row>
    <row r="322" spans="1:10" x14ac:dyDescent="0.25">
      <c r="A322" s="4"/>
      <c r="B322" s="4"/>
      <c r="C322" s="4"/>
      <c r="D322" s="4"/>
      <c r="E322" s="4" t="str">
        <f ca="1">IFERROR(_xludf.XLOOKUP(A322,Milestones!$A$2:$A$501,Milestones!$M$2:$M$501),"")</f>
        <v/>
      </c>
      <c r="F322" s="4" t="str">
        <f t="shared" ref="F322:F385" ca="1" si="20">IF(E322="","",MIN(E322,1))</f>
        <v/>
      </c>
      <c r="G322" s="4" t="str">
        <f t="shared" ref="G322:G385" si="21">IF(D322="","",ROUNDDOWN(D322*F322,2))</f>
        <v/>
      </c>
      <c r="H322" s="4" t="str">
        <f>IF(A322="","",SUMIF(Wyniki!$C$2:$C$501,A322,Wyniki!$O$2:$O$501))</f>
        <v/>
      </c>
      <c r="I322" s="4" t="str">
        <f t="shared" ref="I322:I385" si="22">IF(G322="","",MAX(0,G322-H322))</f>
        <v/>
      </c>
      <c r="J322" s="4" t="str">
        <f t="shared" ref="J322:J385" si="23">IF(A322="","",IF(H322&lt;=G322,"OK","NIE"))</f>
        <v/>
      </c>
    </row>
    <row r="323" spans="1:10" x14ac:dyDescent="0.25">
      <c r="A323" s="4"/>
      <c r="B323" s="4"/>
      <c r="C323" s="4"/>
      <c r="D323" s="4"/>
      <c r="E323" s="4" t="str">
        <f ca="1">IFERROR(_xludf.XLOOKUP(A323,Milestones!$A$2:$A$501,Milestones!$M$2:$M$501),"")</f>
        <v/>
      </c>
      <c r="F323" s="4" t="str">
        <f t="shared" ca="1" si="20"/>
        <v/>
      </c>
      <c r="G323" s="4" t="str">
        <f t="shared" si="21"/>
        <v/>
      </c>
      <c r="H323" s="4" t="str">
        <f>IF(A323="","",SUMIF(Wyniki!$C$2:$C$501,A323,Wyniki!$O$2:$O$501))</f>
        <v/>
      </c>
      <c r="I323" s="4" t="str">
        <f t="shared" si="22"/>
        <v/>
      </c>
      <c r="J323" s="4" t="str">
        <f t="shared" si="23"/>
        <v/>
      </c>
    </row>
    <row r="324" spans="1:10" x14ac:dyDescent="0.25">
      <c r="A324" s="4"/>
      <c r="B324" s="4"/>
      <c r="C324" s="4"/>
      <c r="D324" s="4"/>
      <c r="E324" s="4" t="str">
        <f ca="1">IFERROR(_xludf.XLOOKUP(A324,Milestones!$A$2:$A$501,Milestones!$M$2:$M$501),"")</f>
        <v/>
      </c>
      <c r="F324" s="4" t="str">
        <f t="shared" ca="1" si="20"/>
        <v/>
      </c>
      <c r="G324" s="4" t="str">
        <f t="shared" si="21"/>
        <v/>
      </c>
      <c r="H324" s="4" t="str">
        <f>IF(A324="","",SUMIF(Wyniki!$C$2:$C$501,A324,Wyniki!$O$2:$O$501))</f>
        <v/>
      </c>
      <c r="I324" s="4" t="str">
        <f t="shared" si="22"/>
        <v/>
      </c>
      <c r="J324" s="4" t="str">
        <f t="shared" si="23"/>
        <v/>
      </c>
    </row>
    <row r="325" spans="1:10" x14ac:dyDescent="0.25">
      <c r="A325" s="4"/>
      <c r="B325" s="4"/>
      <c r="C325" s="4"/>
      <c r="D325" s="4"/>
      <c r="E325" s="4" t="str">
        <f ca="1">IFERROR(_xludf.XLOOKUP(A325,Milestones!$A$2:$A$501,Milestones!$M$2:$M$501),"")</f>
        <v/>
      </c>
      <c r="F325" s="4" t="str">
        <f t="shared" ca="1" si="20"/>
        <v/>
      </c>
      <c r="G325" s="4" t="str">
        <f t="shared" si="21"/>
        <v/>
      </c>
      <c r="H325" s="4" t="str">
        <f>IF(A325="","",SUMIF(Wyniki!$C$2:$C$501,A325,Wyniki!$O$2:$O$501))</f>
        <v/>
      </c>
      <c r="I325" s="4" t="str">
        <f t="shared" si="22"/>
        <v/>
      </c>
      <c r="J325" s="4" t="str">
        <f t="shared" si="23"/>
        <v/>
      </c>
    </row>
    <row r="326" spans="1:10" x14ac:dyDescent="0.25">
      <c r="A326" s="4"/>
      <c r="B326" s="4"/>
      <c r="C326" s="4"/>
      <c r="D326" s="4"/>
      <c r="E326" s="4" t="str">
        <f ca="1">IFERROR(_xludf.XLOOKUP(A326,Milestones!$A$2:$A$501,Milestones!$M$2:$M$501),"")</f>
        <v/>
      </c>
      <c r="F326" s="4" t="str">
        <f t="shared" ca="1" si="20"/>
        <v/>
      </c>
      <c r="G326" s="4" t="str">
        <f t="shared" si="21"/>
        <v/>
      </c>
      <c r="H326" s="4" t="str">
        <f>IF(A326="","",SUMIF(Wyniki!$C$2:$C$501,A326,Wyniki!$O$2:$O$501))</f>
        <v/>
      </c>
      <c r="I326" s="4" t="str">
        <f t="shared" si="22"/>
        <v/>
      </c>
      <c r="J326" s="4" t="str">
        <f t="shared" si="23"/>
        <v/>
      </c>
    </row>
    <row r="327" spans="1:10" x14ac:dyDescent="0.25">
      <c r="A327" s="4"/>
      <c r="B327" s="4"/>
      <c r="C327" s="4"/>
      <c r="D327" s="4"/>
      <c r="E327" s="4" t="str">
        <f ca="1">IFERROR(_xludf.XLOOKUP(A327,Milestones!$A$2:$A$501,Milestones!$M$2:$M$501),"")</f>
        <v/>
      </c>
      <c r="F327" s="4" t="str">
        <f t="shared" ca="1" si="20"/>
        <v/>
      </c>
      <c r="G327" s="4" t="str">
        <f t="shared" si="21"/>
        <v/>
      </c>
      <c r="H327" s="4" t="str">
        <f>IF(A327="","",SUMIF(Wyniki!$C$2:$C$501,A327,Wyniki!$O$2:$O$501))</f>
        <v/>
      </c>
      <c r="I327" s="4" t="str">
        <f t="shared" si="22"/>
        <v/>
      </c>
      <c r="J327" s="4" t="str">
        <f t="shared" si="23"/>
        <v/>
      </c>
    </row>
    <row r="328" spans="1:10" x14ac:dyDescent="0.25">
      <c r="A328" s="4"/>
      <c r="B328" s="4"/>
      <c r="C328" s="4"/>
      <c r="D328" s="4"/>
      <c r="E328" s="4" t="str">
        <f ca="1">IFERROR(_xludf.XLOOKUP(A328,Milestones!$A$2:$A$501,Milestones!$M$2:$M$501),"")</f>
        <v/>
      </c>
      <c r="F328" s="4" t="str">
        <f t="shared" ca="1" si="20"/>
        <v/>
      </c>
      <c r="G328" s="4" t="str">
        <f t="shared" si="21"/>
        <v/>
      </c>
      <c r="H328" s="4" t="str">
        <f>IF(A328="","",SUMIF(Wyniki!$C$2:$C$501,A328,Wyniki!$O$2:$O$501))</f>
        <v/>
      </c>
      <c r="I328" s="4" t="str">
        <f t="shared" si="22"/>
        <v/>
      </c>
      <c r="J328" s="4" t="str">
        <f t="shared" si="23"/>
        <v/>
      </c>
    </row>
    <row r="329" spans="1:10" x14ac:dyDescent="0.25">
      <c r="A329" s="4"/>
      <c r="B329" s="4"/>
      <c r="C329" s="4"/>
      <c r="D329" s="4"/>
      <c r="E329" s="4" t="str">
        <f ca="1">IFERROR(_xludf.XLOOKUP(A329,Milestones!$A$2:$A$501,Milestones!$M$2:$M$501),"")</f>
        <v/>
      </c>
      <c r="F329" s="4" t="str">
        <f t="shared" ca="1" si="20"/>
        <v/>
      </c>
      <c r="G329" s="4" t="str">
        <f t="shared" si="21"/>
        <v/>
      </c>
      <c r="H329" s="4" t="str">
        <f>IF(A329="","",SUMIF(Wyniki!$C$2:$C$501,A329,Wyniki!$O$2:$O$501))</f>
        <v/>
      </c>
      <c r="I329" s="4" t="str">
        <f t="shared" si="22"/>
        <v/>
      </c>
      <c r="J329" s="4" t="str">
        <f t="shared" si="23"/>
        <v/>
      </c>
    </row>
    <row r="330" spans="1:10" x14ac:dyDescent="0.25">
      <c r="A330" s="4"/>
      <c r="B330" s="4"/>
      <c r="C330" s="4"/>
      <c r="D330" s="4"/>
      <c r="E330" s="4" t="str">
        <f ca="1">IFERROR(_xludf.XLOOKUP(A330,Milestones!$A$2:$A$501,Milestones!$M$2:$M$501),"")</f>
        <v/>
      </c>
      <c r="F330" s="4" t="str">
        <f t="shared" ca="1" si="20"/>
        <v/>
      </c>
      <c r="G330" s="4" t="str">
        <f t="shared" si="21"/>
        <v/>
      </c>
      <c r="H330" s="4" t="str">
        <f>IF(A330="","",SUMIF(Wyniki!$C$2:$C$501,A330,Wyniki!$O$2:$O$501))</f>
        <v/>
      </c>
      <c r="I330" s="4" t="str">
        <f t="shared" si="22"/>
        <v/>
      </c>
      <c r="J330" s="4" t="str">
        <f t="shared" si="23"/>
        <v/>
      </c>
    </row>
    <row r="331" spans="1:10" x14ac:dyDescent="0.25">
      <c r="A331" s="4"/>
      <c r="B331" s="4"/>
      <c r="C331" s="4"/>
      <c r="D331" s="4"/>
      <c r="E331" s="4" t="str">
        <f ca="1">IFERROR(_xludf.XLOOKUP(A331,Milestones!$A$2:$A$501,Milestones!$M$2:$M$501),"")</f>
        <v/>
      </c>
      <c r="F331" s="4" t="str">
        <f t="shared" ca="1" si="20"/>
        <v/>
      </c>
      <c r="G331" s="4" t="str">
        <f t="shared" si="21"/>
        <v/>
      </c>
      <c r="H331" s="4" t="str">
        <f>IF(A331="","",SUMIF(Wyniki!$C$2:$C$501,A331,Wyniki!$O$2:$O$501))</f>
        <v/>
      </c>
      <c r="I331" s="4" t="str">
        <f t="shared" si="22"/>
        <v/>
      </c>
      <c r="J331" s="4" t="str">
        <f t="shared" si="23"/>
        <v/>
      </c>
    </row>
    <row r="332" spans="1:10" x14ac:dyDescent="0.25">
      <c r="A332" s="4"/>
      <c r="B332" s="4"/>
      <c r="C332" s="4"/>
      <c r="D332" s="4"/>
      <c r="E332" s="4" t="str">
        <f ca="1">IFERROR(_xludf.XLOOKUP(A332,Milestones!$A$2:$A$501,Milestones!$M$2:$M$501),"")</f>
        <v/>
      </c>
      <c r="F332" s="4" t="str">
        <f t="shared" ca="1" si="20"/>
        <v/>
      </c>
      <c r="G332" s="4" t="str">
        <f t="shared" si="21"/>
        <v/>
      </c>
      <c r="H332" s="4" t="str">
        <f>IF(A332="","",SUMIF(Wyniki!$C$2:$C$501,A332,Wyniki!$O$2:$O$501))</f>
        <v/>
      </c>
      <c r="I332" s="4" t="str">
        <f t="shared" si="22"/>
        <v/>
      </c>
      <c r="J332" s="4" t="str">
        <f t="shared" si="23"/>
        <v/>
      </c>
    </row>
    <row r="333" spans="1:10" x14ac:dyDescent="0.25">
      <c r="A333" s="4"/>
      <c r="B333" s="4"/>
      <c r="C333" s="4"/>
      <c r="D333" s="4"/>
      <c r="E333" s="4" t="str">
        <f ca="1">IFERROR(_xludf.XLOOKUP(A333,Milestones!$A$2:$A$501,Milestones!$M$2:$M$501),"")</f>
        <v/>
      </c>
      <c r="F333" s="4" t="str">
        <f t="shared" ca="1" si="20"/>
        <v/>
      </c>
      <c r="G333" s="4" t="str">
        <f t="shared" si="21"/>
        <v/>
      </c>
      <c r="H333" s="4" t="str">
        <f>IF(A333="","",SUMIF(Wyniki!$C$2:$C$501,A333,Wyniki!$O$2:$O$501))</f>
        <v/>
      </c>
      <c r="I333" s="4" t="str">
        <f t="shared" si="22"/>
        <v/>
      </c>
      <c r="J333" s="4" t="str">
        <f t="shared" si="23"/>
        <v/>
      </c>
    </row>
    <row r="334" spans="1:10" x14ac:dyDescent="0.25">
      <c r="A334" s="4"/>
      <c r="B334" s="4"/>
      <c r="C334" s="4"/>
      <c r="D334" s="4"/>
      <c r="E334" s="4" t="str">
        <f ca="1">IFERROR(_xludf.XLOOKUP(A334,Milestones!$A$2:$A$501,Milestones!$M$2:$M$501),"")</f>
        <v/>
      </c>
      <c r="F334" s="4" t="str">
        <f t="shared" ca="1" si="20"/>
        <v/>
      </c>
      <c r="G334" s="4" t="str">
        <f t="shared" si="21"/>
        <v/>
      </c>
      <c r="H334" s="4" t="str">
        <f>IF(A334="","",SUMIF(Wyniki!$C$2:$C$501,A334,Wyniki!$O$2:$O$501))</f>
        <v/>
      </c>
      <c r="I334" s="4" t="str">
        <f t="shared" si="22"/>
        <v/>
      </c>
      <c r="J334" s="4" t="str">
        <f t="shared" si="23"/>
        <v/>
      </c>
    </row>
    <row r="335" spans="1:10" x14ac:dyDescent="0.25">
      <c r="A335" s="4"/>
      <c r="B335" s="4"/>
      <c r="C335" s="4"/>
      <c r="D335" s="4"/>
      <c r="E335" s="4" t="str">
        <f ca="1">IFERROR(_xludf.XLOOKUP(A335,Milestones!$A$2:$A$501,Milestones!$M$2:$M$501),"")</f>
        <v/>
      </c>
      <c r="F335" s="4" t="str">
        <f t="shared" ca="1" si="20"/>
        <v/>
      </c>
      <c r="G335" s="4" t="str">
        <f t="shared" si="21"/>
        <v/>
      </c>
      <c r="H335" s="4" t="str">
        <f>IF(A335="","",SUMIF(Wyniki!$C$2:$C$501,A335,Wyniki!$O$2:$O$501))</f>
        <v/>
      </c>
      <c r="I335" s="4" t="str">
        <f t="shared" si="22"/>
        <v/>
      </c>
      <c r="J335" s="4" t="str">
        <f t="shared" si="23"/>
        <v/>
      </c>
    </row>
    <row r="336" spans="1:10" x14ac:dyDescent="0.25">
      <c r="A336" s="4"/>
      <c r="B336" s="4"/>
      <c r="C336" s="4"/>
      <c r="D336" s="4"/>
      <c r="E336" s="4" t="str">
        <f ca="1">IFERROR(_xludf.XLOOKUP(A336,Milestones!$A$2:$A$501,Milestones!$M$2:$M$501),"")</f>
        <v/>
      </c>
      <c r="F336" s="4" t="str">
        <f t="shared" ca="1" si="20"/>
        <v/>
      </c>
      <c r="G336" s="4" t="str">
        <f t="shared" si="21"/>
        <v/>
      </c>
      <c r="H336" s="4" t="str">
        <f>IF(A336="","",SUMIF(Wyniki!$C$2:$C$501,A336,Wyniki!$O$2:$O$501))</f>
        <v/>
      </c>
      <c r="I336" s="4" t="str">
        <f t="shared" si="22"/>
        <v/>
      </c>
      <c r="J336" s="4" t="str">
        <f t="shared" si="23"/>
        <v/>
      </c>
    </row>
    <row r="337" spans="1:10" x14ac:dyDescent="0.25">
      <c r="A337" s="4"/>
      <c r="B337" s="4"/>
      <c r="C337" s="4"/>
      <c r="D337" s="4"/>
      <c r="E337" s="4" t="str">
        <f ca="1">IFERROR(_xludf.XLOOKUP(A337,Milestones!$A$2:$A$501,Milestones!$M$2:$M$501),"")</f>
        <v/>
      </c>
      <c r="F337" s="4" t="str">
        <f t="shared" ca="1" si="20"/>
        <v/>
      </c>
      <c r="G337" s="4" t="str">
        <f t="shared" si="21"/>
        <v/>
      </c>
      <c r="H337" s="4" t="str">
        <f>IF(A337="","",SUMIF(Wyniki!$C$2:$C$501,A337,Wyniki!$O$2:$O$501))</f>
        <v/>
      </c>
      <c r="I337" s="4" t="str">
        <f t="shared" si="22"/>
        <v/>
      </c>
      <c r="J337" s="4" t="str">
        <f t="shared" si="23"/>
        <v/>
      </c>
    </row>
    <row r="338" spans="1:10" x14ac:dyDescent="0.25">
      <c r="A338" s="4"/>
      <c r="B338" s="4"/>
      <c r="C338" s="4"/>
      <c r="D338" s="4"/>
      <c r="E338" s="4" t="str">
        <f ca="1">IFERROR(_xludf.XLOOKUP(A338,Milestones!$A$2:$A$501,Milestones!$M$2:$M$501),"")</f>
        <v/>
      </c>
      <c r="F338" s="4" t="str">
        <f t="shared" ca="1" si="20"/>
        <v/>
      </c>
      <c r="G338" s="4" t="str">
        <f t="shared" si="21"/>
        <v/>
      </c>
      <c r="H338" s="4" t="str">
        <f>IF(A338="","",SUMIF(Wyniki!$C$2:$C$501,A338,Wyniki!$O$2:$O$501))</f>
        <v/>
      </c>
      <c r="I338" s="4" t="str">
        <f t="shared" si="22"/>
        <v/>
      </c>
      <c r="J338" s="4" t="str">
        <f t="shared" si="23"/>
        <v/>
      </c>
    </row>
    <row r="339" spans="1:10" x14ac:dyDescent="0.25">
      <c r="A339" s="4"/>
      <c r="B339" s="4"/>
      <c r="C339" s="4"/>
      <c r="D339" s="4"/>
      <c r="E339" s="4" t="str">
        <f ca="1">IFERROR(_xludf.XLOOKUP(A339,Milestones!$A$2:$A$501,Milestones!$M$2:$M$501),"")</f>
        <v/>
      </c>
      <c r="F339" s="4" t="str">
        <f t="shared" ca="1" si="20"/>
        <v/>
      </c>
      <c r="G339" s="4" t="str">
        <f t="shared" si="21"/>
        <v/>
      </c>
      <c r="H339" s="4" t="str">
        <f>IF(A339="","",SUMIF(Wyniki!$C$2:$C$501,A339,Wyniki!$O$2:$O$501))</f>
        <v/>
      </c>
      <c r="I339" s="4" t="str">
        <f t="shared" si="22"/>
        <v/>
      </c>
      <c r="J339" s="4" t="str">
        <f t="shared" si="23"/>
        <v/>
      </c>
    </row>
    <row r="340" spans="1:10" x14ac:dyDescent="0.25">
      <c r="A340" s="4"/>
      <c r="B340" s="4"/>
      <c r="C340" s="4"/>
      <c r="D340" s="4"/>
      <c r="E340" s="4" t="str">
        <f ca="1">IFERROR(_xludf.XLOOKUP(A340,Milestones!$A$2:$A$501,Milestones!$M$2:$M$501),"")</f>
        <v/>
      </c>
      <c r="F340" s="4" t="str">
        <f t="shared" ca="1" si="20"/>
        <v/>
      </c>
      <c r="G340" s="4" t="str">
        <f t="shared" si="21"/>
        <v/>
      </c>
      <c r="H340" s="4" t="str">
        <f>IF(A340="","",SUMIF(Wyniki!$C$2:$C$501,A340,Wyniki!$O$2:$O$501))</f>
        <v/>
      </c>
      <c r="I340" s="4" t="str">
        <f t="shared" si="22"/>
        <v/>
      </c>
      <c r="J340" s="4" t="str">
        <f t="shared" si="23"/>
        <v/>
      </c>
    </row>
    <row r="341" spans="1:10" x14ac:dyDescent="0.25">
      <c r="A341" s="4"/>
      <c r="B341" s="4"/>
      <c r="C341" s="4"/>
      <c r="D341" s="4"/>
      <c r="E341" s="4" t="str">
        <f ca="1">IFERROR(_xludf.XLOOKUP(A341,Milestones!$A$2:$A$501,Milestones!$M$2:$M$501),"")</f>
        <v/>
      </c>
      <c r="F341" s="4" t="str">
        <f t="shared" ca="1" si="20"/>
        <v/>
      </c>
      <c r="G341" s="4" t="str">
        <f t="shared" si="21"/>
        <v/>
      </c>
      <c r="H341" s="4" t="str">
        <f>IF(A341="","",SUMIF(Wyniki!$C$2:$C$501,A341,Wyniki!$O$2:$O$501))</f>
        <v/>
      </c>
      <c r="I341" s="4" t="str">
        <f t="shared" si="22"/>
        <v/>
      </c>
      <c r="J341" s="4" t="str">
        <f t="shared" si="23"/>
        <v/>
      </c>
    </row>
    <row r="342" spans="1:10" x14ac:dyDescent="0.25">
      <c r="A342" s="4"/>
      <c r="B342" s="4"/>
      <c r="C342" s="4"/>
      <c r="D342" s="4"/>
      <c r="E342" s="4" t="str">
        <f ca="1">IFERROR(_xludf.XLOOKUP(A342,Milestones!$A$2:$A$501,Milestones!$M$2:$M$501),"")</f>
        <v/>
      </c>
      <c r="F342" s="4" t="str">
        <f t="shared" ca="1" si="20"/>
        <v/>
      </c>
      <c r="G342" s="4" t="str">
        <f t="shared" si="21"/>
        <v/>
      </c>
      <c r="H342" s="4" t="str">
        <f>IF(A342="","",SUMIF(Wyniki!$C$2:$C$501,A342,Wyniki!$O$2:$O$501))</f>
        <v/>
      </c>
      <c r="I342" s="4" t="str">
        <f t="shared" si="22"/>
        <v/>
      </c>
      <c r="J342" s="4" t="str">
        <f t="shared" si="23"/>
        <v/>
      </c>
    </row>
    <row r="343" spans="1:10" x14ac:dyDescent="0.25">
      <c r="A343" s="4"/>
      <c r="B343" s="4"/>
      <c r="C343" s="4"/>
      <c r="D343" s="4"/>
      <c r="E343" s="4" t="str">
        <f ca="1">IFERROR(_xludf.XLOOKUP(A343,Milestones!$A$2:$A$501,Milestones!$M$2:$M$501),"")</f>
        <v/>
      </c>
      <c r="F343" s="4" t="str">
        <f t="shared" ca="1" si="20"/>
        <v/>
      </c>
      <c r="G343" s="4" t="str">
        <f t="shared" si="21"/>
        <v/>
      </c>
      <c r="H343" s="4" t="str">
        <f>IF(A343="","",SUMIF(Wyniki!$C$2:$C$501,A343,Wyniki!$O$2:$O$501))</f>
        <v/>
      </c>
      <c r="I343" s="4" t="str">
        <f t="shared" si="22"/>
        <v/>
      </c>
      <c r="J343" s="4" t="str">
        <f t="shared" si="23"/>
        <v/>
      </c>
    </row>
    <row r="344" spans="1:10" x14ac:dyDescent="0.25">
      <c r="A344" s="4"/>
      <c r="B344" s="4"/>
      <c r="C344" s="4"/>
      <c r="D344" s="4"/>
      <c r="E344" s="4" t="str">
        <f ca="1">IFERROR(_xludf.XLOOKUP(A344,Milestones!$A$2:$A$501,Milestones!$M$2:$M$501),"")</f>
        <v/>
      </c>
      <c r="F344" s="4" t="str">
        <f t="shared" ca="1" si="20"/>
        <v/>
      </c>
      <c r="G344" s="4" t="str">
        <f t="shared" si="21"/>
        <v/>
      </c>
      <c r="H344" s="4" t="str">
        <f>IF(A344="","",SUMIF(Wyniki!$C$2:$C$501,A344,Wyniki!$O$2:$O$501))</f>
        <v/>
      </c>
      <c r="I344" s="4" t="str">
        <f t="shared" si="22"/>
        <v/>
      </c>
      <c r="J344" s="4" t="str">
        <f t="shared" si="23"/>
        <v/>
      </c>
    </row>
    <row r="345" spans="1:10" x14ac:dyDescent="0.25">
      <c r="A345" s="4"/>
      <c r="B345" s="4"/>
      <c r="C345" s="4"/>
      <c r="D345" s="4"/>
      <c r="E345" s="4" t="str">
        <f ca="1">IFERROR(_xludf.XLOOKUP(A345,Milestones!$A$2:$A$501,Milestones!$M$2:$M$501),"")</f>
        <v/>
      </c>
      <c r="F345" s="4" t="str">
        <f t="shared" ca="1" si="20"/>
        <v/>
      </c>
      <c r="G345" s="4" t="str">
        <f t="shared" si="21"/>
        <v/>
      </c>
      <c r="H345" s="4" t="str">
        <f>IF(A345="","",SUMIF(Wyniki!$C$2:$C$501,A345,Wyniki!$O$2:$O$501))</f>
        <v/>
      </c>
      <c r="I345" s="4" t="str">
        <f t="shared" si="22"/>
        <v/>
      </c>
      <c r="J345" s="4" t="str">
        <f t="shared" si="23"/>
        <v/>
      </c>
    </row>
    <row r="346" spans="1:10" x14ac:dyDescent="0.25">
      <c r="A346" s="4"/>
      <c r="B346" s="4"/>
      <c r="C346" s="4"/>
      <c r="D346" s="4"/>
      <c r="E346" s="4" t="str">
        <f ca="1">IFERROR(_xludf.XLOOKUP(A346,Milestones!$A$2:$A$501,Milestones!$M$2:$M$501),"")</f>
        <v/>
      </c>
      <c r="F346" s="4" t="str">
        <f t="shared" ca="1" si="20"/>
        <v/>
      </c>
      <c r="G346" s="4" t="str">
        <f t="shared" si="21"/>
        <v/>
      </c>
      <c r="H346" s="4" t="str">
        <f>IF(A346="","",SUMIF(Wyniki!$C$2:$C$501,A346,Wyniki!$O$2:$O$501))</f>
        <v/>
      </c>
      <c r="I346" s="4" t="str">
        <f t="shared" si="22"/>
        <v/>
      </c>
      <c r="J346" s="4" t="str">
        <f t="shared" si="23"/>
        <v/>
      </c>
    </row>
    <row r="347" spans="1:10" x14ac:dyDescent="0.25">
      <c r="A347" s="4"/>
      <c r="B347" s="4"/>
      <c r="C347" s="4"/>
      <c r="D347" s="4"/>
      <c r="E347" s="4" t="str">
        <f ca="1">IFERROR(_xludf.XLOOKUP(A347,Milestones!$A$2:$A$501,Milestones!$M$2:$M$501),"")</f>
        <v/>
      </c>
      <c r="F347" s="4" t="str">
        <f t="shared" ca="1" si="20"/>
        <v/>
      </c>
      <c r="G347" s="4" t="str">
        <f t="shared" si="21"/>
        <v/>
      </c>
      <c r="H347" s="4" t="str">
        <f>IF(A347="","",SUMIF(Wyniki!$C$2:$C$501,A347,Wyniki!$O$2:$O$501))</f>
        <v/>
      </c>
      <c r="I347" s="4" t="str">
        <f t="shared" si="22"/>
        <v/>
      </c>
      <c r="J347" s="4" t="str">
        <f t="shared" si="23"/>
        <v/>
      </c>
    </row>
    <row r="348" spans="1:10" x14ac:dyDescent="0.25">
      <c r="A348" s="4"/>
      <c r="B348" s="4"/>
      <c r="C348" s="4"/>
      <c r="D348" s="4"/>
      <c r="E348" s="4" t="str">
        <f ca="1">IFERROR(_xludf.XLOOKUP(A348,Milestones!$A$2:$A$501,Milestones!$M$2:$M$501),"")</f>
        <v/>
      </c>
      <c r="F348" s="4" t="str">
        <f t="shared" ca="1" si="20"/>
        <v/>
      </c>
      <c r="G348" s="4" t="str">
        <f t="shared" si="21"/>
        <v/>
      </c>
      <c r="H348" s="4" t="str">
        <f>IF(A348="","",SUMIF(Wyniki!$C$2:$C$501,A348,Wyniki!$O$2:$O$501))</f>
        <v/>
      </c>
      <c r="I348" s="4" t="str">
        <f t="shared" si="22"/>
        <v/>
      </c>
      <c r="J348" s="4" t="str">
        <f t="shared" si="23"/>
        <v/>
      </c>
    </row>
    <row r="349" spans="1:10" x14ac:dyDescent="0.25">
      <c r="A349" s="4"/>
      <c r="B349" s="4"/>
      <c r="C349" s="4"/>
      <c r="D349" s="4"/>
      <c r="E349" s="4" t="str">
        <f ca="1">IFERROR(_xludf.XLOOKUP(A349,Milestones!$A$2:$A$501,Milestones!$M$2:$M$501),"")</f>
        <v/>
      </c>
      <c r="F349" s="4" t="str">
        <f t="shared" ca="1" si="20"/>
        <v/>
      </c>
      <c r="G349" s="4" t="str">
        <f t="shared" si="21"/>
        <v/>
      </c>
      <c r="H349" s="4" t="str">
        <f>IF(A349="","",SUMIF(Wyniki!$C$2:$C$501,A349,Wyniki!$O$2:$O$501))</f>
        <v/>
      </c>
      <c r="I349" s="4" t="str">
        <f t="shared" si="22"/>
        <v/>
      </c>
      <c r="J349" s="4" t="str">
        <f t="shared" si="23"/>
        <v/>
      </c>
    </row>
    <row r="350" spans="1:10" x14ac:dyDescent="0.25">
      <c r="A350" s="4"/>
      <c r="B350" s="4"/>
      <c r="C350" s="4"/>
      <c r="D350" s="4"/>
      <c r="E350" s="4" t="str">
        <f ca="1">IFERROR(_xludf.XLOOKUP(A350,Milestones!$A$2:$A$501,Milestones!$M$2:$M$501),"")</f>
        <v/>
      </c>
      <c r="F350" s="4" t="str">
        <f t="shared" ca="1" si="20"/>
        <v/>
      </c>
      <c r="G350" s="4" t="str">
        <f t="shared" si="21"/>
        <v/>
      </c>
      <c r="H350" s="4" t="str">
        <f>IF(A350="","",SUMIF(Wyniki!$C$2:$C$501,A350,Wyniki!$O$2:$O$501))</f>
        <v/>
      </c>
      <c r="I350" s="4" t="str">
        <f t="shared" si="22"/>
        <v/>
      </c>
      <c r="J350" s="4" t="str">
        <f t="shared" si="23"/>
        <v/>
      </c>
    </row>
    <row r="351" spans="1:10" x14ac:dyDescent="0.25">
      <c r="A351" s="4"/>
      <c r="B351" s="4"/>
      <c r="C351" s="4"/>
      <c r="D351" s="4"/>
      <c r="E351" s="4" t="str">
        <f ca="1">IFERROR(_xludf.XLOOKUP(A351,Milestones!$A$2:$A$501,Milestones!$M$2:$M$501),"")</f>
        <v/>
      </c>
      <c r="F351" s="4" t="str">
        <f t="shared" ca="1" si="20"/>
        <v/>
      </c>
      <c r="G351" s="4" t="str">
        <f t="shared" si="21"/>
        <v/>
      </c>
      <c r="H351" s="4" t="str">
        <f>IF(A351="","",SUMIF(Wyniki!$C$2:$C$501,A351,Wyniki!$O$2:$O$501))</f>
        <v/>
      </c>
      <c r="I351" s="4" t="str">
        <f t="shared" si="22"/>
        <v/>
      </c>
      <c r="J351" s="4" t="str">
        <f t="shared" si="23"/>
        <v/>
      </c>
    </row>
    <row r="352" spans="1:10" x14ac:dyDescent="0.25">
      <c r="A352" s="4"/>
      <c r="B352" s="4"/>
      <c r="C352" s="4"/>
      <c r="D352" s="4"/>
      <c r="E352" s="4" t="str">
        <f ca="1">IFERROR(_xludf.XLOOKUP(A352,Milestones!$A$2:$A$501,Milestones!$M$2:$M$501),"")</f>
        <v/>
      </c>
      <c r="F352" s="4" t="str">
        <f t="shared" ca="1" si="20"/>
        <v/>
      </c>
      <c r="G352" s="4" t="str">
        <f t="shared" si="21"/>
        <v/>
      </c>
      <c r="H352" s="4" t="str">
        <f>IF(A352="","",SUMIF(Wyniki!$C$2:$C$501,A352,Wyniki!$O$2:$O$501))</f>
        <v/>
      </c>
      <c r="I352" s="4" t="str">
        <f t="shared" si="22"/>
        <v/>
      </c>
      <c r="J352" s="4" t="str">
        <f t="shared" si="23"/>
        <v/>
      </c>
    </row>
    <row r="353" spans="1:10" x14ac:dyDescent="0.25">
      <c r="A353" s="4"/>
      <c r="B353" s="4"/>
      <c r="C353" s="4"/>
      <c r="D353" s="4"/>
      <c r="E353" s="4" t="str">
        <f ca="1">IFERROR(_xludf.XLOOKUP(A353,Milestones!$A$2:$A$501,Milestones!$M$2:$M$501),"")</f>
        <v/>
      </c>
      <c r="F353" s="4" t="str">
        <f t="shared" ca="1" si="20"/>
        <v/>
      </c>
      <c r="G353" s="4" t="str">
        <f t="shared" si="21"/>
        <v/>
      </c>
      <c r="H353" s="4" t="str">
        <f>IF(A353="","",SUMIF(Wyniki!$C$2:$C$501,A353,Wyniki!$O$2:$O$501))</f>
        <v/>
      </c>
      <c r="I353" s="4" t="str">
        <f t="shared" si="22"/>
        <v/>
      </c>
      <c r="J353" s="4" t="str">
        <f t="shared" si="23"/>
        <v/>
      </c>
    </row>
    <row r="354" spans="1:10" x14ac:dyDescent="0.25">
      <c r="A354" s="4"/>
      <c r="B354" s="4"/>
      <c r="C354" s="4"/>
      <c r="D354" s="4"/>
      <c r="E354" s="4" t="str">
        <f ca="1">IFERROR(_xludf.XLOOKUP(A354,Milestones!$A$2:$A$501,Milestones!$M$2:$M$501),"")</f>
        <v/>
      </c>
      <c r="F354" s="4" t="str">
        <f t="shared" ca="1" si="20"/>
        <v/>
      </c>
      <c r="G354" s="4" t="str">
        <f t="shared" si="21"/>
        <v/>
      </c>
      <c r="H354" s="4" t="str">
        <f>IF(A354="","",SUMIF(Wyniki!$C$2:$C$501,A354,Wyniki!$O$2:$O$501))</f>
        <v/>
      </c>
      <c r="I354" s="4" t="str">
        <f t="shared" si="22"/>
        <v/>
      </c>
      <c r="J354" s="4" t="str">
        <f t="shared" si="23"/>
        <v/>
      </c>
    </row>
    <row r="355" spans="1:10" x14ac:dyDescent="0.25">
      <c r="A355" s="4"/>
      <c r="B355" s="4"/>
      <c r="C355" s="4"/>
      <c r="D355" s="4"/>
      <c r="E355" s="4" t="str">
        <f ca="1">IFERROR(_xludf.XLOOKUP(A355,Milestones!$A$2:$A$501,Milestones!$M$2:$M$501),"")</f>
        <v/>
      </c>
      <c r="F355" s="4" t="str">
        <f t="shared" ca="1" si="20"/>
        <v/>
      </c>
      <c r="G355" s="4" t="str">
        <f t="shared" si="21"/>
        <v/>
      </c>
      <c r="H355" s="4" t="str">
        <f>IF(A355="","",SUMIF(Wyniki!$C$2:$C$501,A355,Wyniki!$O$2:$O$501))</f>
        <v/>
      </c>
      <c r="I355" s="4" t="str">
        <f t="shared" si="22"/>
        <v/>
      </c>
      <c r="J355" s="4" t="str">
        <f t="shared" si="23"/>
        <v/>
      </c>
    </row>
    <row r="356" spans="1:10" x14ac:dyDescent="0.25">
      <c r="A356" s="4"/>
      <c r="B356" s="4"/>
      <c r="C356" s="4"/>
      <c r="D356" s="4"/>
      <c r="E356" s="4" t="str">
        <f ca="1">IFERROR(_xludf.XLOOKUP(A356,Milestones!$A$2:$A$501,Milestones!$M$2:$M$501),"")</f>
        <v/>
      </c>
      <c r="F356" s="4" t="str">
        <f t="shared" ca="1" si="20"/>
        <v/>
      </c>
      <c r="G356" s="4" t="str">
        <f t="shared" si="21"/>
        <v/>
      </c>
      <c r="H356" s="4" t="str">
        <f>IF(A356="","",SUMIF(Wyniki!$C$2:$C$501,A356,Wyniki!$O$2:$O$501))</f>
        <v/>
      </c>
      <c r="I356" s="4" t="str">
        <f t="shared" si="22"/>
        <v/>
      </c>
      <c r="J356" s="4" t="str">
        <f t="shared" si="23"/>
        <v/>
      </c>
    </row>
    <row r="357" spans="1:10" x14ac:dyDescent="0.25">
      <c r="A357" s="4"/>
      <c r="B357" s="4"/>
      <c r="C357" s="4"/>
      <c r="D357" s="4"/>
      <c r="E357" s="4" t="str">
        <f ca="1">IFERROR(_xludf.XLOOKUP(A357,Milestones!$A$2:$A$501,Milestones!$M$2:$M$501),"")</f>
        <v/>
      </c>
      <c r="F357" s="4" t="str">
        <f t="shared" ca="1" si="20"/>
        <v/>
      </c>
      <c r="G357" s="4" t="str">
        <f t="shared" si="21"/>
        <v/>
      </c>
      <c r="H357" s="4" t="str">
        <f>IF(A357="","",SUMIF(Wyniki!$C$2:$C$501,A357,Wyniki!$O$2:$O$501))</f>
        <v/>
      </c>
      <c r="I357" s="4" t="str">
        <f t="shared" si="22"/>
        <v/>
      </c>
      <c r="J357" s="4" t="str">
        <f t="shared" si="23"/>
        <v/>
      </c>
    </row>
    <row r="358" spans="1:10" x14ac:dyDescent="0.25">
      <c r="A358" s="4"/>
      <c r="B358" s="4"/>
      <c r="C358" s="4"/>
      <c r="D358" s="4"/>
      <c r="E358" s="4" t="str">
        <f ca="1">IFERROR(_xludf.XLOOKUP(A358,Milestones!$A$2:$A$501,Milestones!$M$2:$M$501),"")</f>
        <v/>
      </c>
      <c r="F358" s="4" t="str">
        <f t="shared" ca="1" si="20"/>
        <v/>
      </c>
      <c r="G358" s="4" t="str">
        <f t="shared" si="21"/>
        <v/>
      </c>
      <c r="H358" s="4" t="str">
        <f>IF(A358="","",SUMIF(Wyniki!$C$2:$C$501,A358,Wyniki!$O$2:$O$501))</f>
        <v/>
      </c>
      <c r="I358" s="4" t="str">
        <f t="shared" si="22"/>
        <v/>
      </c>
      <c r="J358" s="4" t="str">
        <f t="shared" si="23"/>
        <v/>
      </c>
    </row>
    <row r="359" spans="1:10" x14ac:dyDescent="0.25">
      <c r="A359" s="4"/>
      <c r="B359" s="4"/>
      <c r="C359" s="4"/>
      <c r="D359" s="4"/>
      <c r="E359" s="4" t="str">
        <f ca="1">IFERROR(_xludf.XLOOKUP(A359,Milestones!$A$2:$A$501,Milestones!$M$2:$M$501),"")</f>
        <v/>
      </c>
      <c r="F359" s="4" t="str">
        <f t="shared" ca="1" si="20"/>
        <v/>
      </c>
      <c r="G359" s="4" t="str">
        <f t="shared" si="21"/>
        <v/>
      </c>
      <c r="H359" s="4" t="str">
        <f>IF(A359="","",SUMIF(Wyniki!$C$2:$C$501,A359,Wyniki!$O$2:$O$501))</f>
        <v/>
      </c>
      <c r="I359" s="4" t="str">
        <f t="shared" si="22"/>
        <v/>
      </c>
      <c r="J359" s="4" t="str">
        <f t="shared" si="23"/>
        <v/>
      </c>
    </row>
    <row r="360" spans="1:10" x14ac:dyDescent="0.25">
      <c r="A360" s="4"/>
      <c r="B360" s="4"/>
      <c r="C360" s="4"/>
      <c r="D360" s="4"/>
      <c r="E360" s="4" t="str">
        <f ca="1">IFERROR(_xludf.XLOOKUP(A360,Milestones!$A$2:$A$501,Milestones!$M$2:$M$501),"")</f>
        <v/>
      </c>
      <c r="F360" s="4" t="str">
        <f t="shared" ca="1" si="20"/>
        <v/>
      </c>
      <c r="G360" s="4" t="str">
        <f t="shared" si="21"/>
        <v/>
      </c>
      <c r="H360" s="4" t="str">
        <f>IF(A360="","",SUMIF(Wyniki!$C$2:$C$501,A360,Wyniki!$O$2:$O$501))</f>
        <v/>
      </c>
      <c r="I360" s="4" t="str">
        <f t="shared" si="22"/>
        <v/>
      </c>
      <c r="J360" s="4" t="str">
        <f t="shared" si="23"/>
        <v/>
      </c>
    </row>
    <row r="361" spans="1:10" x14ac:dyDescent="0.25">
      <c r="A361" s="4"/>
      <c r="B361" s="4"/>
      <c r="C361" s="4"/>
      <c r="D361" s="4"/>
      <c r="E361" s="4" t="str">
        <f ca="1">IFERROR(_xludf.XLOOKUP(A361,Milestones!$A$2:$A$501,Milestones!$M$2:$M$501),"")</f>
        <v/>
      </c>
      <c r="F361" s="4" t="str">
        <f t="shared" ca="1" si="20"/>
        <v/>
      </c>
      <c r="G361" s="4" t="str">
        <f t="shared" si="21"/>
        <v/>
      </c>
      <c r="H361" s="4" t="str">
        <f>IF(A361="","",SUMIF(Wyniki!$C$2:$C$501,A361,Wyniki!$O$2:$O$501))</f>
        <v/>
      </c>
      <c r="I361" s="4" t="str">
        <f t="shared" si="22"/>
        <v/>
      </c>
      <c r="J361" s="4" t="str">
        <f t="shared" si="23"/>
        <v/>
      </c>
    </row>
    <row r="362" spans="1:10" x14ac:dyDescent="0.25">
      <c r="A362" s="4"/>
      <c r="B362" s="4"/>
      <c r="C362" s="4"/>
      <c r="D362" s="4"/>
      <c r="E362" s="4" t="str">
        <f ca="1">IFERROR(_xludf.XLOOKUP(A362,Milestones!$A$2:$A$501,Milestones!$M$2:$M$501),"")</f>
        <v/>
      </c>
      <c r="F362" s="4" t="str">
        <f t="shared" ca="1" si="20"/>
        <v/>
      </c>
      <c r="G362" s="4" t="str">
        <f t="shared" si="21"/>
        <v/>
      </c>
      <c r="H362" s="4" t="str">
        <f>IF(A362="","",SUMIF(Wyniki!$C$2:$C$501,A362,Wyniki!$O$2:$O$501))</f>
        <v/>
      </c>
      <c r="I362" s="4" t="str">
        <f t="shared" si="22"/>
        <v/>
      </c>
      <c r="J362" s="4" t="str">
        <f t="shared" si="23"/>
        <v/>
      </c>
    </row>
    <row r="363" spans="1:10" x14ac:dyDescent="0.25">
      <c r="A363" s="4"/>
      <c r="B363" s="4"/>
      <c r="C363" s="4"/>
      <c r="D363" s="4"/>
      <c r="E363" s="4" t="str">
        <f ca="1">IFERROR(_xludf.XLOOKUP(A363,Milestones!$A$2:$A$501,Milestones!$M$2:$M$501),"")</f>
        <v/>
      </c>
      <c r="F363" s="4" t="str">
        <f t="shared" ca="1" si="20"/>
        <v/>
      </c>
      <c r="G363" s="4" t="str">
        <f t="shared" si="21"/>
        <v/>
      </c>
      <c r="H363" s="4" t="str">
        <f>IF(A363="","",SUMIF(Wyniki!$C$2:$C$501,A363,Wyniki!$O$2:$O$501))</f>
        <v/>
      </c>
      <c r="I363" s="4" t="str">
        <f t="shared" si="22"/>
        <v/>
      </c>
      <c r="J363" s="4" t="str">
        <f t="shared" si="23"/>
        <v/>
      </c>
    </row>
    <row r="364" spans="1:10" x14ac:dyDescent="0.25">
      <c r="A364" s="4"/>
      <c r="B364" s="4"/>
      <c r="C364" s="4"/>
      <c r="D364" s="4"/>
      <c r="E364" s="4" t="str">
        <f ca="1">IFERROR(_xludf.XLOOKUP(A364,Milestones!$A$2:$A$501,Milestones!$M$2:$M$501),"")</f>
        <v/>
      </c>
      <c r="F364" s="4" t="str">
        <f t="shared" ca="1" si="20"/>
        <v/>
      </c>
      <c r="G364" s="4" t="str">
        <f t="shared" si="21"/>
        <v/>
      </c>
      <c r="H364" s="4" t="str">
        <f>IF(A364="","",SUMIF(Wyniki!$C$2:$C$501,A364,Wyniki!$O$2:$O$501))</f>
        <v/>
      </c>
      <c r="I364" s="4" t="str">
        <f t="shared" si="22"/>
        <v/>
      </c>
      <c r="J364" s="4" t="str">
        <f t="shared" si="23"/>
        <v/>
      </c>
    </row>
    <row r="365" spans="1:10" x14ac:dyDescent="0.25">
      <c r="A365" s="4"/>
      <c r="B365" s="4"/>
      <c r="C365" s="4"/>
      <c r="D365" s="4"/>
      <c r="E365" s="4" t="str">
        <f ca="1">IFERROR(_xludf.XLOOKUP(A365,Milestones!$A$2:$A$501,Milestones!$M$2:$M$501),"")</f>
        <v/>
      </c>
      <c r="F365" s="4" t="str">
        <f t="shared" ca="1" si="20"/>
        <v/>
      </c>
      <c r="G365" s="4" t="str">
        <f t="shared" si="21"/>
        <v/>
      </c>
      <c r="H365" s="4" t="str">
        <f>IF(A365="","",SUMIF(Wyniki!$C$2:$C$501,A365,Wyniki!$O$2:$O$501))</f>
        <v/>
      </c>
      <c r="I365" s="4" t="str">
        <f t="shared" si="22"/>
        <v/>
      </c>
      <c r="J365" s="4" t="str">
        <f t="shared" si="23"/>
        <v/>
      </c>
    </row>
    <row r="366" spans="1:10" x14ac:dyDescent="0.25">
      <c r="A366" s="4"/>
      <c r="B366" s="4"/>
      <c r="C366" s="4"/>
      <c r="D366" s="4"/>
      <c r="E366" s="4" t="str">
        <f ca="1">IFERROR(_xludf.XLOOKUP(A366,Milestones!$A$2:$A$501,Milestones!$M$2:$M$501),"")</f>
        <v/>
      </c>
      <c r="F366" s="4" t="str">
        <f t="shared" ca="1" si="20"/>
        <v/>
      </c>
      <c r="G366" s="4" t="str">
        <f t="shared" si="21"/>
        <v/>
      </c>
      <c r="H366" s="4" t="str">
        <f>IF(A366="","",SUMIF(Wyniki!$C$2:$C$501,A366,Wyniki!$O$2:$O$501))</f>
        <v/>
      </c>
      <c r="I366" s="4" t="str">
        <f t="shared" si="22"/>
        <v/>
      </c>
      <c r="J366" s="4" t="str">
        <f t="shared" si="23"/>
        <v/>
      </c>
    </row>
    <row r="367" spans="1:10" x14ac:dyDescent="0.25">
      <c r="A367" s="4"/>
      <c r="B367" s="4"/>
      <c r="C367" s="4"/>
      <c r="D367" s="4"/>
      <c r="E367" s="4" t="str">
        <f ca="1">IFERROR(_xludf.XLOOKUP(A367,Milestones!$A$2:$A$501,Milestones!$M$2:$M$501),"")</f>
        <v/>
      </c>
      <c r="F367" s="4" t="str">
        <f t="shared" ca="1" si="20"/>
        <v/>
      </c>
      <c r="G367" s="4" t="str">
        <f t="shared" si="21"/>
        <v/>
      </c>
      <c r="H367" s="4" t="str">
        <f>IF(A367="","",SUMIF(Wyniki!$C$2:$C$501,A367,Wyniki!$O$2:$O$501))</f>
        <v/>
      </c>
      <c r="I367" s="4" t="str">
        <f t="shared" si="22"/>
        <v/>
      </c>
      <c r="J367" s="4" t="str">
        <f t="shared" si="23"/>
        <v/>
      </c>
    </row>
    <row r="368" spans="1:10" x14ac:dyDescent="0.25">
      <c r="A368" s="4"/>
      <c r="B368" s="4"/>
      <c r="C368" s="4"/>
      <c r="D368" s="4"/>
      <c r="E368" s="4" t="str">
        <f ca="1">IFERROR(_xludf.XLOOKUP(A368,Milestones!$A$2:$A$501,Milestones!$M$2:$M$501),"")</f>
        <v/>
      </c>
      <c r="F368" s="4" t="str">
        <f t="shared" ca="1" si="20"/>
        <v/>
      </c>
      <c r="G368" s="4" t="str">
        <f t="shared" si="21"/>
        <v/>
      </c>
      <c r="H368" s="4" t="str">
        <f>IF(A368="","",SUMIF(Wyniki!$C$2:$C$501,A368,Wyniki!$O$2:$O$501))</f>
        <v/>
      </c>
      <c r="I368" s="4" t="str">
        <f t="shared" si="22"/>
        <v/>
      </c>
      <c r="J368" s="4" t="str">
        <f t="shared" si="23"/>
        <v/>
      </c>
    </row>
    <row r="369" spans="1:10" x14ac:dyDescent="0.25">
      <c r="A369" s="4"/>
      <c r="B369" s="4"/>
      <c r="C369" s="4"/>
      <c r="D369" s="4"/>
      <c r="E369" s="4" t="str">
        <f ca="1">IFERROR(_xludf.XLOOKUP(A369,Milestones!$A$2:$A$501,Milestones!$M$2:$M$501),"")</f>
        <v/>
      </c>
      <c r="F369" s="4" t="str">
        <f t="shared" ca="1" si="20"/>
        <v/>
      </c>
      <c r="G369" s="4" t="str">
        <f t="shared" si="21"/>
        <v/>
      </c>
      <c r="H369" s="4" t="str">
        <f>IF(A369="","",SUMIF(Wyniki!$C$2:$C$501,A369,Wyniki!$O$2:$O$501))</f>
        <v/>
      </c>
      <c r="I369" s="4" t="str">
        <f t="shared" si="22"/>
        <v/>
      </c>
      <c r="J369" s="4" t="str">
        <f t="shared" si="23"/>
        <v/>
      </c>
    </row>
    <row r="370" spans="1:10" x14ac:dyDescent="0.25">
      <c r="A370" s="4"/>
      <c r="B370" s="4"/>
      <c r="C370" s="4"/>
      <c r="D370" s="4"/>
      <c r="E370" s="4" t="str">
        <f ca="1">IFERROR(_xludf.XLOOKUP(A370,Milestones!$A$2:$A$501,Milestones!$M$2:$M$501),"")</f>
        <v/>
      </c>
      <c r="F370" s="4" t="str">
        <f t="shared" ca="1" si="20"/>
        <v/>
      </c>
      <c r="G370" s="4" t="str">
        <f t="shared" si="21"/>
        <v/>
      </c>
      <c r="H370" s="4" t="str">
        <f>IF(A370="","",SUMIF(Wyniki!$C$2:$C$501,A370,Wyniki!$O$2:$O$501))</f>
        <v/>
      </c>
      <c r="I370" s="4" t="str">
        <f t="shared" si="22"/>
        <v/>
      </c>
      <c r="J370" s="4" t="str">
        <f t="shared" si="23"/>
        <v/>
      </c>
    </row>
    <row r="371" spans="1:10" x14ac:dyDescent="0.25">
      <c r="A371" s="4"/>
      <c r="B371" s="4"/>
      <c r="C371" s="4"/>
      <c r="D371" s="4"/>
      <c r="E371" s="4" t="str">
        <f ca="1">IFERROR(_xludf.XLOOKUP(A371,Milestones!$A$2:$A$501,Milestones!$M$2:$M$501),"")</f>
        <v/>
      </c>
      <c r="F371" s="4" t="str">
        <f t="shared" ca="1" si="20"/>
        <v/>
      </c>
      <c r="G371" s="4" t="str">
        <f t="shared" si="21"/>
        <v/>
      </c>
      <c r="H371" s="4" t="str">
        <f>IF(A371="","",SUMIF(Wyniki!$C$2:$C$501,A371,Wyniki!$O$2:$O$501))</f>
        <v/>
      </c>
      <c r="I371" s="4" t="str">
        <f t="shared" si="22"/>
        <v/>
      </c>
      <c r="J371" s="4" t="str">
        <f t="shared" si="23"/>
        <v/>
      </c>
    </row>
    <row r="372" spans="1:10" x14ac:dyDescent="0.25">
      <c r="A372" s="4"/>
      <c r="B372" s="4"/>
      <c r="C372" s="4"/>
      <c r="D372" s="4"/>
      <c r="E372" s="4" t="str">
        <f ca="1">IFERROR(_xludf.XLOOKUP(A372,Milestones!$A$2:$A$501,Milestones!$M$2:$M$501),"")</f>
        <v/>
      </c>
      <c r="F372" s="4" t="str">
        <f t="shared" ca="1" si="20"/>
        <v/>
      </c>
      <c r="G372" s="4" t="str">
        <f t="shared" si="21"/>
        <v/>
      </c>
      <c r="H372" s="4" t="str">
        <f>IF(A372="","",SUMIF(Wyniki!$C$2:$C$501,A372,Wyniki!$O$2:$O$501))</f>
        <v/>
      </c>
      <c r="I372" s="4" t="str">
        <f t="shared" si="22"/>
        <v/>
      </c>
      <c r="J372" s="4" t="str">
        <f t="shared" si="23"/>
        <v/>
      </c>
    </row>
    <row r="373" spans="1:10" x14ac:dyDescent="0.25">
      <c r="A373" s="4"/>
      <c r="B373" s="4"/>
      <c r="C373" s="4"/>
      <c r="D373" s="4"/>
      <c r="E373" s="4" t="str">
        <f ca="1">IFERROR(_xludf.XLOOKUP(A373,Milestones!$A$2:$A$501,Milestones!$M$2:$M$501),"")</f>
        <v/>
      </c>
      <c r="F373" s="4" t="str">
        <f t="shared" ca="1" si="20"/>
        <v/>
      </c>
      <c r="G373" s="4" t="str">
        <f t="shared" si="21"/>
        <v/>
      </c>
      <c r="H373" s="4" t="str">
        <f>IF(A373="","",SUMIF(Wyniki!$C$2:$C$501,A373,Wyniki!$O$2:$O$501))</f>
        <v/>
      </c>
      <c r="I373" s="4" t="str">
        <f t="shared" si="22"/>
        <v/>
      </c>
      <c r="J373" s="4" t="str">
        <f t="shared" si="23"/>
        <v/>
      </c>
    </row>
    <row r="374" spans="1:10" x14ac:dyDescent="0.25">
      <c r="A374" s="4"/>
      <c r="B374" s="4"/>
      <c r="C374" s="4"/>
      <c r="D374" s="4"/>
      <c r="E374" s="4" t="str">
        <f ca="1">IFERROR(_xludf.XLOOKUP(A374,Milestones!$A$2:$A$501,Milestones!$M$2:$M$501),"")</f>
        <v/>
      </c>
      <c r="F374" s="4" t="str">
        <f t="shared" ca="1" si="20"/>
        <v/>
      </c>
      <c r="G374" s="4" t="str">
        <f t="shared" si="21"/>
        <v/>
      </c>
      <c r="H374" s="4" t="str">
        <f>IF(A374="","",SUMIF(Wyniki!$C$2:$C$501,A374,Wyniki!$O$2:$O$501))</f>
        <v/>
      </c>
      <c r="I374" s="4" t="str">
        <f t="shared" si="22"/>
        <v/>
      </c>
      <c r="J374" s="4" t="str">
        <f t="shared" si="23"/>
        <v/>
      </c>
    </row>
    <row r="375" spans="1:10" x14ac:dyDescent="0.25">
      <c r="A375" s="4"/>
      <c r="B375" s="4"/>
      <c r="C375" s="4"/>
      <c r="D375" s="4"/>
      <c r="E375" s="4" t="str">
        <f ca="1">IFERROR(_xludf.XLOOKUP(A375,Milestones!$A$2:$A$501,Milestones!$M$2:$M$501),"")</f>
        <v/>
      </c>
      <c r="F375" s="4" t="str">
        <f t="shared" ca="1" si="20"/>
        <v/>
      </c>
      <c r="G375" s="4" t="str">
        <f t="shared" si="21"/>
        <v/>
      </c>
      <c r="H375" s="4" t="str">
        <f>IF(A375="","",SUMIF(Wyniki!$C$2:$C$501,A375,Wyniki!$O$2:$O$501))</f>
        <v/>
      </c>
      <c r="I375" s="4" t="str">
        <f t="shared" si="22"/>
        <v/>
      </c>
      <c r="J375" s="4" t="str">
        <f t="shared" si="23"/>
        <v/>
      </c>
    </row>
    <row r="376" spans="1:10" x14ac:dyDescent="0.25">
      <c r="A376" s="4"/>
      <c r="B376" s="4"/>
      <c r="C376" s="4"/>
      <c r="D376" s="4"/>
      <c r="E376" s="4" t="str">
        <f ca="1">IFERROR(_xludf.XLOOKUP(A376,Milestones!$A$2:$A$501,Milestones!$M$2:$M$501),"")</f>
        <v/>
      </c>
      <c r="F376" s="4" t="str">
        <f t="shared" ca="1" si="20"/>
        <v/>
      </c>
      <c r="G376" s="4" t="str">
        <f t="shared" si="21"/>
        <v/>
      </c>
      <c r="H376" s="4" t="str">
        <f>IF(A376="","",SUMIF(Wyniki!$C$2:$C$501,A376,Wyniki!$O$2:$O$501))</f>
        <v/>
      </c>
      <c r="I376" s="4" t="str">
        <f t="shared" si="22"/>
        <v/>
      </c>
      <c r="J376" s="4" t="str">
        <f t="shared" si="23"/>
        <v/>
      </c>
    </row>
    <row r="377" spans="1:10" x14ac:dyDescent="0.25">
      <c r="A377" s="4"/>
      <c r="B377" s="4"/>
      <c r="C377" s="4"/>
      <c r="D377" s="4"/>
      <c r="E377" s="4" t="str">
        <f ca="1">IFERROR(_xludf.XLOOKUP(A377,Milestones!$A$2:$A$501,Milestones!$M$2:$M$501),"")</f>
        <v/>
      </c>
      <c r="F377" s="4" t="str">
        <f t="shared" ca="1" si="20"/>
        <v/>
      </c>
      <c r="G377" s="4" t="str">
        <f t="shared" si="21"/>
        <v/>
      </c>
      <c r="H377" s="4" t="str">
        <f>IF(A377="","",SUMIF(Wyniki!$C$2:$C$501,A377,Wyniki!$O$2:$O$501))</f>
        <v/>
      </c>
      <c r="I377" s="4" t="str">
        <f t="shared" si="22"/>
        <v/>
      </c>
      <c r="J377" s="4" t="str">
        <f t="shared" si="23"/>
        <v/>
      </c>
    </row>
    <row r="378" spans="1:10" x14ac:dyDescent="0.25">
      <c r="A378" s="4"/>
      <c r="B378" s="4"/>
      <c r="C378" s="4"/>
      <c r="D378" s="4"/>
      <c r="E378" s="4" t="str">
        <f ca="1">IFERROR(_xludf.XLOOKUP(A378,Milestones!$A$2:$A$501,Milestones!$M$2:$M$501),"")</f>
        <v/>
      </c>
      <c r="F378" s="4" t="str">
        <f t="shared" ca="1" si="20"/>
        <v/>
      </c>
      <c r="G378" s="4" t="str">
        <f t="shared" si="21"/>
        <v/>
      </c>
      <c r="H378" s="4" t="str">
        <f>IF(A378="","",SUMIF(Wyniki!$C$2:$C$501,A378,Wyniki!$O$2:$O$501))</f>
        <v/>
      </c>
      <c r="I378" s="4" t="str">
        <f t="shared" si="22"/>
        <v/>
      </c>
      <c r="J378" s="4" t="str">
        <f t="shared" si="23"/>
        <v/>
      </c>
    </row>
    <row r="379" spans="1:10" x14ac:dyDescent="0.25">
      <c r="A379" s="4"/>
      <c r="B379" s="4"/>
      <c r="C379" s="4"/>
      <c r="D379" s="4"/>
      <c r="E379" s="4" t="str">
        <f ca="1">IFERROR(_xludf.XLOOKUP(A379,Milestones!$A$2:$A$501,Milestones!$M$2:$M$501),"")</f>
        <v/>
      </c>
      <c r="F379" s="4" t="str">
        <f t="shared" ca="1" si="20"/>
        <v/>
      </c>
      <c r="G379" s="4" t="str">
        <f t="shared" si="21"/>
        <v/>
      </c>
      <c r="H379" s="4" t="str">
        <f>IF(A379="","",SUMIF(Wyniki!$C$2:$C$501,A379,Wyniki!$O$2:$O$501))</f>
        <v/>
      </c>
      <c r="I379" s="4" t="str">
        <f t="shared" si="22"/>
        <v/>
      </c>
      <c r="J379" s="4" t="str">
        <f t="shared" si="23"/>
        <v/>
      </c>
    </row>
    <row r="380" spans="1:10" x14ac:dyDescent="0.25">
      <c r="A380" s="4"/>
      <c r="B380" s="4"/>
      <c r="C380" s="4"/>
      <c r="D380" s="4"/>
      <c r="E380" s="4" t="str">
        <f ca="1">IFERROR(_xludf.XLOOKUP(A380,Milestones!$A$2:$A$501,Milestones!$M$2:$M$501),"")</f>
        <v/>
      </c>
      <c r="F380" s="4" t="str">
        <f t="shared" ca="1" si="20"/>
        <v/>
      </c>
      <c r="G380" s="4" t="str">
        <f t="shared" si="21"/>
        <v/>
      </c>
      <c r="H380" s="4" t="str">
        <f>IF(A380="","",SUMIF(Wyniki!$C$2:$C$501,A380,Wyniki!$O$2:$O$501))</f>
        <v/>
      </c>
      <c r="I380" s="4" t="str">
        <f t="shared" si="22"/>
        <v/>
      </c>
      <c r="J380" s="4" t="str">
        <f t="shared" si="23"/>
        <v/>
      </c>
    </row>
    <row r="381" spans="1:10" x14ac:dyDescent="0.25">
      <c r="A381" s="4"/>
      <c r="B381" s="4"/>
      <c r="C381" s="4"/>
      <c r="D381" s="4"/>
      <c r="E381" s="4" t="str">
        <f ca="1">IFERROR(_xludf.XLOOKUP(A381,Milestones!$A$2:$A$501,Milestones!$M$2:$M$501),"")</f>
        <v/>
      </c>
      <c r="F381" s="4" t="str">
        <f t="shared" ca="1" si="20"/>
        <v/>
      </c>
      <c r="G381" s="4" t="str">
        <f t="shared" si="21"/>
        <v/>
      </c>
      <c r="H381" s="4" t="str">
        <f>IF(A381="","",SUMIF(Wyniki!$C$2:$C$501,A381,Wyniki!$O$2:$O$501))</f>
        <v/>
      </c>
      <c r="I381" s="4" t="str">
        <f t="shared" si="22"/>
        <v/>
      </c>
      <c r="J381" s="4" t="str">
        <f t="shared" si="23"/>
        <v/>
      </c>
    </row>
    <row r="382" spans="1:10" x14ac:dyDescent="0.25">
      <c r="A382" s="4"/>
      <c r="B382" s="4"/>
      <c r="C382" s="4"/>
      <c r="D382" s="4"/>
      <c r="E382" s="4" t="str">
        <f ca="1">IFERROR(_xludf.XLOOKUP(A382,Milestones!$A$2:$A$501,Milestones!$M$2:$M$501),"")</f>
        <v/>
      </c>
      <c r="F382" s="4" t="str">
        <f t="shared" ca="1" si="20"/>
        <v/>
      </c>
      <c r="G382" s="4" t="str">
        <f t="shared" si="21"/>
        <v/>
      </c>
      <c r="H382" s="4" t="str">
        <f>IF(A382="","",SUMIF(Wyniki!$C$2:$C$501,A382,Wyniki!$O$2:$O$501))</f>
        <v/>
      </c>
      <c r="I382" s="4" t="str">
        <f t="shared" si="22"/>
        <v/>
      </c>
      <c r="J382" s="4" t="str">
        <f t="shared" si="23"/>
        <v/>
      </c>
    </row>
    <row r="383" spans="1:10" x14ac:dyDescent="0.25">
      <c r="A383" s="4"/>
      <c r="B383" s="4"/>
      <c r="C383" s="4"/>
      <c r="D383" s="4"/>
      <c r="E383" s="4" t="str">
        <f ca="1">IFERROR(_xludf.XLOOKUP(A383,Milestones!$A$2:$A$501,Milestones!$M$2:$M$501),"")</f>
        <v/>
      </c>
      <c r="F383" s="4" t="str">
        <f t="shared" ca="1" si="20"/>
        <v/>
      </c>
      <c r="G383" s="4" t="str">
        <f t="shared" si="21"/>
        <v/>
      </c>
      <c r="H383" s="4" t="str">
        <f>IF(A383="","",SUMIF(Wyniki!$C$2:$C$501,A383,Wyniki!$O$2:$O$501))</f>
        <v/>
      </c>
      <c r="I383" s="4" t="str">
        <f t="shared" si="22"/>
        <v/>
      </c>
      <c r="J383" s="4" t="str">
        <f t="shared" si="23"/>
        <v/>
      </c>
    </row>
    <row r="384" spans="1:10" x14ac:dyDescent="0.25">
      <c r="A384" s="4"/>
      <c r="B384" s="4"/>
      <c r="C384" s="4"/>
      <c r="D384" s="4"/>
      <c r="E384" s="4" t="str">
        <f ca="1">IFERROR(_xludf.XLOOKUP(A384,Milestones!$A$2:$A$501,Milestones!$M$2:$M$501),"")</f>
        <v/>
      </c>
      <c r="F384" s="4" t="str">
        <f t="shared" ca="1" si="20"/>
        <v/>
      </c>
      <c r="G384" s="4" t="str">
        <f t="shared" si="21"/>
        <v/>
      </c>
      <c r="H384" s="4" t="str">
        <f>IF(A384="","",SUMIF(Wyniki!$C$2:$C$501,A384,Wyniki!$O$2:$O$501))</f>
        <v/>
      </c>
      <c r="I384" s="4" t="str">
        <f t="shared" si="22"/>
        <v/>
      </c>
      <c r="J384" s="4" t="str">
        <f t="shared" si="23"/>
        <v/>
      </c>
    </row>
    <row r="385" spans="1:10" x14ac:dyDescent="0.25">
      <c r="A385" s="4"/>
      <c r="B385" s="4"/>
      <c r="C385" s="4"/>
      <c r="D385" s="4"/>
      <c r="E385" s="4" t="str">
        <f ca="1">IFERROR(_xludf.XLOOKUP(A385,Milestones!$A$2:$A$501,Milestones!$M$2:$M$501),"")</f>
        <v/>
      </c>
      <c r="F385" s="4" t="str">
        <f t="shared" ca="1" si="20"/>
        <v/>
      </c>
      <c r="G385" s="4" t="str">
        <f t="shared" si="21"/>
        <v/>
      </c>
      <c r="H385" s="4" t="str">
        <f>IF(A385="","",SUMIF(Wyniki!$C$2:$C$501,A385,Wyniki!$O$2:$O$501))</f>
        <v/>
      </c>
      <c r="I385" s="4" t="str">
        <f t="shared" si="22"/>
        <v/>
      </c>
      <c r="J385" s="4" t="str">
        <f t="shared" si="23"/>
        <v/>
      </c>
    </row>
    <row r="386" spans="1:10" x14ac:dyDescent="0.25">
      <c r="A386" s="4"/>
      <c r="B386" s="4"/>
      <c r="C386" s="4"/>
      <c r="D386" s="4"/>
      <c r="E386" s="4" t="str">
        <f ca="1">IFERROR(_xludf.XLOOKUP(A386,Milestones!$A$2:$A$501,Milestones!$M$2:$M$501),"")</f>
        <v/>
      </c>
      <c r="F386" s="4" t="str">
        <f t="shared" ref="F386:F449" ca="1" si="24">IF(E386="","",MIN(E386,1))</f>
        <v/>
      </c>
      <c r="G386" s="4" t="str">
        <f t="shared" ref="G386:G449" si="25">IF(D386="","",ROUNDDOWN(D386*F386,2))</f>
        <v/>
      </c>
      <c r="H386" s="4" t="str">
        <f>IF(A386="","",SUMIF(Wyniki!$C$2:$C$501,A386,Wyniki!$O$2:$O$501))</f>
        <v/>
      </c>
      <c r="I386" s="4" t="str">
        <f t="shared" ref="I386:I449" si="26">IF(G386="","",MAX(0,G386-H386))</f>
        <v/>
      </c>
      <c r="J386" s="4" t="str">
        <f t="shared" ref="J386:J449" si="27">IF(A386="","",IF(H386&lt;=G386,"OK","NIE"))</f>
        <v/>
      </c>
    </row>
    <row r="387" spans="1:10" x14ac:dyDescent="0.25">
      <c r="A387" s="4"/>
      <c r="B387" s="4"/>
      <c r="C387" s="4"/>
      <c r="D387" s="4"/>
      <c r="E387" s="4" t="str">
        <f ca="1">IFERROR(_xludf.XLOOKUP(A387,Milestones!$A$2:$A$501,Milestones!$M$2:$M$501),"")</f>
        <v/>
      </c>
      <c r="F387" s="4" t="str">
        <f t="shared" ca="1" si="24"/>
        <v/>
      </c>
      <c r="G387" s="4" t="str">
        <f t="shared" si="25"/>
        <v/>
      </c>
      <c r="H387" s="4" t="str">
        <f>IF(A387="","",SUMIF(Wyniki!$C$2:$C$501,A387,Wyniki!$O$2:$O$501))</f>
        <v/>
      </c>
      <c r="I387" s="4" t="str">
        <f t="shared" si="26"/>
        <v/>
      </c>
      <c r="J387" s="4" t="str">
        <f t="shared" si="27"/>
        <v/>
      </c>
    </row>
    <row r="388" spans="1:10" x14ac:dyDescent="0.25">
      <c r="A388" s="4"/>
      <c r="B388" s="4"/>
      <c r="C388" s="4"/>
      <c r="D388" s="4"/>
      <c r="E388" s="4" t="str">
        <f ca="1">IFERROR(_xludf.XLOOKUP(A388,Milestones!$A$2:$A$501,Milestones!$M$2:$M$501),"")</f>
        <v/>
      </c>
      <c r="F388" s="4" t="str">
        <f t="shared" ca="1" si="24"/>
        <v/>
      </c>
      <c r="G388" s="4" t="str">
        <f t="shared" si="25"/>
        <v/>
      </c>
      <c r="H388" s="4" t="str">
        <f>IF(A388="","",SUMIF(Wyniki!$C$2:$C$501,A388,Wyniki!$O$2:$O$501))</f>
        <v/>
      </c>
      <c r="I388" s="4" t="str">
        <f t="shared" si="26"/>
        <v/>
      </c>
      <c r="J388" s="4" t="str">
        <f t="shared" si="27"/>
        <v/>
      </c>
    </row>
    <row r="389" spans="1:10" x14ac:dyDescent="0.25">
      <c r="A389" s="4"/>
      <c r="B389" s="4"/>
      <c r="C389" s="4"/>
      <c r="D389" s="4"/>
      <c r="E389" s="4" t="str">
        <f ca="1">IFERROR(_xludf.XLOOKUP(A389,Milestones!$A$2:$A$501,Milestones!$M$2:$M$501),"")</f>
        <v/>
      </c>
      <c r="F389" s="4" t="str">
        <f t="shared" ca="1" si="24"/>
        <v/>
      </c>
      <c r="G389" s="4" t="str">
        <f t="shared" si="25"/>
        <v/>
      </c>
      <c r="H389" s="4" t="str">
        <f>IF(A389="","",SUMIF(Wyniki!$C$2:$C$501,A389,Wyniki!$O$2:$O$501))</f>
        <v/>
      </c>
      <c r="I389" s="4" t="str">
        <f t="shared" si="26"/>
        <v/>
      </c>
      <c r="J389" s="4" t="str">
        <f t="shared" si="27"/>
        <v/>
      </c>
    </row>
    <row r="390" spans="1:10" x14ac:dyDescent="0.25">
      <c r="A390" s="4"/>
      <c r="B390" s="4"/>
      <c r="C390" s="4"/>
      <c r="D390" s="4"/>
      <c r="E390" s="4" t="str">
        <f ca="1">IFERROR(_xludf.XLOOKUP(A390,Milestones!$A$2:$A$501,Milestones!$M$2:$M$501),"")</f>
        <v/>
      </c>
      <c r="F390" s="4" t="str">
        <f t="shared" ca="1" si="24"/>
        <v/>
      </c>
      <c r="G390" s="4" t="str">
        <f t="shared" si="25"/>
        <v/>
      </c>
      <c r="H390" s="4" t="str">
        <f>IF(A390="","",SUMIF(Wyniki!$C$2:$C$501,A390,Wyniki!$O$2:$O$501))</f>
        <v/>
      </c>
      <c r="I390" s="4" t="str">
        <f t="shared" si="26"/>
        <v/>
      </c>
      <c r="J390" s="4" t="str">
        <f t="shared" si="27"/>
        <v/>
      </c>
    </row>
    <row r="391" spans="1:10" x14ac:dyDescent="0.25">
      <c r="A391" s="4"/>
      <c r="B391" s="4"/>
      <c r="C391" s="4"/>
      <c r="D391" s="4"/>
      <c r="E391" s="4" t="str">
        <f ca="1">IFERROR(_xludf.XLOOKUP(A391,Milestones!$A$2:$A$501,Milestones!$M$2:$M$501),"")</f>
        <v/>
      </c>
      <c r="F391" s="4" t="str">
        <f t="shared" ca="1" si="24"/>
        <v/>
      </c>
      <c r="G391" s="4" t="str">
        <f t="shared" si="25"/>
        <v/>
      </c>
      <c r="H391" s="4" t="str">
        <f>IF(A391="","",SUMIF(Wyniki!$C$2:$C$501,A391,Wyniki!$O$2:$O$501))</f>
        <v/>
      </c>
      <c r="I391" s="4" t="str">
        <f t="shared" si="26"/>
        <v/>
      </c>
      <c r="J391" s="4" t="str">
        <f t="shared" si="27"/>
        <v/>
      </c>
    </row>
    <row r="392" spans="1:10" x14ac:dyDescent="0.25">
      <c r="A392" s="4"/>
      <c r="B392" s="4"/>
      <c r="C392" s="4"/>
      <c r="D392" s="4"/>
      <c r="E392" s="4" t="str">
        <f ca="1">IFERROR(_xludf.XLOOKUP(A392,Milestones!$A$2:$A$501,Milestones!$M$2:$M$501),"")</f>
        <v/>
      </c>
      <c r="F392" s="4" t="str">
        <f t="shared" ca="1" si="24"/>
        <v/>
      </c>
      <c r="G392" s="4" t="str">
        <f t="shared" si="25"/>
        <v/>
      </c>
      <c r="H392" s="4" t="str">
        <f>IF(A392="","",SUMIF(Wyniki!$C$2:$C$501,A392,Wyniki!$O$2:$O$501))</f>
        <v/>
      </c>
      <c r="I392" s="4" t="str">
        <f t="shared" si="26"/>
        <v/>
      </c>
      <c r="J392" s="4" t="str">
        <f t="shared" si="27"/>
        <v/>
      </c>
    </row>
    <row r="393" spans="1:10" x14ac:dyDescent="0.25">
      <c r="A393" s="4"/>
      <c r="B393" s="4"/>
      <c r="C393" s="4"/>
      <c r="D393" s="4"/>
      <c r="E393" s="4" t="str">
        <f ca="1">IFERROR(_xludf.XLOOKUP(A393,Milestones!$A$2:$A$501,Milestones!$M$2:$M$501),"")</f>
        <v/>
      </c>
      <c r="F393" s="4" t="str">
        <f t="shared" ca="1" si="24"/>
        <v/>
      </c>
      <c r="G393" s="4" t="str">
        <f t="shared" si="25"/>
        <v/>
      </c>
      <c r="H393" s="4" t="str">
        <f>IF(A393="","",SUMIF(Wyniki!$C$2:$C$501,A393,Wyniki!$O$2:$O$501))</f>
        <v/>
      </c>
      <c r="I393" s="4" t="str">
        <f t="shared" si="26"/>
        <v/>
      </c>
      <c r="J393" s="4" t="str">
        <f t="shared" si="27"/>
        <v/>
      </c>
    </row>
    <row r="394" spans="1:10" x14ac:dyDescent="0.25">
      <c r="A394" s="4"/>
      <c r="B394" s="4"/>
      <c r="C394" s="4"/>
      <c r="D394" s="4"/>
      <c r="E394" s="4" t="str">
        <f ca="1">IFERROR(_xludf.XLOOKUP(A394,Milestones!$A$2:$A$501,Milestones!$M$2:$M$501),"")</f>
        <v/>
      </c>
      <c r="F394" s="4" t="str">
        <f t="shared" ca="1" si="24"/>
        <v/>
      </c>
      <c r="G394" s="4" t="str">
        <f t="shared" si="25"/>
        <v/>
      </c>
      <c r="H394" s="4" t="str">
        <f>IF(A394="","",SUMIF(Wyniki!$C$2:$C$501,A394,Wyniki!$O$2:$O$501))</f>
        <v/>
      </c>
      <c r="I394" s="4" t="str">
        <f t="shared" si="26"/>
        <v/>
      </c>
      <c r="J394" s="4" t="str">
        <f t="shared" si="27"/>
        <v/>
      </c>
    </row>
    <row r="395" spans="1:10" x14ac:dyDescent="0.25">
      <c r="A395" s="4"/>
      <c r="B395" s="4"/>
      <c r="C395" s="4"/>
      <c r="D395" s="4"/>
      <c r="E395" s="4" t="str">
        <f ca="1">IFERROR(_xludf.XLOOKUP(A395,Milestones!$A$2:$A$501,Milestones!$M$2:$M$501),"")</f>
        <v/>
      </c>
      <c r="F395" s="4" t="str">
        <f t="shared" ca="1" si="24"/>
        <v/>
      </c>
      <c r="G395" s="4" t="str">
        <f t="shared" si="25"/>
        <v/>
      </c>
      <c r="H395" s="4" t="str">
        <f>IF(A395="","",SUMIF(Wyniki!$C$2:$C$501,A395,Wyniki!$O$2:$O$501))</f>
        <v/>
      </c>
      <c r="I395" s="4" t="str">
        <f t="shared" si="26"/>
        <v/>
      </c>
      <c r="J395" s="4" t="str">
        <f t="shared" si="27"/>
        <v/>
      </c>
    </row>
    <row r="396" spans="1:10" x14ac:dyDescent="0.25">
      <c r="A396" s="4"/>
      <c r="B396" s="4"/>
      <c r="C396" s="4"/>
      <c r="D396" s="4"/>
      <c r="E396" s="4" t="str">
        <f ca="1">IFERROR(_xludf.XLOOKUP(A396,Milestones!$A$2:$A$501,Milestones!$M$2:$M$501),"")</f>
        <v/>
      </c>
      <c r="F396" s="4" t="str">
        <f t="shared" ca="1" si="24"/>
        <v/>
      </c>
      <c r="G396" s="4" t="str">
        <f t="shared" si="25"/>
        <v/>
      </c>
      <c r="H396" s="4" t="str">
        <f>IF(A396="","",SUMIF(Wyniki!$C$2:$C$501,A396,Wyniki!$O$2:$O$501))</f>
        <v/>
      </c>
      <c r="I396" s="4" t="str">
        <f t="shared" si="26"/>
        <v/>
      </c>
      <c r="J396" s="4" t="str">
        <f t="shared" si="27"/>
        <v/>
      </c>
    </row>
    <row r="397" spans="1:10" x14ac:dyDescent="0.25">
      <c r="A397" s="4"/>
      <c r="B397" s="4"/>
      <c r="C397" s="4"/>
      <c r="D397" s="4"/>
      <c r="E397" s="4" t="str">
        <f ca="1">IFERROR(_xludf.XLOOKUP(A397,Milestones!$A$2:$A$501,Milestones!$M$2:$M$501),"")</f>
        <v/>
      </c>
      <c r="F397" s="4" t="str">
        <f t="shared" ca="1" si="24"/>
        <v/>
      </c>
      <c r="G397" s="4" t="str">
        <f t="shared" si="25"/>
        <v/>
      </c>
      <c r="H397" s="4" t="str">
        <f>IF(A397="","",SUMIF(Wyniki!$C$2:$C$501,A397,Wyniki!$O$2:$O$501))</f>
        <v/>
      </c>
      <c r="I397" s="4" t="str">
        <f t="shared" si="26"/>
        <v/>
      </c>
      <c r="J397" s="4" t="str">
        <f t="shared" si="27"/>
        <v/>
      </c>
    </row>
    <row r="398" spans="1:10" x14ac:dyDescent="0.25">
      <c r="A398" s="4"/>
      <c r="B398" s="4"/>
      <c r="C398" s="4"/>
      <c r="D398" s="4"/>
      <c r="E398" s="4" t="str">
        <f ca="1">IFERROR(_xludf.XLOOKUP(A398,Milestones!$A$2:$A$501,Milestones!$M$2:$M$501),"")</f>
        <v/>
      </c>
      <c r="F398" s="4" t="str">
        <f t="shared" ca="1" si="24"/>
        <v/>
      </c>
      <c r="G398" s="4" t="str">
        <f t="shared" si="25"/>
        <v/>
      </c>
      <c r="H398" s="4" t="str">
        <f>IF(A398="","",SUMIF(Wyniki!$C$2:$C$501,A398,Wyniki!$O$2:$O$501))</f>
        <v/>
      </c>
      <c r="I398" s="4" t="str">
        <f t="shared" si="26"/>
        <v/>
      </c>
      <c r="J398" s="4" t="str">
        <f t="shared" si="27"/>
        <v/>
      </c>
    </row>
    <row r="399" spans="1:10" x14ac:dyDescent="0.25">
      <c r="A399" s="4"/>
      <c r="B399" s="4"/>
      <c r="C399" s="4"/>
      <c r="D399" s="4"/>
      <c r="E399" s="4" t="str">
        <f ca="1">IFERROR(_xludf.XLOOKUP(A399,Milestones!$A$2:$A$501,Milestones!$M$2:$M$501),"")</f>
        <v/>
      </c>
      <c r="F399" s="4" t="str">
        <f t="shared" ca="1" si="24"/>
        <v/>
      </c>
      <c r="G399" s="4" t="str">
        <f t="shared" si="25"/>
        <v/>
      </c>
      <c r="H399" s="4" t="str">
        <f>IF(A399="","",SUMIF(Wyniki!$C$2:$C$501,A399,Wyniki!$O$2:$O$501))</f>
        <v/>
      </c>
      <c r="I399" s="4" t="str">
        <f t="shared" si="26"/>
        <v/>
      </c>
      <c r="J399" s="4" t="str">
        <f t="shared" si="27"/>
        <v/>
      </c>
    </row>
    <row r="400" spans="1:10" x14ac:dyDescent="0.25">
      <c r="A400" s="4"/>
      <c r="B400" s="4"/>
      <c r="C400" s="4"/>
      <c r="D400" s="4"/>
      <c r="E400" s="4" t="str">
        <f ca="1">IFERROR(_xludf.XLOOKUP(A400,Milestones!$A$2:$A$501,Milestones!$M$2:$M$501),"")</f>
        <v/>
      </c>
      <c r="F400" s="4" t="str">
        <f t="shared" ca="1" si="24"/>
        <v/>
      </c>
      <c r="G400" s="4" t="str">
        <f t="shared" si="25"/>
        <v/>
      </c>
      <c r="H400" s="4" t="str">
        <f>IF(A400="","",SUMIF(Wyniki!$C$2:$C$501,A400,Wyniki!$O$2:$O$501))</f>
        <v/>
      </c>
      <c r="I400" s="4" t="str">
        <f t="shared" si="26"/>
        <v/>
      </c>
      <c r="J400" s="4" t="str">
        <f t="shared" si="27"/>
        <v/>
      </c>
    </row>
    <row r="401" spans="1:10" x14ac:dyDescent="0.25">
      <c r="A401" s="4"/>
      <c r="B401" s="4"/>
      <c r="C401" s="4"/>
      <c r="D401" s="4"/>
      <c r="E401" s="4" t="str">
        <f ca="1">IFERROR(_xludf.XLOOKUP(A401,Milestones!$A$2:$A$501,Milestones!$M$2:$M$501),"")</f>
        <v/>
      </c>
      <c r="F401" s="4" t="str">
        <f t="shared" ca="1" si="24"/>
        <v/>
      </c>
      <c r="G401" s="4" t="str">
        <f t="shared" si="25"/>
        <v/>
      </c>
      <c r="H401" s="4" t="str">
        <f>IF(A401="","",SUMIF(Wyniki!$C$2:$C$501,A401,Wyniki!$O$2:$O$501))</f>
        <v/>
      </c>
      <c r="I401" s="4" t="str">
        <f t="shared" si="26"/>
        <v/>
      </c>
      <c r="J401" s="4" t="str">
        <f t="shared" si="27"/>
        <v/>
      </c>
    </row>
    <row r="402" spans="1:10" x14ac:dyDescent="0.25">
      <c r="A402" s="4"/>
      <c r="B402" s="4"/>
      <c r="C402" s="4"/>
      <c r="D402" s="4"/>
      <c r="E402" s="4" t="str">
        <f ca="1">IFERROR(_xludf.XLOOKUP(A402,Milestones!$A$2:$A$501,Milestones!$M$2:$M$501),"")</f>
        <v/>
      </c>
      <c r="F402" s="4" t="str">
        <f t="shared" ca="1" si="24"/>
        <v/>
      </c>
      <c r="G402" s="4" t="str">
        <f t="shared" si="25"/>
        <v/>
      </c>
      <c r="H402" s="4" t="str">
        <f>IF(A402="","",SUMIF(Wyniki!$C$2:$C$501,A402,Wyniki!$O$2:$O$501))</f>
        <v/>
      </c>
      <c r="I402" s="4" t="str">
        <f t="shared" si="26"/>
        <v/>
      </c>
      <c r="J402" s="4" t="str">
        <f t="shared" si="27"/>
        <v/>
      </c>
    </row>
    <row r="403" spans="1:10" x14ac:dyDescent="0.25">
      <c r="A403" s="4"/>
      <c r="B403" s="4"/>
      <c r="C403" s="4"/>
      <c r="D403" s="4"/>
      <c r="E403" s="4" t="str">
        <f ca="1">IFERROR(_xludf.XLOOKUP(A403,Milestones!$A$2:$A$501,Milestones!$M$2:$M$501),"")</f>
        <v/>
      </c>
      <c r="F403" s="4" t="str">
        <f t="shared" ca="1" si="24"/>
        <v/>
      </c>
      <c r="G403" s="4" t="str">
        <f t="shared" si="25"/>
        <v/>
      </c>
      <c r="H403" s="4" t="str">
        <f>IF(A403="","",SUMIF(Wyniki!$C$2:$C$501,A403,Wyniki!$O$2:$O$501))</f>
        <v/>
      </c>
      <c r="I403" s="4" t="str">
        <f t="shared" si="26"/>
        <v/>
      </c>
      <c r="J403" s="4" t="str">
        <f t="shared" si="27"/>
        <v/>
      </c>
    </row>
    <row r="404" spans="1:10" x14ac:dyDescent="0.25">
      <c r="A404" s="4"/>
      <c r="B404" s="4"/>
      <c r="C404" s="4"/>
      <c r="D404" s="4"/>
      <c r="E404" s="4" t="str">
        <f ca="1">IFERROR(_xludf.XLOOKUP(A404,Milestones!$A$2:$A$501,Milestones!$M$2:$M$501),"")</f>
        <v/>
      </c>
      <c r="F404" s="4" t="str">
        <f t="shared" ca="1" si="24"/>
        <v/>
      </c>
      <c r="G404" s="4" t="str">
        <f t="shared" si="25"/>
        <v/>
      </c>
      <c r="H404" s="4" t="str">
        <f>IF(A404="","",SUMIF(Wyniki!$C$2:$C$501,A404,Wyniki!$O$2:$O$501))</f>
        <v/>
      </c>
      <c r="I404" s="4" t="str">
        <f t="shared" si="26"/>
        <v/>
      </c>
      <c r="J404" s="4" t="str">
        <f t="shared" si="27"/>
        <v/>
      </c>
    </row>
    <row r="405" spans="1:10" x14ac:dyDescent="0.25">
      <c r="A405" s="4"/>
      <c r="B405" s="4"/>
      <c r="C405" s="4"/>
      <c r="D405" s="4"/>
      <c r="E405" s="4" t="str">
        <f ca="1">IFERROR(_xludf.XLOOKUP(A405,Milestones!$A$2:$A$501,Milestones!$M$2:$M$501),"")</f>
        <v/>
      </c>
      <c r="F405" s="4" t="str">
        <f t="shared" ca="1" si="24"/>
        <v/>
      </c>
      <c r="G405" s="4" t="str">
        <f t="shared" si="25"/>
        <v/>
      </c>
      <c r="H405" s="4" t="str">
        <f>IF(A405="","",SUMIF(Wyniki!$C$2:$C$501,A405,Wyniki!$O$2:$O$501))</f>
        <v/>
      </c>
      <c r="I405" s="4" t="str">
        <f t="shared" si="26"/>
        <v/>
      </c>
      <c r="J405" s="4" t="str">
        <f t="shared" si="27"/>
        <v/>
      </c>
    </row>
    <row r="406" spans="1:10" x14ac:dyDescent="0.25">
      <c r="A406" s="4"/>
      <c r="B406" s="4"/>
      <c r="C406" s="4"/>
      <c r="D406" s="4"/>
      <c r="E406" s="4" t="str">
        <f ca="1">IFERROR(_xludf.XLOOKUP(A406,Milestones!$A$2:$A$501,Milestones!$M$2:$M$501),"")</f>
        <v/>
      </c>
      <c r="F406" s="4" t="str">
        <f t="shared" ca="1" si="24"/>
        <v/>
      </c>
      <c r="G406" s="4" t="str">
        <f t="shared" si="25"/>
        <v/>
      </c>
      <c r="H406" s="4" t="str">
        <f>IF(A406="","",SUMIF(Wyniki!$C$2:$C$501,A406,Wyniki!$O$2:$O$501))</f>
        <v/>
      </c>
      <c r="I406" s="4" t="str">
        <f t="shared" si="26"/>
        <v/>
      </c>
      <c r="J406" s="4" t="str">
        <f t="shared" si="27"/>
        <v/>
      </c>
    </row>
    <row r="407" spans="1:10" x14ac:dyDescent="0.25">
      <c r="A407" s="4"/>
      <c r="B407" s="4"/>
      <c r="C407" s="4"/>
      <c r="D407" s="4"/>
      <c r="E407" s="4" t="str">
        <f ca="1">IFERROR(_xludf.XLOOKUP(A407,Milestones!$A$2:$A$501,Milestones!$M$2:$M$501),"")</f>
        <v/>
      </c>
      <c r="F407" s="4" t="str">
        <f t="shared" ca="1" si="24"/>
        <v/>
      </c>
      <c r="G407" s="4" t="str">
        <f t="shared" si="25"/>
        <v/>
      </c>
      <c r="H407" s="4" t="str">
        <f>IF(A407="","",SUMIF(Wyniki!$C$2:$C$501,A407,Wyniki!$O$2:$O$501))</f>
        <v/>
      </c>
      <c r="I407" s="4" t="str">
        <f t="shared" si="26"/>
        <v/>
      </c>
      <c r="J407" s="4" t="str">
        <f t="shared" si="27"/>
        <v/>
      </c>
    </row>
    <row r="408" spans="1:10" x14ac:dyDescent="0.25">
      <c r="A408" s="4"/>
      <c r="B408" s="4"/>
      <c r="C408" s="4"/>
      <c r="D408" s="4"/>
      <c r="E408" s="4" t="str">
        <f ca="1">IFERROR(_xludf.XLOOKUP(A408,Milestones!$A$2:$A$501,Milestones!$M$2:$M$501),"")</f>
        <v/>
      </c>
      <c r="F408" s="4" t="str">
        <f t="shared" ca="1" si="24"/>
        <v/>
      </c>
      <c r="G408" s="4" t="str">
        <f t="shared" si="25"/>
        <v/>
      </c>
      <c r="H408" s="4" t="str">
        <f>IF(A408="","",SUMIF(Wyniki!$C$2:$C$501,A408,Wyniki!$O$2:$O$501))</f>
        <v/>
      </c>
      <c r="I408" s="4" t="str">
        <f t="shared" si="26"/>
        <v/>
      </c>
      <c r="J408" s="4" t="str">
        <f t="shared" si="27"/>
        <v/>
      </c>
    </row>
    <row r="409" spans="1:10" x14ac:dyDescent="0.25">
      <c r="A409" s="4"/>
      <c r="B409" s="4"/>
      <c r="C409" s="4"/>
      <c r="D409" s="4"/>
      <c r="E409" s="4" t="str">
        <f ca="1">IFERROR(_xludf.XLOOKUP(A409,Milestones!$A$2:$A$501,Milestones!$M$2:$M$501),"")</f>
        <v/>
      </c>
      <c r="F409" s="4" t="str">
        <f t="shared" ca="1" si="24"/>
        <v/>
      </c>
      <c r="G409" s="4" t="str">
        <f t="shared" si="25"/>
        <v/>
      </c>
      <c r="H409" s="4" t="str">
        <f>IF(A409="","",SUMIF(Wyniki!$C$2:$C$501,A409,Wyniki!$O$2:$O$501))</f>
        <v/>
      </c>
      <c r="I409" s="4" t="str">
        <f t="shared" si="26"/>
        <v/>
      </c>
      <c r="J409" s="4" t="str">
        <f t="shared" si="27"/>
        <v/>
      </c>
    </row>
    <row r="410" spans="1:10" x14ac:dyDescent="0.25">
      <c r="A410" s="4"/>
      <c r="B410" s="4"/>
      <c r="C410" s="4"/>
      <c r="D410" s="4"/>
      <c r="E410" s="4" t="str">
        <f ca="1">IFERROR(_xludf.XLOOKUP(A410,Milestones!$A$2:$A$501,Milestones!$M$2:$M$501),"")</f>
        <v/>
      </c>
      <c r="F410" s="4" t="str">
        <f t="shared" ca="1" si="24"/>
        <v/>
      </c>
      <c r="G410" s="4" t="str">
        <f t="shared" si="25"/>
        <v/>
      </c>
      <c r="H410" s="4" t="str">
        <f>IF(A410="","",SUMIF(Wyniki!$C$2:$C$501,A410,Wyniki!$O$2:$O$501))</f>
        <v/>
      </c>
      <c r="I410" s="4" t="str">
        <f t="shared" si="26"/>
        <v/>
      </c>
      <c r="J410" s="4" t="str">
        <f t="shared" si="27"/>
        <v/>
      </c>
    </row>
    <row r="411" spans="1:10" x14ac:dyDescent="0.25">
      <c r="A411" s="4"/>
      <c r="B411" s="4"/>
      <c r="C411" s="4"/>
      <c r="D411" s="4"/>
      <c r="E411" s="4" t="str">
        <f ca="1">IFERROR(_xludf.XLOOKUP(A411,Milestones!$A$2:$A$501,Milestones!$M$2:$M$501),"")</f>
        <v/>
      </c>
      <c r="F411" s="4" t="str">
        <f t="shared" ca="1" si="24"/>
        <v/>
      </c>
      <c r="G411" s="4" t="str">
        <f t="shared" si="25"/>
        <v/>
      </c>
      <c r="H411" s="4" t="str">
        <f>IF(A411="","",SUMIF(Wyniki!$C$2:$C$501,A411,Wyniki!$O$2:$O$501))</f>
        <v/>
      </c>
      <c r="I411" s="4" t="str">
        <f t="shared" si="26"/>
        <v/>
      </c>
      <c r="J411" s="4" t="str">
        <f t="shared" si="27"/>
        <v/>
      </c>
    </row>
    <row r="412" spans="1:10" x14ac:dyDescent="0.25">
      <c r="A412" s="4"/>
      <c r="B412" s="4"/>
      <c r="C412" s="4"/>
      <c r="D412" s="4"/>
      <c r="E412" s="4" t="str">
        <f ca="1">IFERROR(_xludf.XLOOKUP(A412,Milestones!$A$2:$A$501,Milestones!$M$2:$M$501),"")</f>
        <v/>
      </c>
      <c r="F412" s="4" t="str">
        <f t="shared" ca="1" si="24"/>
        <v/>
      </c>
      <c r="G412" s="4" t="str">
        <f t="shared" si="25"/>
        <v/>
      </c>
      <c r="H412" s="4" t="str">
        <f>IF(A412="","",SUMIF(Wyniki!$C$2:$C$501,A412,Wyniki!$O$2:$O$501))</f>
        <v/>
      </c>
      <c r="I412" s="4" t="str">
        <f t="shared" si="26"/>
        <v/>
      </c>
      <c r="J412" s="4" t="str">
        <f t="shared" si="27"/>
        <v/>
      </c>
    </row>
    <row r="413" spans="1:10" x14ac:dyDescent="0.25">
      <c r="A413" s="4"/>
      <c r="B413" s="4"/>
      <c r="C413" s="4"/>
      <c r="D413" s="4"/>
      <c r="E413" s="4" t="str">
        <f ca="1">IFERROR(_xludf.XLOOKUP(A413,Milestones!$A$2:$A$501,Milestones!$M$2:$M$501),"")</f>
        <v/>
      </c>
      <c r="F413" s="4" t="str">
        <f t="shared" ca="1" si="24"/>
        <v/>
      </c>
      <c r="G413" s="4" t="str">
        <f t="shared" si="25"/>
        <v/>
      </c>
      <c r="H413" s="4" t="str">
        <f>IF(A413="","",SUMIF(Wyniki!$C$2:$C$501,A413,Wyniki!$O$2:$O$501))</f>
        <v/>
      </c>
      <c r="I413" s="4" t="str">
        <f t="shared" si="26"/>
        <v/>
      </c>
      <c r="J413" s="4" t="str">
        <f t="shared" si="27"/>
        <v/>
      </c>
    </row>
    <row r="414" spans="1:10" x14ac:dyDescent="0.25">
      <c r="A414" s="4"/>
      <c r="B414" s="4"/>
      <c r="C414" s="4"/>
      <c r="D414" s="4"/>
      <c r="E414" s="4" t="str">
        <f ca="1">IFERROR(_xludf.XLOOKUP(A414,Milestones!$A$2:$A$501,Milestones!$M$2:$M$501),"")</f>
        <v/>
      </c>
      <c r="F414" s="4" t="str">
        <f t="shared" ca="1" si="24"/>
        <v/>
      </c>
      <c r="G414" s="4" t="str">
        <f t="shared" si="25"/>
        <v/>
      </c>
      <c r="H414" s="4" t="str">
        <f>IF(A414="","",SUMIF(Wyniki!$C$2:$C$501,A414,Wyniki!$O$2:$O$501))</f>
        <v/>
      </c>
      <c r="I414" s="4" t="str">
        <f t="shared" si="26"/>
        <v/>
      </c>
      <c r="J414" s="4" t="str">
        <f t="shared" si="27"/>
        <v/>
      </c>
    </row>
    <row r="415" spans="1:10" x14ac:dyDescent="0.25">
      <c r="A415" s="4"/>
      <c r="B415" s="4"/>
      <c r="C415" s="4"/>
      <c r="D415" s="4"/>
      <c r="E415" s="4" t="str">
        <f ca="1">IFERROR(_xludf.XLOOKUP(A415,Milestones!$A$2:$A$501,Milestones!$M$2:$M$501),"")</f>
        <v/>
      </c>
      <c r="F415" s="4" t="str">
        <f t="shared" ca="1" si="24"/>
        <v/>
      </c>
      <c r="G415" s="4" t="str">
        <f t="shared" si="25"/>
        <v/>
      </c>
      <c r="H415" s="4" t="str">
        <f>IF(A415="","",SUMIF(Wyniki!$C$2:$C$501,A415,Wyniki!$O$2:$O$501))</f>
        <v/>
      </c>
      <c r="I415" s="4" t="str">
        <f t="shared" si="26"/>
        <v/>
      </c>
      <c r="J415" s="4" t="str">
        <f t="shared" si="27"/>
        <v/>
      </c>
    </row>
    <row r="416" spans="1:10" x14ac:dyDescent="0.25">
      <c r="A416" s="4"/>
      <c r="B416" s="4"/>
      <c r="C416" s="4"/>
      <c r="D416" s="4"/>
      <c r="E416" s="4" t="str">
        <f ca="1">IFERROR(_xludf.XLOOKUP(A416,Milestones!$A$2:$A$501,Milestones!$M$2:$M$501),"")</f>
        <v/>
      </c>
      <c r="F416" s="4" t="str">
        <f t="shared" ca="1" si="24"/>
        <v/>
      </c>
      <c r="G416" s="4" t="str">
        <f t="shared" si="25"/>
        <v/>
      </c>
      <c r="H416" s="4" t="str">
        <f>IF(A416="","",SUMIF(Wyniki!$C$2:$C$501,A416,Wyniki!$O$2:$O$501))</f>
        <v/>
      </c>
      <c r="I416" s="4" t="str">
        <f t="shared" si="26"/>
        <v/>
      </c>
      <c r="J416" s="4" t="str">
        <f t="shared" si="27"/>
        <v/>
      </c>
    </row>
    <row r="417" spans="1:10" x14ac:dyDescent="0.25">
      <c r="A417" s="4"/>
      <c r="B417" s="4"/>
      <c r="C417" s="4"/>
      <c r="D417" s="4"/>
      <c r="E417" s="4" t="str">
        <f ca="1">IFERROR(_xludf.XLOOKUP(A417,Milestones!$A$2:$A$501,Milestones!$M$2:$M$501),"")</f>
        <v/>
      </c>
      <c r="F417" s="4" t="str">
        <f t="shared" ca="1" si="24"/>
        <v/>
      </c>
      <c r="G417" s="4" t="str">
        <f t="shared" si="25"/>
        <v/>
      </c>
      <c r="H417" s="4" t="str">
        <f>IF(A417="","",SUMIF(Wyniki!$C$2:$C$501,A417,Wyniki!$O$2:$O$501))</f>
        <v/>
      </c>
      <c r="I417" s="4" t="str">
        <f t="shared" si="26"/>
        <v/>
      </c>
      <c r="J417" s="4" t="str">
        <f t="shared" si="27"/>
        <v/>
      </c>
    </row>
    <row r="418" spans="1:10" x14ac:dyDescent="0.25">
      <c r="A418" s="4"/>
      <c r="B418" s="4"/>
      <c r="C418" s="4"/>
      <c r="D418" s="4"/>
      <c r="E418" s="4" t="str">
        <f ca="1">IFERROR(_xludf.XLOOKUP(A418,Milestones!$A$2:$A$501,Milestones!$M$2:$M$501),"")</f>
        <v/>
      </c>
      <c r="F418" s="4" t="str">
        <f t="shared" ca="1" si="24"/>
        <v/>
      </c>
      <c r="G418" s="4" t="str">
        <f t="shared" si="25"/>
        <v/>
      </c>
      <c r="H418" s="4" t="str">
        <f>IF(A418="","",SUMIF(Wyniki!$C$2:$C$501,A418,Wyniki!$O$2:$O$501))</f>
        <v/>
      </c>
      <c r="I418" s="4" t="str">
        <f t="shared" si="26"/>
        <v/>
      </c>
      <c r="J418" s="4" t="str">
        <f t="shared" si="27"/>
        <v/>
      </c>
    </row>
    <row r="419" spans="1:10" x14ac:dyDescent="0.25">
      <c r="A419" s="4"/>
      <c r="B419" s="4"/>
      <c r="C419" s="4"/>
      <c r="D419" s="4"/>
      <c r="E419" s="4" t="str">
        <f ca="1">IFERROR(_xludf.XLOOKUP(A419,Milestones!$A$2:$A$501,Milestones!$M$2:$M$501),"")</f>
        <v/>
      </c>
      <c r="F419" s="4" t="str">
        <f t="shared" ca="1" si="24"/>
        <v/>
      </c>
      <c r="G419" s="4" t="str">
        <f t="shared" si="25"/>
        <v/>
      </c>
      <c r="H419" s="4" t="str">
        <f>IF(A419="","",SUMIF(Wyniki!$C$2:$C$501,A419,Wyniki!$O$2:$O$501))</f>
        <v/>
      </c>
      <c r="I419" s="4" t="str">
        <f t="shared" si="26"/>
        <v/>
      </c>
      <c r="J419" s="4" t="str">
        <f t="shared" si="27"/>
        <v/>
      </c>
    </row>
    <row r="420" spans="1:10" x14ac:dyDescent="0.25">
      <c r="A420" s="4"/>
      <c r="B420" s="4"/>
      <c r="C420" s="4"/>
      <c r="D420" s="4"/>
      <c r="E420" s="4" t="str">
        <f ca="1">IFERROR(_xludf.XLOOKUP(A420,Milestones!$A$2:$A$501,Milestones!$M$2:$M$501),"")</f>
        <v/>
      </c>
      <c r="F420" s="4" t="str">
        <f t="shared" ca="1" si="24"/>
        <v/>
      </c>
      <c r="G420" s="4" t="str">
        <f t="shared" si="25"/>
        <v/>
      </c>
      <c r="H420" s="4" t="str">
        <f>IF(A420="","",SUMIF(Wyniki!$C$2:$C$501,A420,Wyniki!$O$2:$O$501))</f>
        <v/>
      </c>
      <c r="I420" s="4" t="str">
        <f t="shared" si="26"/>
        <v/>
      </c>
      <c r="J420" s="4" t="str">
        <f t="shared" si="27"/>
        <v/>
      </c>
    </row>
    <row r="421" spans="1:10" x14ac:dyDescent="0.25">
      <c r="A421" s="4"/>
      <c r="B421" s="4"/>
      <c r="C421" s="4"/>
      <c r="D421" s="4"/>
      <c r="E421" s="4" t="str">
        <f ca="1">IFERROR(_xludf.XLOOKUP(A421,Milestones!$A$2:$A$501,Milestones!$M$2:$M$501),"")</f>
        <v/>
      </c>
      <c r="F421" s="4" t="str">
        <f t="shared" ca="1" si="24"/>
        <v/>
      </c>
      <c r="G421" s="4" t="str">
        <f t="shared" si="25"/>
        <v/>
      </c>
      <c r="H421" s="4" t="str">
        <f>IF(A421="","",SUMIF(Wyniki!$C$2:$C$501,A421,Wyniki!$O$2:$O$501))</f>
        <v/>
      </c>
      <c r="I421" s="4" t="str">
        <f t="shared" si="26"/>
        <v/>
      </c>
      <c r="J421" s="4" t="str">
        <f t="shared" si="27"/>
        <v/>
      </c>
    </row>
    <row r="422" spans="1:10" x14ac:dyDescent="0.25">
      <c r="A422" s="4"/>
      <c r="B422" s="4"/>
      <c r="C422" s="4"/>
      <c r="D422" s="4"/>
      <c r="E422" s="4" t="str">
        <f ca="1">IFERROR(_xludf.XLOOKUP(A422,Milestones!$A$2:$A$501,Milestones!$M$2:$M$501),"")</f>
        <v/>
      </c>
      <c r="F422" s="4" t="str">
        <f t="shared" ca="1" si="24"/>
        <v/>
      </c>
      <c r="G422" s="4" t="str">
        <f t="shared" si="25"/>
        <v/>
      </c>
      <c r="H422" s="4" t="str">
        <f>IF(A422="","",SUMIF(Wyniki!$C$2:$C$501,A422,Wyniki!$O$2:$O$501))</f>
        <v/>
      </c>
      <c r="I422" s="4" t="str">
        <f t="shared" si="26"/>
        <v/>
      </c>
      <c r="J422" s="4" t="str">
        <f t="shared" si="27"/>
        <v/>
      </c>
    </row>
    <row r="423" spans="1:10" x14ac:dyDescent="0.25">
      <c r="A423" s="4"/>
      <c r="B423" s="4"/>
      <c r="C423" s="4"/>
      <c r="D423" s="4"/>
      <c r="E423" s="4" t="str">
        <f ca="1">IFERROR(_xludf.XLOOKUP(A423,Milestones!$A$2:$A$501,Milestones!$M$2:$M$501),"")</f>
        <v/>
      </c>
      <c r="F423" s="4" t="str">
        <f t="shared" ca="1" si="24"/>
        <v/>
      </c>
      <c r="G423" s="4" t="str">
        <f t="shared" si="25"/>
        <v/>
      </c>
      <c r="H423" s="4" t="str">
        <f>IF(A423="","",SUMIF(Wyniki!$C$2:$C$501,A423,Wyniki!$O$2:$O$501))</f>
        <v/>
      </c>
      <c r="I423" s="4" t="str">
        <f t="shared" si="26"/>
        <v/>
      </c>
      <c r="J423" s="4" t="str">
        <f t="shared" si="27"/>
        <v/>
      </c>
    </row>
    <row r="424" spans="1:10" x14ac:dyDescent="0.25">
      <c r="A424" s="4"/>
      <c r="B424" s="4"/>
      <c r="C424" s="4"/>
      <c r="D424" s="4"/>
      <c r="E424" s="4" t="str">
        <f ca="1">IFERROR(_xludf.XLOOKUP(A424,Milestones!$A$2:$A$501,Milestones!$M$2:$M$501),"")</f>
        <v/>
      </c>
      <c r="F424" s="4" t="str">
        <f t="shared" ca="1" si="24"/>
        <v/>
      </c>
      <c r="G424" s="4" t="str">
        <f t="shared" si="25"/>
        <v/>
      </c>
      <c r="H424" s="4" t="str">
        <f>IF(A424="","",SUMIF(Wyniki!$C$2:$C$501,A424,Wyniki!$O$2:$O$501))</f>
        <v/>
      </c>
      <c r="I424" s="4" t="str">
        <f t="shared" si="26"/>
        <v/>
      </c>
      <c r="J424" s="4" t="str">
        <f t="shared" si="27"/>
        <v/>
      </c>
    </row>
    <row r="425" spans="1:10" x14ac:dyDescent="0.25">
      <c r="A425" s="4"/>
      <c r="B425" s="4"/>
      <c r="C425" s="4"/>
      <c r="D425" s="4"/>
      <c r="E425" s="4" t="str">
        <f ca="1">IFERROR(_xludf.XLOOKUP(A425,Milestones!$A$2:$A$501,Milestones!$M$2:$M$501),"")</f>
        <v/>
      </c>
      <c r="F425" s="4" t="str">
        <f t="shared" ca="1" si="24"/>
        <v/>
      </c>
      <c r="G425" s="4" t="str">
        <f t="shared" si="25"/>
        <v/>
      </c>
      <c r="H425" s="4" t="str">
        <f>IF(A425="","",SUMIF(Wyniki!$C$2:$C$501,A425,Wyniki!$O$2:$O$501))</f>
        <v/>
      </c>
      <c r="I425" s="4" t="str">
        <f t="shared" si="26"/>
        <v/>
      </c>
      <c r="J425" s="4" t="str">
        <f t="shared" si="27"/>
        <v/>
      </c>
    </row>
    <row r="426" spans="1:10" x14ac:dyDescent="0.25">
      <c r="A426" s="4"/>
      <c r="B426" s="4"/>
      <c r="C426" s="4"/>
      <c r="D426" s="4"/>
      <c r="E426" s="4" t="str">
        <f ca="1">IFERROR(_xludf.XLOOKUP(A426,Milestones!$A$2:$A$501,Milestones!$M$2:$M$501),"")</f>
        <v/>
      </c>
      <c r="F426" s="4" t="str">
        <f t="shared" ca="1" si="24"/>
        <v/>
      </c>
      <c r="G426" s="4" t="str">
        <f t="shared" si="25"/>
        <v/>
      </c>
      <c r="H426" s="4" t="str">
        <f>IF(A426="","",SUMIF(Wyniki!$C$2:$C$501,A426,Wyniki!$O$2:$O$501))</f>
        <v/>
      </c>
      <c r="I426" s="4" t="str">
        <f t="shared" si="26"/>
        <v/>
      </c>
      <c r="J426" s="4" t="str">
        <f t="shared" si="27"/>
        <v/>
      </c>
    </row>
    <row r="427" spans="1:10" x14ac:dyDescent="0.25">
      <c r="A427" s="4"/>
      <c r="B427" s="4"/>
      <c r="C427" s="4"/>
      <c r="D427" s="4"/>
      <c r="E427" s="4" t="str">
        <f ca="1">IFERROR(_xludf.XLOOKUP(A427,Milestones!$A$2:$A$501,Milestones!$M$2:$M$501),"")</f>
        <v/>
      </c>
      <c r="F427" s="4" t="str">
        <f t="shared" ca="1" si="24"/>
        <v/>
      </c>
      <c r="G427" s="4" t="str">
        <f t="shared" si="25"/>
        <v/>
      </c>
      <c r="H427" s="4" t="str">
        <f>IF(A427="","",SUMIF(Wyniki!$C$2:$C$501,A427,Wyniki!$O$2:$O$501))</f>
        <v/>
      </c>
      <c r="I427" s="4" t="str">
        <f t="shared" si="26"/>
        <v/>
      </c>
      <c r="J427" s="4" t="str">
        <f t="shared" si="27"/>
        <v/>
      </c>
    </row>
    <row r="428" spans="1:10" x14ac:dyDescent="0.25">
      <c r="A428" s="4"/>
      <c r="B428" s="4"/>
      <c r="C428" s="4"/>
      <c r="D428" s="4"/>
      <c r="E428" s="4" t="str">
        <f ca="1">IFERROR(_xludf.XLOOKUP(A428,Milestones!$A$2:$A$501,Milestones!$M$2:$M$501),"")</f>
        <v/>
      </c>
      <c r="F428" s="4" t="str">
        <f t="shared" ca="1" si="24"/>
        <v/>
      </c>
      <c r="G428" s="4" t="str">
        <f t="shared" si="25"/>
        <v/>
      </c>
      <c r="H428" s="4" t="str">
        <f>IF(A428="","",SUMIF(Wyniki!$C$2:$C$501,A428,Wyniki!$O$2:$O$501))</f>
        <v/>
      </c>
      <c r="I428" s="4" t="str">
        <f t="shared" si="26"/>
        <v/>
      </c>
      <c r="J428" s="4" t="str">
        <f t="shared" si="27"/>
        <v/>
      </c>
    </row>
    <row r="429" spans="1:10" x14ac:dyDescent="0.25">
      <c r="A429" s="4"/>
      <c r="B429" s="4"/>
      <c r="C429" s="4"/>
      <c r="D429" s="4"/>
      <c r="E429" s="4" t="str">
        <f ca="1">IFERROR(_xludf.XLOOKUP(A429,Milestones!$A$2:$A$501,Milestones!$M$2:$M$501),"")</f>
        <v/>
      </c>
      <c r="F429" s="4" t="str">
        <f t="shared" ca="1" si="24"/>
        <v/>
      </c>
      <c r="G429" s="4" t="str">
        <f t="shared" si="25"/>
        <v/>
      </c>
      <c r="H429" s="4" t="str">
        <f>IF(A429="","",SUMIF(Wyniki!$C$2:$C$501,A429,Wyniki!$O$2:$O$501))</f>
        <v/>
      </c>
      <c r="I429" s="4" t="str">
        <f t="shared" si="26"/>
        <v/>
      </c>
      <c r="J429" s="4" t="str">
        <f t="shared" si="27"/>
        <v/>
      </c>
    </row>
    <row r="430" spans="1:10" x14ac:dyDescent="0.25">
      <c r="A430" s="4"/>
      <c r="B430" s="4"/>
      <c r="C430" s="4"/>
      <c r="D430" s="4"/>
      <c r="E430" s="4" t="str">
        <f ca="1">IFERROR(_xludf.XLOOKUP(A430,Milestones!$A$2:$A$501,Milestones!$M$2:$M$501),"")</f>
        <v/>
      </c>
      <c r="F430" s="4" t="str">
        <f t="shared" ca="1" si="24"/>
        <v/>
      </c>
      <c r="G430" s="4" t="str">
        <f t="shared" si="25"/>
        <v/>
      </c>
      <c r="H430" s="4" t="str">
        <f>IF(A430="","",SUMIF(Wyniki!$C$2:$C$501,A430,Wyniki!$O$2:$O$501))</f>
        <v/>
      </c>
      <c r="I430" s="4" t="str">
        <f t="shared" si="26"/>
        <v/>
      </c>
      <c r="J430" s="4" t="str">
        <f t="shared" si="27"/>
        <v/>
      </c>
    </row>
    <row r="431" spans="1:10" x14ac:dyDescent="0.25">
      <c r="A431" s="4"/>
      <c r="B431" s="4"/>
      <c r="C431" s="4"/>
      <c r="D431" s="4"/>
      <c r="E431" s="4" t="str">
        <f ca="1">IFERROR(_xludf.XLOOKUP(A431,Milestones!$A$2:$A$501,Milestones!$M$2:$M$501),"")</f>
        <v/>
      </c>
      <c r="F431" s="4" t="str">
        <f t="shared" ca="1" si="24"/>
        <v/>
      </c>
      <c r="G431" s="4" t="str">
        <f t="shared" si="25"/>
        <v/>
      </c>
      <c r="H431" s="4" t="str">
        <f>IF(A431="","",SUMIF(Wyniki!$C$2:$C$501,A431,Wyniki!$O$2:$O$501))</f>
        <v/>
      </c>
      <c r="I431" s="4" t="str">
        <f t="shared" si="26"/>
        <v/>
      </c>
      <c r="J431" s="4" t="str">
        <f t="shared" si="27"/>
        <v/>
      </c>
    </row>
    <row r="432" spans="1:10" x14ac:dyDescent="0.25">
      <c r="A432" s="4"/>
      <c r="B432" s="4"/>
      <c r="C432" s="4"/>
      <c r="D432" s="4"/>
      <c r="E432" s="4" t="str">
        <f ca="1">IFERROR(_xludf.XLOOKUP(A432,Milestones!$A$2:$A$501,Milestones!$M$2:$M$501),"")</f>
        <v/>
      </c>
      <c r="F432" s="4" t="str">
        <f t="shared" ca="1" si="24"/>
        <v/>
      </c>
      <c r="G432" s="4" t="str">
        <f t="shared" si="25"/>
        <v/>
      </c>
      <c r="H432" s="4" t="str">
        <f>IF(A432="","",SUMIF(Wyniki!$C$2:$C$501,A432,Wyniki!$O$2:$O$501))</f>
        <v/>
      </c>
      <c r="I432" s="4" t="str">
        <f t="shared" si="26"/>
        <v/>
      </c>
      <c r="J432" s="4" t="str">
        <f t="shared" si="27"/>
        <v/>
      </c>
    </row>
    <row r="433" spans="1:10" x14ac:dyDescent="0.25">
      <c r="A433" s="4"/>
      <c r="B433" s="4"/>
      <c r="C433" s="4"/>
      <c r="D433" s="4"/>
      <c r="E433" s="4" t="str">
        <f ca="1">IFERROR(_xludf.XLOOKUP(A433,Milestones!$A$2:$A$501,Milestones!$M$2:$M$501),"")</f>
        <v/>
      </c>
      <c r="F433" s="4" t="str">
        <f t="shared" ca="1" si="24"/>
        <v/>
      </c>
      <c r="G433" s="4" t="str">
        <f t="shared" si="25"/>
        <v/>
      </c>
      <c r="H433" s="4" t="str">
        <f>IF(A433="","",SUMIF(Wyniki!$C$2:$C$501,A433,Wyniki!$O$2:$O$501))</f>
        <v/>
      </c>
      <c r="I433" s="4" t="str">
        <f t="shared" si="26"/>
        <v/>
      </c>
      <c r="J433" s="4" t="str">
        <f t="shared" si="27"/>
        <v/>
      </c>
    </row>
    <row r="434" spans="1:10" x14ac:dyDescent="0.25">
      <c r="A434" s="4"/>
      <c r="B434" s="4"/>
      <c r="C434" s="4"/>
      <c r="D434" s="4"/>
      <c r="E434" s="4" t="str">
        <f ca="1">IFERROR(_xludf.XLOOKUP(A434,Milestones!$A$2:$A$501,Milestones!$M$2:$M$501),"")</f>
        <v/>
      </c>
      <c r="F434" s="4" t="str">
        <f t="shared" ca="1" si="24"/>
        <v/>
      </c>
      <c r="G434" s="4" t="str">
        <f t="shared" si="25"/>
        <v/>
      </c>
      <c r="H434" s="4" t="str">
        <f>IF(A434="","",SUMIF(Wyniki!$C$2:$C$501,A434,Wyniki!$O$2:$O$501))</f>
        <v/>
      </c>
      <c r="I434" s="4" t="str">
        <f t="shared" si="26"/>
        <v/>
      </c>
      <c r="J434" s="4" t="str">
        <f t="shared" si="27"/>
        <v/>
      </c>
    </row>
    <row r="435" spans="1:10" x14ac:dyDescent="0.25">
      <c r="A435" s="4"/>
      <c r="B435" s="4"/>
      <c r="C435" s="4"/>
      <c r="D435" s="4"/>
      <c r="E435" s="4" t="str">
        <f ca="1">IFERROR(_xludf.XLOOKUP(A435,Milestones!$A$2:$A$501,Milestones!$M$2:$M$501),"")</f>
        <v/>
      </c>
      <c r="F435" s="4" t="str">
        <f t="shared" ca="1" si="24"/>
        <v/>
      </c>
      <c r="G435" s="4" t="str">
        <f t="shared" si="25"/>
        <v/>
      </c>
      <c r="H435" s="4" t="str">
        <f>IF(A435="","",SUMIF(Wyniki!$C$2:$C$501,A435,Wyniki!$O$2:$O$501))</f>
        <v/>
      </c>
      <c r="I435" s="4" t="str">
        <f t="shared" si="26"/>
        <v/>
      </c>
      <c r="J435" s="4" t="str">
        <f t="shared" si="27"/>
        <v/>
      </c>
    </row>
    <row r="436" spans="1:10" x14ac:dyDescent="0.25">
      <c r="A436" s="4"/>
      <c r="B436" s="4"/>
      <c r="C436" s="4"/>
      <c r="D436" s="4"/>
      <c r="E436" s="4" t="str">
        <f ca="1">IFERROR(_xludf.XLOOKUP(A436,Milestones!$A$2:$A$501,Milestones!$M$2:$M$501),"")</f>
        <v/>
      </c>
      <c r="F436" s="4" t="str">
        <f t="shared" ca="1" si="24"/>
        <v/>
      </c>
      <c r="G436" s="4" t="str">
        <f t="shared" si="25"/>
        <v/>
      </c>
      <c r="H436" s="4" t="str">
        <f>IF(A436="","",SUMIF(Wyniki!$C$2:$C$501,A436,Wyniki!$O$2:$O$501))</f>
        <v/>
      </c>
      <c r="I436" s="4" t="str">
        <f t="shared" si="26"/>
        <v/>
      </c>
      <c r="J436" s="4" t="str">
        <f t="shared" si="27"/>
        <v/>
      </c>
    </row>
    <row r="437" spans="1:10" x14ac:dyDescent="0.25">
      <c r="A437" s="4"/>
      <c r="B437" s="4"/>
      <c r="C437" s="4"/>
      <c r="D437" s="4"/>
      <c r="E437" s="4" t="str">
        <f ca="1">IFERROR(_xludf.XLOOKUP(A437,Milestones!$A$2:$A$501,Milestones!$M$2:$M$501),"")</f>
        <v/>
      </c>
      <c r="F437" s="4" t="str">
        <f t="shared" ca="1" si="24"/>
        <v/>
      </c>
      <c r="G437" s="4" t="str">
        <f t="shared" si="25"/>
        <v/>
      </c>
      <c r="H437" s="4" t="str">
        <f>IF(A437="","",SUMIF(Wyniki!$C$2:$C$501,A437,Wyniki!$O$2:$O$501))</f>
        <v/>
      </c>
      <c r="I437" s="4" t="str">
        <f t="shared" si="26"/>
        <v/>
      </c>
      <c r="J437" s="4" t="str">
        <f t="shared" si="27"/>
        <v/>
      </c>
    </row>
    <row r="438" spans="1:10" x14ac:dyDescent="0.25">
      <c r="A438" s="4"/>
      <c r="B438" s="4"/>
      <c r="C438" s="4"/>
      <c r="D438" s="4"/>
      <c r="E438" s="4" t="str">
        <f ca="1">IFERROR(_xludf.XLOOKUP(A438,Milestones!$A$2:$A$501,Milestones!$M$2:$M$501),"")</f>
        <v/>
      </c>
      <c r="F438" s="4" t="str">
        <f t="shared" ca="1" si="24"/>
        <v/>
      </c>
      <c r="G438" s="4" t="str">
        <f t="shared" si="25"/>
        <v/>
      </c>
      <c r="H438" s="4" t="str">
        <f>IF(A438="","",SUMIF(Wyniki!$C$2:$C$501,A438,Wyniki!$O$2:$O$501))</f>
        <v/>
      </c>
      <c r="I438" s="4" t="str">
        <f t="shared" si="26"/>
        <v/>
      </c>
      <c r="J438" s="4" t="str">
        <f t="shared" si="27"/>
        <v/>
      </c>
    </row>
    <row r="439" spans="1:10" x14ac:dyDescent="0.25">
      <c r="A439" s="4"/>
      <c r="B439" s="4"/>
      <c r="C439" s="4"/>
      <c r="D439" s="4"/>
      <c r="E439" s="4" t="str">
        <f ca="1">IFERROR(_xludf.XLOOKUP(A439,Milestones!$A$2:$A$501,Milestones!$M$2:$M$501),"")</f>
        <v/>
      </c>
      <c r="F439" s="4" t="str">
        <f t="shared" ca="1" si="24"/>
        <v/>
      </c>
      <c r="G439" s="4" t="str">
        <f t="shared" si="25"/>
        <v/>
      </c>
      <c r="H439" s="4" t="str">
        <f>IF(A439="","",SUMIF(Wyniki!$C$2:$C$501,A439,Wyniki!$O$2:$O$501))</f>
        <v/>
      </c>
      <c r="I439" s="4" t="str">
        <f t="shared" si="26"/>
        <v/>
      </c>
      <c r="J439" s="4" t="str">
        <f t="shared" si="27"/>
        <v/>
      </c>
    </row>
    <row r="440" spans="1:10" x14ac:dyDescent="0.25">
      <c r="A440" s="4"/>
      <c r="B440" s="4"/>
      <c r="C440" s="4"/>
      <c r="D440" s="4"/>
      <c r="E440" s="4" t="str">
        <f ca="1">IFERROR(_xludf.XLOOKUP(A440,Milestones!$A$2:$A$501,Milestones!$M$2:$M$501),"")</f>
        <v/>
      </c>
      <c r="F440" s="4" t="str">
        <f t="shared" ca="1" si="24"/>
        <v/>
      </c>
      <c r="G440" s="4" t="str">
        <f t="shared" si="25"/>
        <v/>
      </c>
      <c r="H440" s="4" t="str">
        <f>IF(A440="","",SUMIF(Wyniki!$C$2:$C$501,A440,Wyniki!$O$2:$O$501))</f>
        <v/>
      </c>
      <c r="I440" s="4" t="str">
        <f t="shared" si="26"/>
        <v/>
      </c>
      <c r="J440" s="4" t="str">
        <f t="shared" si="27"/>
        <v/>
      </c>
    </row>
    <row r="441" spans="1:10" x14ac:dyDescent="0.25">
      <c r="A441" s="4"/>
      <c r="B441" s="4"/>
      <c r="C441" s="4"/>
      <c r="D441" s="4"/>
      <c r="E441" s="4" t="str">
        <f ca="1">IFERROR(_xludf.XLOOKUP(A441,Milestones!$A$2:$A$501,Milestones!$M$2:$M$501),"")</f>
        <v/>
      </c>
      <c r="F441" s="4" t="str">
        <f t="shared" ca="1" si="24"/>
        <v/>
      </c>
      <c r="G441" s="4" t="str">
        <f t="shared" si="25"/>
        <v/>
      </c>
      <c r="H441" s="4" t="str">
        <f>IF(A441="","",SUMIF(Wyniki!$C$2:$C$501,A441,Wyniki!$O$2:$O$501))</f>
        <v/>
      </c>
      <c r="I441" s="4" t="str">
        <f t="shared" si="26"/>
        <v/>
      </c>
      <c r="J441" s="4" t="str">
        <f t="shared" si="27"/>
        <v/>
      </c>
    </row>
    <row r="442" spans="1:10" x14ac:dyDescent="0.25">
      <c r="A442" s="4"/>
      <c r="B442" s="4"/>
      <c r="C442" s="4"/>
      <c r="D442" s="4"/>
      <c r="E442" s="4" t="str">
        <f ca="1">IFERROR(_xludf.XLOOKUP(A442,Milestones!$A$2:$A$501,Milestones!$M$2:$M$501),"")</f>
        <v/>
      </c>
      <c r="F442" s="4" t="str">
        <f t="shared" ca="1" si="24"/>
        <v/>
      </c>
      <c r="G442" s="4" t="str">
        <f t="shared" si="25"/>
        <v/>
      </c>
      <c r="H442" s="4" t="str">
        <f>IF(A442="","",SUMIF(Wyniki!$C$2:$C$501,A442,Wyniki!$O$2:$O$501))</f>
        <v/>
      </c>
      <c r="I442" s="4" t="str">
        <f t="shared" si="26"/>
        <v/>
      </c>
      <c r="J442" s="4" t="str">
        <f t="shared" si="27"/>
        <v/>
      </c>
    </row>
    <row r="443" spans="1:10" x14ac:dyDescent="0.25">
      <c r="A443" s="4"/>
      <c r="B443" s="4"/>
      <c r="C443" s="4"/>
      <c r="D443" s="4"/>
      <c r="E443" s="4" t="str">
        <f ca="1">IFERROR(_xludf.XLOOKUP(A443,Milestones!$A$2:$A$501,Milestones!$M$2:$M$501),"")</f>
        <v/>
      </c>
      <c r="F443" s="4" t="str">
        <f t="shared" ca="1" si="24"/>
        <v/>
      </c>
      <c r="G443" s="4" t="str">
        <f t="shared" si="25"/>
        <v/>
      </c>
      <c r="H443" s="4" t="str">
        <f>IF(A443="","",SUMIF(Wyniki!$C$2:$C$501,A443,Wyniki!$O$2:$O$501))</f>
        <v/>
      </c>
      <c r="I443" s="4" t="str">
        <f t="shared" si="26"/>
        <v/>
      </c>
      <c r="J443" s="4" t="str">
        <f t="shared" si="27"/>
        <v/>
      </c>
    </row>
    <row r="444" spans="1:10" x14ac:dyDescent="0.25">
      <c r="A444" s="4"/>
      <c r="B444" s="4"/>
      <c r="C444" s="4"/>
      <c r="D444" s="4"/>
      <c r="E444" s="4" t="str">
        <f ca="1">IFERROR(_xludf.XLOOKUP(A444,Milestones!$A$2:$A$501,Milestones!$M$2:$M$501),"")</f>
        <v/>
      </c>
      <c r="F444" s="4" t="str">
        <f t="shared" ca="1" si="24"/>
        <v/>
      </c>
      <c r="G444" s="4" t="str">
        <f t="shared" si="25"/>
        <v/>
      </c>
      <c r="H444" s="4" t="str">
        <f>IF(A444="","",SUMIF(Wyniki!$C$2:$C$501,A444,Wyniki!$O$2:$O$501))</f>
        <v/>
      </c>
      <c r="I444" s="4" t="str">
        <f t="shared" si="26"/>
        <v/>
      </c>
      <c r="J444" s="4" t="str">
        <f t="shared" si="27"/>
        <v/>
      </c>
    </row>
    <row r="445" spans="1:10" x14ac:dyDescent="0.25">
      <c r="A445" s="4"/>
      <c r="B445" s="4"/>
      <c r="C445" s="4"/>
      <c r="D445" s="4"/>
      <c r="E445" s="4" t="str">
        <f ca="1">IFERROR(_xludf.XLOOKUP(A445,Milestones!$A$2:$A$501,Milestones!$M$2:$M$501),"")</f>
        <v/>
      </c>
      <c r="F445" s="4" t="str">
        <f t="shared" ca="1" si="24"/>
        <v/>
      </c>
      <c r="G445" s="4" t="str">
        <f t="shared" si="25"/>
        <v/>
      </c>
      <c r="H445" s="4" t="str">
        <f>IF(A445="","",SUMIF(Wyniki!$C$2:$C$501,A445,Wyniki!$O$2:$O$501))</f>
        <v/>
      </c>
      <c r="I445" s="4" t="str">
        <f t="shared" si="26"/>
        <v/>
      </c>
      <c r="J445" s="4" t="str">
        <f t="shared" si="27"/>
        <v/>
      </c>
    </row>
    <row r="446" spans="1:10" x14ac:dyDescent="0.25">
      <c r="A446" s="4"/>
      <c r="B446" s="4"/>
      <c r="C446" s="4"/>
      <c r="D446" s="4"/>
      <c r="E446" s="4" t="str">
        <f ca="1">IFERROR(_xludf.XLOOKUP(A446,Milestones!$A$2:$A$501,Milestones!$M$2:$M$501),"")</f>
        <v/>
      </c>
      <c r="F446" s="4" t="str">
        <f t="shared" ca="1" si="24"/>
        <v/>
      </c>
      <c r="G446" s="4" t="str">
        <f t="shared" si="25"/>
        <v/>
      </c>
      <c r="H446" s="4" t="str">
        <f>IF(A446="","",SUMIF(Wyniki!$C$2:$C$501,A446,Wyniki!$O$2:$O$501))</f>
        <v/>
      </c>
      <c r="I446" s="4" t="str">
        <f t="shared" si="26"/>
        <v/>
      </c>
      <c r="J446" s="4" t="str">
        <f t="shared" si="27"/>
        <v/>
      </c>
    </row>
    <row r="447" spans="1:10" x14ac:dyDescent="0.25">
      <c r="A447" s="4"/>
      <c r="B447" s="4"/>
      <c r="C447" s="4"/>
      <c r="D447" s="4"/>
      <c r="E447" s="4" t="str">
        <f ca="1">IFERROR(_xludf.XLOOKUP(A447,Milestones!$A$2:$A$501,Milestones!$M$2:$M$501),"")</f>
        <v/>
      </c>
      <c r="F447" s="4" t="str">
        <f t="shared" ca="1" si="24"/>
        <v/>
      </c>
      <c r="G447" s="4" t="str">
        <f t="shared" si="25"/>
        <v/>
      </c>
      <c r="H447" s="4" t="str">
        <f>IF(A447="","",SUMIF(Wyniki!$C$2:$C$501,A447,Wyniki!$O$2:$O$501))</f>
        <v/>
      </c>
      <c r="I447" s="4" t="str">
        <f t="shared" si="26"/>
        <v/>
      </c>
      <c r="J447" s="4" t="str">
        <f t="shared" si="27"/>
        <v/>
      </c>
    </row>
    <row r="448" spans="1:10" x14ac:dyDescent="0.25">
      <c r="A448" s="4"/>
      <c r="B448" s="4"/>
      <c r="C448" s="4"/>
      <c r="D448" s="4"/>
      <c r="E448" s="4" t="str">
        <f ca="1">IFERROR(_xludf.XLOOKUP(A448,Milestones!$A$2:$A$501,Milestones!$M$2:$M$501),"")</f>
        <v/>
      </c>
      <c r="F448" s="4" t="str">
        <f t="shared" ca="1" si="24"/>
        <v/>
      </c>
      <c r="G448" s="4" t="str">
        <f t="shared" si="25"/>
        <v/>
      </c>
      <c r="H448" s="4" t="str">
        <f>IF(A448="","",SUMIF(Wyniki!$C$2:$C$501,A448,Wyniki!$O$2:$O$501))</f>
        <v/>
      </c>
      <c r="I448" s="4" t="str">
        <f t="shared" si="26"/>
        <v/>
      </c>
      <c r="J448" s="4" t="str">
        <f t="shared" si="27"/>
        <v/>
      </c>
    </row>
    <row r="449" spans="1:10" x14ac:dyDescent="0.25">
      <c r="A449" s="4"/>
      <c r="B449" s="4"/>
      <c r="C449" s="4"/>
      <c r="D449" s="4"/>
      <c r="E449" s="4" t="str">
        <f ca="1">IFERROR(_xludf.XLOOKUP(A449,Milestones!$A$2:$A$501,Milestones!$M$2:$M$501),"")</f>
        <v/>
      </c>
      <c r="F449" s="4" t="str">
        <f t="shared" ca="1" si="24"/>
        <v/>
      </c>
      <c r="G449" s="4" t="str">
        <f t="shared" si="25"/>
        <v/>
      </c>
      <c r="H449" s="4" t="str">
        <f>IF(A449="","",SUMIF(Wyniki!$C$2:$C$501,A449,Wyniki!$O$2:$O$501))</f>
        <v/>
      </c>
      <c r="I449" s="4" t="str">
        <f t="shared" si="26"/>
        <v/>
      </c>
      <c r="J449" s="4" t="str">
        <f t="shared" si="27"/>
        <v/>
      </c>
    </row>
    <row r="450" spans="1:10" x14ac:dyDescent="0.25">
      <c r="A450" s="4"/>
      <c r="B450" s="4"/>
      <c r="C450" s="4"/>
      <c r="D450" s="4"/>
      <c r="E450" s="4" t="str">
        <f ca="1">IFERROR(_xludf.XLOOKUP(A450,Milestones!$A$2:$A$501,Milestones!$M$2:$M$501),"")</f>
        <v/>
      </c>
      <c r="F450" s="4" t="str">
        <f t="shared" ref="F450:F501" ca="1" si="28">IF(E450="","",MIN(E450,1))</f>
        <v/>
      </c>
      <c r="G450" s="4" t="str">
        <f t="shared" ref="G450:G501" si="29">IF(D450="","",ROUNDDOWN(D450*F450,2))</f>
        <v/>
      </c>
      <c r="H450" s="4" t="str">
        <f>IF(A450="","",SUMIF(Wyniki!$C$2:$C$501,A450,Wyniki!$O$2:$O$501))</f>
        <v/>
      </c>
      <c r="I450" s="4" t="str">
        <f t="shared" ref="I450:I501" si="30">IF(G450="","",MAX(0,G450-H450))</f>
        <v/>
      </c>
      <c r="J450" s="4" t="str">
        <f t="shared" ref="J450:J501" si="31">IF(A450="","",IF(H450&lt;=G450,"OK","NIE"))</f>
        <v/>
      </c>
    </row>
    <row r="451" spans="1:10" x14ac:dyDescent="0.25">
      <c r="A451" s="4"/>
      <c r="B451" s="4"/>
      <c r="C451" s="4"/>
      <c r="D451" s="4"/>
      <c r="E451" s="4" t="str">
        <f ca="1">IFERROR(_xludf.XLOOKUP(A451,Milestones!$A$2:$A$501,Milestones!$M$2:$M$501),"")</f>
        <v/>
      </c>
      <c r="F451" s="4" t="str">
        <f t="shared" ca="1" si="28"/>
        <v/>
      </c>
      <c r="G451" s="4" t="str">
        <f t="shared" si="29"/>
        <v/>
      </c>
      <c r="H451" s="4" t="str">
        <f>IF(A451="","",SUMIF(Wyniki!$C$2:$C$501,A451,Wyniki!$O$2:$O$501))</f>
        <v/>
      </c>
      <c r="I451" s="4" t="str">
        <f t="shared" si="30"/>
        <v/>
      </c>
      <c r="J451" s="4" t="str">
        <f t="shared" si="31"/>
        <v/>
      </c>
    </row>
    <row r="452" spans="1:10" x14ac:dyDescent="0.25">
      <c r="A452" s="4"/>
      <c r="B452" s="4"/>
      <c r="C452" s="4"/>
      <c r="D452" s="4"/>
      <c r="E452" s="4" t="str">
        <f ca="1">IFERROR(_xludf.XLOOKUP(A452,Milestones!$A$2:$A$501,Milestones!$M$2:$M$501),"")</f>
        <v/>
      </c>
      <c r="F452" s="4" t="str">
        <f t="shared" ca="1" si="28"/>
        <v/>
      </c>
      <c r="G452" s="4" t="str">
        <f t="shared" si="29"/>
        <v/>
      </c>
      <c r="H452" s="4" t="str">
        <f>IF(A452="","",SUMIF(Wyniki!$C$2:$C$501,A452,Wyniki!$O$2:$O$501))</f>
        <v/>
      </c>
      <c r="I452" s="4" t="str">
        <f t="shared" si="30"/>
        <v/>
      </c>
      <c r="J452" s="4" t="str">
        <f t="shared" si="31"/>
        <v/>
      </c>
    </row>
    <row r="453" spans="1:10" x14ac:dyDescent="0.25">
      <c r="A453" s="4"/>
      <c r="B453" s="4"/>
      <c r="C453" s="4"/>
      <c r="D453" s="4"/>
      <c r="E453" s="4" t="str">
        <f ca="1">IFERROR(_xludf.XLOOKUP(A453,Milestones!$A$2:$A$501,Milestones!$M$2:$M$501),"")</f>
        <v/>
      </c>
      <c r="F453" s="4" t="str">
        <f t="shared" ca="1" si="28"/>
        <v/>
      </c>
      <c r="G453" s="4" t="str">
        <f t="shared" si="29"/>
        <v/>
      </c>
      <c r="H453" s="4" t="str">
        <f>IF(A453="","",SUMIF(Wyniki!$C$2:$C$501,A453,Wyniki!$O$2:$O$501))</f>
        <v/>
      </c>
      <c r="I453" s="4" t="str">
        <f t="shared" si="30"/>
        <v/>
      </c>
      <c r="J453" s="4" t="str">
        <f t="shared" si="31"/>
        <v/>
      </c>
    </row>
    <row r="454" spans="1:10" x14ac:dyDescent="0.25">
      <c r="A454" s="4"/>
      <c r="B454" s="4"/>
      <c r="C454" s="4"/>
      <c r="D454" s="4"/>
      <c r="E454" s="4" t="str">
        <f ca="1">IFERROR(_xludf.XLOOKUP(A454,Milestones!$A$2:$A$501,Milestones!$M$2:$M$501),"")</f>
        <v/>
      </c>
      <c r="F454" s="4" t="str">
        <f t="shared" ca="1" si="28"/>
        <v/>
      </c>
      <c r="G454" s="4" t="str">
        <f t="shared" si="29"/>
        <v/>
      </c>
      <c r="H454" s="4" t="str">
        <f>IF(A454="","",SUMIF(Wyniki!$C$2:$C$501,A454,Wyniki!$O$2:$O$501))</f>
        <v/>
      </c>
      <c r="I454" s="4" t="str">
        <f t="shared" si="30"/>
        <v/>
      </c>
      <c r="J454" s="4" t="str">
        <f t="shared" si="31"/>
        <v/>
      </c>
    </row>
    <row r="455" spans="1:10" x14ac:dyDescent="0.25">
      <c r="A455" s="4"/>
      <c r="B455" s="4"/>
      <c r="C455" s="4"/>
      <c r="D455" s="4"/>
      <c r="E455" s="4" t="str">
        <f ca="1">IFERROR(_xludf.XLOOKUP(A455,Milestones!$A$2:$A$501,Milestones!$M$2:$M$501),"")</f>
        <v/>
      </c>
      <c r="F455" s="4" t="str">
        <f t="shared" ca="1" si="28"/>
        <v/>
      </c>
      <c r="G455" s="4" t="str">
        <f t="shared" si="29"/>
        <v/>
      </c>
      <c r="H455" s="4" t="str">
        <f>IF(A455="","",SUMIF(Wyniki!$C$2:$C$501,A455,Wyniki!$O$2:$O$501))</f>
        <v/>
      </c>
      <c r="I455" s="4" t="str">
        <f t="shared" si="30"/>
        <v/>
      </c>
      <c r="J455" s="4" t="str">
        <f t="shared" si="31"/>
        <v/>
      </c>
    </row>
    <row r="456" spans="1:10" x14ac:dyDescent="0.25">
      <c r="A456" s="4"/>
      <c r="B456" s="4"/>
      <c r="C456" s="4"/>
      <c r="D456" s="4"/>
      <c r="E456" s="4" t="str">
        <f ca="1">IFERROR(_xludf.XLOOKUP(A456,Milestones!$A$2:$A$501,Milestones!$M$2:$M$501),"")</f>
        <v/>
      </c>
      <c r="F456" s="4" t="str">
        <f t="shared" ca="1" si="28"/>
        <v/>
      </c>
      <c r="G456" s="4" t="str">
        <f t="shared" si="29"/>
        <v/>
      </c>
      <c r="H456" s="4" t="str">
        <f>IF(A456="","",SUMIF(Wyniki!$C$2:$C$501,A456,Wyniki!$O$2:$O$501))</f>
        <v/>
      </c>
      <c r="I456" s="4" t="str">
        <f t="shared" si="30"/>
        <v/>
      </c>
      <c r="J456" s="4" t="str">
        <f t="shared" si="31"/>
        <v/>
      </c>
    </row>
    <row r="457" spans="1:10" x14ac:dyDescent="0.25">
      <c r="A457" s="4"/>
      <c r="B457" s="4"/>
      <c r="C457" s="4"/>
      <c r="D457" s="4"/>
      <c r="E457" s="4" t="str">
        <f ca="1">IFERROR(_xludf.XLOOKUP(A457,Milestones!$A$2:$A$501,Milestones!$M$2:$M$501),"")</f>
        <v/>
      </c>
      <c r="F457" s="4" t="str">
        <f t="shared" ca="1" si="28"/>
        <v/>
      </c>
      <c r="G457" s="4" t="str">
        <f t="shared" si="29"/>
        <v/>
      </c>
      <c r="H457" s="4" t="str">
        <f>IF(A457="","",SUMIF(Wyniki!$C$2:$C$501,A457,Wyniki!$O$2:$O$501))</f>
        <v/>
      </c>
      <c r="I457" s="4" t="str">
        <f t="shared" si="30"/>
        <v/>
      </c>
      <c r="J457" s="4" t="str">
        <f t="shared" si="31"/>
        <v/>
      </c>
    </row>
    <row r="458" spans="1:10" x14ac:dyDescent="0.25">
      <c r="A458" s="4"/>
      <c r="B458" s="4"/>
      <c r="C458" s="4"/>
      <c r="D458" s="4"/>
      <c r="E458" s="4" t="str">
        <f ca="1">IFERROR(_xludf.XLOOKUP(A458,Milestones!$A$2:$A$501,Milestones!$M$2:$M$501),"")</f>
        <v/>
      </c>
      <c r="F458" s="4" t="str">
        <f t="shared" ca="1" si="28"/>
        <v/>
      </c>
      <c r="G458" s="4" t="str">
        <f t="shared" si="29"/>
        <v/>
      </c>
      <c r="H458" s="4" t="str">
        <f>IF(A458="","",SUMIF(Wyniki!$C$2:$C$501,A458,Wyniki!$O$2:$O$501))</f>
        <v/>
      </c>
      <c r="I458" s="4" t="str">
        <f t="shared" si="30"/>
        <v/>
      </c>
      <c r="J458" s="4" t="str">
        <f t="shared" si="31"/>
        <v/>
      </c>
    </row>
    <row r="459" spans="1:10" x14ac:dyDescent="0.25">
      <c r="A459" s="4"/>
      <c r="B459" s="4"/>
      <c r="C459" s="4"/>
      <c r="D459" s="4"/>
      <c r="E459" s="4" t="str">
        <f ca="1">IFERROR(_xludf.XLOOKUP(A459,Milestones!$A$2:$A$501,Milestones!$M$2:$M$501),"")</f>
        <v/>
      </c>
      <c r="F459" s="4" t="str">
        <f t="shared" ca="1" si="28"/>
        <v/>
      </c>
      <c r="G459" s="4" t="str">
        <f t="shared" si="29"/>
        <v/>
      </c>
      <c r="H459" s="4" t="str">
        <f>IF(A459="","",SUMIF(Wyniki!$C$2:$C$501,A459,Wyniki!$O$2:$O$501))</f>
        <v/>
      </c>
      <c r="I459" s="4" t="str">
        <f t="shared" si="30"/>
        <v/>
      </c>
      <c r="J459" s="4" t="str">
        <f t="shared" si="31"/>
        <v/>
      </c>
    </row>
    <row r="460" spans="1:10" x14ac:dyDescent="0.25">
      <c r="A460" s="4"/>
      <c r="B460" s="4"/>
      <c r="C460" s="4"/>
      <c r="D460" s="4"/>
      <c r="E460" s="4" t="str">
        <f ca="1">IFERROR(_xludf.XLOOKUP(A460,Milestones!$A$2:$A$501,Milestones!$M$2:$M$501),"")</f>
        <v/>
      </c>
      <c r="F460" s="4" t="str">
        <f t="shared" ca="1" si="28"/>
        <v/>
      </c>
      <c r="G460" s="4" t="str">
        <f t="shared" si="29"/>
        <v/>
      </c>
      <c r="H460" s="4" t="str">
        <f>IF(A460="","",SUMIF(Wyniki!$C$2:$C$501,A460,Wyniki!$O$2:$O$501))</f>
        <v/>
      </c>
      <c r="I460" s="4" t="str">
        <f t="shared" si="30"/>
        <v/>
      </c>
      <c r="J460" s="4" t="str">
        <f t="shared" si="31"/>
        <v/>
      </c>
    </row>
    <row r="461" spans="1:10" x14ac:dyDescent="0.25">
      <c r="A461" s="4"/>
      <c r="B461" s="4"/>
      <c r="C461" s="4"/>
      <c r="D461" s="4"/>
      <c r="E461" s="4" t="str">
        <f ca="1">IFERROR(_xludf.XLOOKUP(A461,Milestones!$A$2:$A$501,Milestones!$M$2:$M$501),"")</f>
        <v/>
      </c>
      <c r="F461" s="4" t="str">
        <f t="shared" ca="1" si="28"/>
        <v/>
      </c>
      <c r="G461" s="4" t="str">
        <f t="shared" si="29"/>
        <v/>
      </c>
      <c r="H461" s="4" t="str">
        <f>IF(A461="","",SUMIF(Wyniki!$C$2:$C$501,A461,Wyniki!$O$2:$O$501))</f>
        <v/>
      </c>
      <c r="I461" s="4" t="str">
        <f t="shared" si="30"/>
        <v/>
      </c>
      <c r="J461" s="4" t="str">
        <f t="shared" si="31"/>
        <v/>
      </c>
    </row>
    <row r="462" spans="1:10" x14ac:dyDescent="0.25">
      <c r="A462" s="4"/>
      <c r="B462" s="4"/>
      <c r="C462" s="4"/>
      <c r="D462" s="4"/>
      <c r="E462" s="4" t="str">
        <f ca="1">IFERROR(_xludf.XLOOKUP(A462,Milestones!$A$2:$A$501,Milestones!$M$2:$M$501),"")</f>
        <v/>
      </c>
      <c r="F462" s="4" t="str">
        <f t="shared" ca="1" si="28"/>
        <v/>
      </c>
      <c r="G462" s="4" t="str">
        <f t="shared" si="29"/>
        <v/>
      </c>
      <c r="H462" s="4" t="str">
        <f>IF(A462="","",SUMIF(Wyniki!$C$2:$C$501,A462,Wyniki!$O$2:$O$501))</f>
        <v/>
      </c>
      <c r="I462" s="4" t="str">
        <f t="shared" si="30"/>
        <v/>
      </c>
      <c r="J462" s="4" t="str">
        <f t="shared" si="31"/>
        <v/>
      </c>
    </row>
    <row r="463" spans="1:10" x14ac:dyDescent="0.25">
      <c r="A463" s="4"/>
      <c r="B463" s="4"/>
      <c r="C463" s="4"/>
      <c r="D463" s="4"/>
      <c r="E463" s="4" t="str">
        <f ca="1">IFERROR(_xludf.XLOOKUP(A463,Milestones!$A$2:$A$501,Milestones!$M$2:$M$501),"")</f>
        <v/>
      </c>
      <c r="F463" s="4" t="str">
        <f t="shared" ca="1" si="28"/>
        <v/>
      </c>
      <c r="G463" s="4" t="str">
        <f t="shared" si="29"/>
        <v/>
      </c>
      <c r="H463" s="4" t="str">
        <f>IF(A463="","",SUMIF(Wyniki!$C$2:$C$501,A463,Wyniki!$O$2:$O$501))</f>
        <v/>
      </c>
      <c r="I463" s="4" t="str">
        <f t="shared" si="30"/>
        <v/>
      </c>
      <c r="J463" s="4" t="str">
        <f t="shared" si="31"/>
        <v/>
      </c>
    </row>
    <row r="464" spans="1:10" x14ac:dyDescent="0.25">
      <c r="A464" s="4"/>
      <c r="B464" s="4"/>
      <c r="C464" s="4"/>
      <c r="D464" s="4"/>
      <c r="E464" s="4" t="str">
        <f ca="1">IFERROR(_xludf.XLOOKUP(A464,Milestones!$A$2:$A$501,Milestones!$M$2:$M$501),"")</f>
        <v/>
      </c>
      <c r="F464" s="4" t="str">
        <f t="shared" ca="1" si="28"/>
        <v/>
      </c>
      <c r="G464" s="4" t="str">
        <f t="shared" si="29"/>
        <v/>
      </c>
      <c r="H464" s="4" t="str">
        <f>IF(A464="","",SUMIF(Wyniki!$C$2:$C$501,A464,Wyniki!$O$2:$O$501))</f>
        <v/>
      </c>
      <c r="I464" s="4" t="str">
        <f t="shared" si="30"/>
        <v/>
      </c>
      <c r="J464" s="4" t="str">
        <f t="shared" si="31"/>
        <v/>
      </c>
    </row>
    <row r="465" spans="1:10" x14ac:dyDescent="0.25">
      <c r="A465" s="4"/>
      <c r="B465" s="4"/>
      <c r="C465" s="4"/>
      <c r="D465" s="4"/>
      <c r="E465" s="4" t="str">
        <f ca="1">IFERROR(_xludf.XLOOKUP(A465,Milestones!$A$2:$A$501,Milestones!$M$2:$M$501),"")</f>
        <v/>
      </c>
      <c r="F465" s="4" t="str">
        <f t="shared" ca="1" si="28"/>
        <v/>
      </c>
      <c r="G465" s="4" t="str">
        <f t="shared" si="29"/>
        <v/>
      </c>
      <c r="H465" s="4" t="str">
        <f>IF(A465="","",SUMIF(Wyniki!$C$2:$C$501,A465,Wyniki!$O$2:$O$501))</f>
        <v/>
      </c>
      <c r="I465" s="4" t="str">
        <f t="shared" si="30"/>
        <v/>
      </c>
      <c r="J465" s="4" t="str">
        <f t="shared" si="31"/>
        <v/>
      </c>
    </row>
    <row r="466" spans="1:10" x14ac:dyDescent="0.25">
      <c r="A466" s="4"/>
      <c r="B466" s="4"/>
      <c r="C466" s="4"/>
      <c r="D466" s="4"/>
      <c r="E466" s="4" t="str">
        <f ca="1">IFERROR(_xludf.XLOOKUP(A466,Milestones!$A$2:$A$501,Milestones!$M$2:$M$501),"")</f>
        <v/>
      </c>
      <c r="F466" s="4" t="str">
        <f t="shared" ca="1" si="28"/>
        <v/>
      </c>
      <c r="G466" s="4" t="str">
        <f t="shared" si="29"/>
        <v/>
      </c>
      <c r="H466" s="4" t="str">
        <f>IF(A466="","",SUMIF(Wyniki!$C$2:$C$501,A466,Wyniki!$O$2:$O$501))</f>
        <v/>
      </c>
      <c r="I466" s="4" t="str">
        <f t="shared" si="30"/>
        <v/>
      </c>
      <c r="J466" s="4" t="str">
        <f t="shared" si="31"/>
        <v/>
      </c>
    </row>
    <row r="467" spans="1:10" x14ac:dyDescent="0.25">
      <c r="A467" s="4"/>
      <c r="B467" s="4"/>
      <c r="C467" s="4"/>
      <c r="D467" s="4"/>
      <c r="E467" s="4" t="str">
        <f ca="1">IFERROR(_xludf.XLOOKUP(A467,Milestones!$A$2:$A$501,Milestones!$M$2:$M$501),"")</f>
        <v/>
      </c>
      <c r="F467" s="4" t="str">
        <f t="shared" ca="1" si="28"/>
        <v/>
      </c>
      <c r="G467" s="4" t="str">
        <f t="shared" si="29"/>
        <v/>
      </c>
      <c r="H467" s="4" t="str">
        <f>IF(A467="","",SUMIF(Wyniki!$C$2:$C$501,A467,Wyniki!$O$2:$O$501))</f>
        <v/>
      </c>
      <c r="I467" s="4" t="str">
        <f t="shared" si="30"/>
        <v/>
      </c>
      <c r="J467" s="4" t="str">
        <f t="shared" si="31"/>
        <v/>
      </c>
    </row>
    <row r="468" spans="1:10" x14ac:dyDescent="0.25">
      <c r="A468" s="4"/>
      <c r="B468" s="4"/>
      <c r="C468" s="4"/>
      <c r="D468" s="4"/>
      <c r="E468" s="4" t="str">
        <f ca="1">IFERROR(_xludf.XLOOKUP(A468,Milestones!$A$2:$A$501,Milestones!$M$2:$M$501),"")</f>
        <v/>
      </c>
      <c r="F468" s="4" t="str">
        <f t="shared" ca="1" si="28"/>
        <v/>
      </c>
      <c r="G468" s="4" t="str">
        <f t="shared" si="29"/>
        <v/>
      </c>
      <c r="H468" s="4" t="str">
        <f>IF(A468="","",SUMIF(Wyniki!$C$2:$C$501,A468,Wyniki!$O$2:$O$501))</f>
        <v/>
      </c>
      <c r="I468" s="4" t="str">
        <f t="shared" si="30"/>
        <v/>
      </c>
      <c r="J468" s="4" t="str">
        <f t="shared" si="31"/>
        <v/>
      </c>
    </row>
    <row r="469" spans="1:10" x14ac:dyDescent="0.25">
      <c r="A469" s="4"/>
      <c r="B469" s="4"/>
      <c r="C469" s="4"/>
      <c r="D469" s="4"/>
      <c r="E469" s="4" t="str">
        <f ca="1">IFERROR(_xludf.XLOOKUP(A469,Milestones!$A$2:$A$501,Milestones!$M$2:$M$501),"")</f>
        <v/>
      </c>
      <c r="F469" s="4" t="str">
        <f t="shared" ca="1" si="28"/>
        <v/>
      </c>
      <c r="G469" s="4" t="str">
        <f t="shared" si="29"/>
        <v/>
      </c>
      <c r="H469" s="4" t="str">
        <f>IF(A469="","",SUMIF(Wyniki!$C$2:$C$501,A469,Wyniki!$O$2:$O$501))</f>
        <v/>
      </c>
      <c r="I469" s="4" t="str">
        <f t="shared" si="30"/>
        <v/>
      </c>
      <c r="J469" s="4" t="str">
        <f t="shared" si="31"/>
        <v/>
      </c>
    </row>
    <row r="470" spans="1:10" x14ac:dyDescent="0.25">
      <c r="A470" s="4"/>
      <c r="B470" s="4"/>
      <c r="C470" s="4"/>
      <c r="D470" s="4"/>
      <c r="E470" s="4" t="str">
        <f ca="1">IFERROR(_xludf.XLOOKUP(A470,Milestones!$A$2:$A$501,Milestones!$M$2:$M$501),"")</f>
        <v/>
      </c>
      <c r="F470" s="4" t="str">
        <f t="shared" ca="1" si="28"/>
        <v/>
      </c>
      <c r="G470" s="4" t="str">
        <f t="shared" si="29"/>
        <v/>
      </c>
      <c r="H470" s="4" t="str">
        <f>IF(A470="","",SUMIF(Wyniki!$C$2:$C$501,A470,Wyniki!$O$2:$O$501))</f>
        <v/>
      </c>
      <c r="I470" s="4" t="str">
        <f t="shared" si="30"/>
        <v/>
      </c>
      <c r="J470" s="4" t="str">
        <f t="shared" si="31"/>
        <v/>
      </c>
    </row>
    <row r="471" spans="1:10" x14ac:dyDescent="0.25">
      <c r="A471" s="4"/>
      <c r="B471" s="4"/>
      <c r="C471" s="4"/>
      <c r="D471" s="4"/>
      <c r="E471" s="4" t="str">
        <f ca="1">IFERROR(_xludf.XLOOKUP(A471,Milestones!$A$2:$A$501,Milestones!$M$2:$M$501),"")</f>
        <v/>
      </c>
      <c r="F471" s="4" t="str">
        <f t="shared" ca="1" si="28"/>
        <v/>
      </c>
      <c r="G471" s="4" t="str">
        <f t="shared" si="29"/>
        <v/>
      </c>
      <c r="H471" s="4" t="str">
        <f>IF(A471="","",SUMIF(Wyniki!$C$2:$C$501,A471,Wyniki!$O$2:$O$501))</f>
        <v/>
      </c>
      <c r="I471" s="4" t="str">
        <f t="shared" si="30"/>
        <v/>
      </c>
      <c r="J471" s="4" t="str">
        <f t="shared" si="31"/>
        <v/>
      </c>
    </row>
    <row r="472" spans="1:10" x14ac:dyDescent="0.25">
      <c r="A472" s="4"/>
      <c r="B472" s="4"/>
      <c r="C472" s="4"/>
      <c r="D472" s="4"/>
      <c r="E472" s="4" t="str">
        <f ca="1">IFERROR(_xludf.XLOOKUP(A472,Milestones!$A$2:$A$501,Milestones!$M$2:$M$501),"")</f>
        <v/>
      </c>
      <c r="F472" s="4" t="str">
        <f t="shared" ca="1" si="28"/>
        <v/>
      </c>
      <c r="G472" s="4" t="str">
        <f t="shared" si="29"/>
        <v/>
      </c>
      <c r="H472" s="4" t="str">
        <f>IF(A472="","",SUMIF(Wyniki!$C$2:$C$501,A472,Wyniki!$O$2:$O$501))</f>
        <v/>
      </c>
      <c r="I472" s="4" t="str">
        <f t="shared" si="30"/>
        <v/>
      </c>
      <c r="J472" s="4" t="str">
        <f t="shared" si="31"/>
        <v/>
      </c>
    </row>
    <row r="473" spans="1:10" x14ac:dyDescent="0.25">
      <c r="A473" s="4"/>
      <c r="B473" s="4"/>
      <c r="C473" s="4"/>
      <c r="D473" s="4"/>
      <c r="E473" s="4" t="str">
        <f ca="1">IFERROR(_xludf.XLOOKUP(A473,Milestones!$A$2:$A$501,Milestones!$M$2:$M$501),"")</f>
        <v/>
      </c>
      <c r="F473" s="4" t="str">
        <f t="shared" ca="1" si="28"/>
        <v/>
      </c>
      <c r="G473" s="4" t="str">
        <f t="shared" si="29"/>
        <v/>
      </c>
      <c r="H473" s="4" t="str">
        <f>IF(A473="","",SUMIF(Wyniki!$C$2:$C$501,A473,Wyniki!$O$2:$O$501))</f>
        <v/>
      </c>
      <c r="I473" s="4" t="str">
        <f t="shared" si="30"/>
        <v/>
      </c>
      <c r="J473" s="4" t="str">
        <f t="shared" si="31"/>
        <v/>
      </c>
    </row>
    <row r="474" spans="1:10" x14ac:dyDescent="0.25">
      <c r="A474" s="4"/>
      <c r="B474" s="4"/>
      <c r="C474" s="4"/>
      <c r="D474" s="4"/>
      <c r="E474" s="4" t="str">
        <f ca="1">IFERROR(_xludf.XLOOKUP(A474,Milestones!$A$2:$A$501,Milestones!$M$2:$M$501),"")</f>
        <v/>
      </c>
      <c r="F474" s="4" t="str">
        <f t="shared" ca="1" si="28"/>
        <v/>
      </c>
      <c r="G474" s="4" t="str">
        <f t="shared" si="29"/>
        <v/>
      </c>
      <c r="H474" s="4" t="str">
        <f>IF(A474="","",SUMIF(Wyniki!$C$2:$C$501,A474,Wyniki!$O$2:$O$501))</f>
        <v/>
      </c>
      <c r="I474" s="4" t="str">
        <f t="shared" si="30"/>
        <v/>
      </c>
      <c r="J474" s="4" t="str">
        <f t="shared" si="31"/>
        <v/>
      </c>
    </row>
    <row r="475" spans="1:10" x14ac:dyDescent="0.25">
      <c r="A475" s="4"/>
      <c r="B475" s="4"/>
      <c r="C475" s="4"/>
      <c r="D475" s="4"/>
      <c r="E475" s="4" t="str">
        <f ca="1">IFERROR(_xludf.XLOOKUP(A475,Milestones!$A$2:$A$501,Milestones!$M$2:$M$501),"")</f>
        <v/>
      </c>
      <c r="F475" s="4" t="str">
        <f t="shared" ca="1" si="28"/>
        <v/>
      </c>
      <c r="G475" s="4" t="str">
        <f t="shared" si="29"/>
        <v/>
      </c>
      <c r="H475" s="4" t="str">
        <f>IF(A475="","",SUMIF(Wyniki!$C$2:$C$501,A475,Wyniki!$O$2:$O$501))</f>
        <v/>
      </c>
      <c r="I475" s="4" t="str">
        <f t="shared" si="30"/>
        <v/>
      </c>
      <c r="J475" s="4" t="str">
        <f t="shared" si="31"/>
        <v/>
      </c>
    </row>
    <row r="476" spans="1:10" x14ac:dyDescent="0.25">
      <c r="A476" s="4"/>
      <c r="B476" s="4"/>
      <c r="C476" s="4"/>
      <c r="D476" s="4"/>
      <c r="E476" s="4" t="str">
        <f ca="1">IFERROR(_xludf.XLOOKUP(A476,Milestones!$A$2:$A$501,Milestones!$M$2:$M$501),"")</f>
        <v/>
      </c>
      <c r="F476" s="4" t="str">
        <f t="shared" ca="1" si="28"/>
        <v/>
      </c>
      <c r="G476" s="4" t="str">
        <f t="shared" si="29"/>
        <v/>
      </c>
      <c r="H476" s="4" t="str">
        <f>IF(A476="","",SUMIF(Wyniki!$C$2:$C$501,A476,Wyniki!$O$2:$O$501))</f>
        <v/>
      </c>
      <c r="I476" s="4" t="str">
        <f t="shared" si="30"/>
        <v/>
      </c>
      <c r="J476" s="4" t="str">
        <f t="shared" si="31"/>
        <v/>
      </c>
    </row>
    <row r="477" spans="1:10" x14ac:dyDescent="0.25">
      <c r="A477" s="4"/>
      <c r="B477" s="4"/>
      <c r="C477" s="4"/>
      <c r="D477" s="4"/>
      <c r="E477" s="4" t="str">
        <f ca="1">IFERROR(_xludf.XLOOKUP(A477,Milestones!$A$2:$A$501,Milestones!$M$2:$M$501),"")</f>
        <v/>
      </c>
      <c r="F477" s="4" t="str">
        <f t="shared" ca="1" si="28"/>
        <v/>
      </c>
      <c r="G477" s="4" t="str">
        <f t="shared" si="29"/>
        <v/>
      </c>
      <c r="H477" s="4" t="str">
        <f>IF(A477="","",SUMIF(Wyniki!$C$2:$C$501,A477,Wyniki!$O$2:$O$501))</f>
        <v/>
      </c>
      <c r="I477" s="4" t="str">
        <f t="shared" si="30"/>
        <v/>
      </c>
      <c r="J477" s="4" t="str">
        <f t="shared" si="31"/>
        <v/>
      </c>
    </row>
    <row r="478" spans="1:10" x14ac:dyDescent="0.25">
      <c r="A478" s="4"/>
      <c r="B478" s="4"/>
      <c r="C478" s="4"/>
      <c r="D478" s="4"/>
      <c r="E478" s="4" t="str">
        <f ca="1">IFERROR(_xludf.XLOOKUP(A478,Milestones!$A$2:$A$501,Milestones!$M$2:$M$501),"")</f>
        <v/>
      </c>
      <c r="F478" s="4" t="str">
        <f t="shared" ca="1" si="28"/>
        <v/>
      </c>
      <c r="G478" s="4" t="str">
        <f t="shared" si="29"/>
        <v/>
      </c>
      <c r="H478" s="4" t="str">
        <f>IF(A478="","",SUMIF(Wyniki!$C$2:$C$501,A478,Wyniki!$O$2:$O$501))</f>
        <v/>
      </c>
      <c r="I478" s="4" t="str">
        <f t="shared" si="30"/>
        <v/>
      </c>
      <c r="J478" s="4" t="str">
        <f t="shared" si="31"/>
        <v/>
      </c>
    </row>
    <row r="479" spans="1:10" x14ac:dyDescent="0.25">
      <c r="A479" s="4"/>
      <c r="B479" s="4"/>
      <c r="C479" s="4"/>
      <c r="D479" s="4"/>
      <c r="E479" s="4" t="str">
        <f ca="1">IFERROR(_xludf.XLOOKUP(A479,Milestones!$A$2:$A$501,Milestones!$M$2:$M$501),"")</f>
        <v/>
      </c>
      <c r="F479" s="4" t="str">
        <f t="shared" ca="1" si="28"/>
        <v/>
      </c>
      <c r="G479" s="4" t="str">
        <f t="shared" si="29"/>
        <v/>
      </c>
      <c r="H479" s="4" t="str">
        <f>IF(A479="","",SUMIF(Wyniki!$C$2:$C$501,A479,Wyniki!$O$2:$O$501))</f>
        <v/>
      </c>
      <c r="I479" s="4" t="str">
        <f t="shared" si="30"/>
        <v/>
      </c>
      <c r="J479" s="4" t="str">
        <f t="shared" si="31"/>
        <v/>
      </c>
    </row>
    <row r="480" spans="1:10" x14ac:dyDescent="0.25">
      <c r="A480" s="4"/>
      <c r="B480" s="4"/>
      <c r="C480" s="4"/>
      <c r="D480" s="4"/>
      <c r="E480" s="4" t="str">
        <f ca="1">IFERROR(_xludf.XLOOKUP(A480,Milestones!$A$2:$A$501,Milestones!$M$2:$M$501),"")</f>
        <v/>
      </c>
      <c r="F480" s="4" t="str">
        <f t="shared" ca="1" si="28"/>
        <v/>
      </c>
      <c r="G480" s="4" t="str">
        <f t="shared" si="29"/>
        <v/>
      </c>
      <c r="H480" s="4" t="str">
        <f>IF(A480="","",SUMIF(Wyniki!$C$2:$C$501,A480,Wyniki!$O$2:$O$501))</f>
        <v/>
      </c>
      <c r="I480" s="4" t="str">
        <f t="shared" si="30"/>
        <v/>
      </c>
      <c r="J480" s="4" t="str">
        <f t="shared" si="31"/>
        <v/>
      </c>
    </row>
    <row r="481" spans="1:10" x14ac:dyDescent="0.25">
      <c r="A481" s="4"/>
      <c r="B481" s="4"/>
      <c r="C481" s="4"/>
      <c r="D481" s="4"/>
      <c r="E481" s="4" t="str">
        <f ca="1">IFERROR(_xludf.XLOOKUP(A481,Milestones!$A$2:$A$501,Milestones!$M$2:$M$501),"")</f>
        <v/>
      </c>
      <c r="F481" s="4" t="str">
        <f t="shared" ca="1" si="28"/>
        <v/>
      </c>
      <c r="G481" s="4" t="str">
        <f t="shared" si="29"/>
        <v/>
      </c>
      <c r="H481" s="4" t="str">
        <f>IF(A481="","",SUMIF(Wyniki!$C$2:$C$501,A481,Wyniki!$O$2:$O$501))</f>
        <v/>
      </c>
      <c r="I481" s="4" t="str">
        <f t="shared" si="30"/>
        <v/>
      </c>
      <c r="J481" s="4" t="str">
        <f t="shared" si="31"/>
        <v/>
      </c>
    </row>
    <row r="482" spans="1:10" x14ac:dyDescent="0.25">
      <c r="A482" s="4"/>
      <c r="B482" s="4"/>
      <c r="C482" s="4"/>
      <c r="D482" s="4"/>
      <c r="E482" s="4" t="str">
        <f ca="1">IFERROR(_xludf.XLOOKUP(A482,Milestones!$A$2:$A$501,Milestones!$M$2:$M$501),"")</f>
        <v/>
      </c>
      <c r="F482" s="4" t="str">
        <f t="shared" ca="1" si="28"/>
        <v/>
      </c>
      <c r="G482" s="4" t="str">
        <f t="shared" si="29"/>
        <v/>
      </c>
      <c r="H482" s="4" t="str">
        <f>IF(A482="","",SUMIF(Wyniki!$C$2:$C$501,A482,Wyniki!$O$2:$O$501))</f>
        <v/>
      </c>
      <c r="I482" s="4" t="str">
        <f t="shared" si="30"/>
        <v/>
      </c>
      <c r="J482" s="4" t="str">
        <f t="shared" si="31"/>
        <v/>
      </c>
    </row>
    <row r="483" spans="1:10" x14ac:dyDescent="0.25">
      <c r="A483" s="4"/>
      <c r="B483" s="4"/>
      <c r="C483" s="4"/>
      <c r="D483" s="4"/>
      <c r="E483" s="4" t="str">
        <f ca="1">IFERROR(_xludf.XLOOKUP(A483,Milestones!$A$2:$A$501,Milestones!$M$2:$M$501),"")</f>
        <v/>
      </c>
      <c r="F483" s="4" t="str">
        <f t="shared" ca="1" si="28"/>
        <v/>
      </c>
      <c r="G483" s="4" t="str">
        <f t="shared" si="29"/>
        <v/>
      </c>
      <c r="H483" s="4" t="str">
        <f>IF(A483="","",SUMIF(Wyniki!$C$2:$C$501,A483,Wyniki!$O$2:$O$501))</f>
        <v/>
      </c>
      <c r="I483" s="4" t="str">
        <f t="shared" si="30"/>
        <v/>
      </c>
      <c r="J483" s="4" t="str">
        <f t="shared" si="31"/>
        <v/>
      </c>
    </row>
    <row r="484" spans="1:10" x14ac:dyDescent="0.25">
      <c r="A484" s="4"/>
      <c r="B484" s="4"/>
      <c r="C484" s="4"/>
      <c r="D484" s="4"/>
      <c r="E484" s="4" t="str">
        <f ca="1">IFERROR(_xludf.XLOOKUP(A484,Milestones!$A$2:$A$501,Milestones!$M$2:$M$501),"")</f>
        <v/>
      </c>
      <c r="F484" s="4" t="str">
        <f t="shared" ca="1" si="28"/>
        <v/>
      </c>
      <c r="G484" s="4" t="str">
        <f t="shared" si="29"/>
        <v/>
      </c>
      <c r="H484" s="4" t="str">
        <f>IF(A484="","",SUMIF(Wyniki!$C$2:$C$501,A484,Wyniki!$O$2:$O$501))</f>
        <v/>
      </c>
      <c r="I484" s="4" t="str">
        <f t="shared" si="30"/>
        <v/>
      </c>
      <c r="J484" s="4" t="str">
        <f t="shared" si="31"/>
        <v/>
      </c>
    </row>
    <row r="485" spans="1:10" x14ac:dyDescent="0.25">
      <c r="A485" s="4"/>
      <c r="B485" s="4"/>
      <c r="C485" s="4"/>
      <c r="D485" s="4"/>
      <c r="E485" s="4" t="str">
        <f ca="1">IFERROR(_xludf.XLOOKUP(A485,Milestones!$A$2:$A$501,Milestones!$M$2:$M$501),"")</f>
        <v/>
      </c>
      <c r="F485" s="4" t="str">
        <f t="shared" ca="1" si="28"/>
        <v/>
      </c>
      <c r="G485" s="4" t="str">
        <f t="shared" si="29"/>
        <v/>
      </c>
      <c r="H485" s="4" t="str">
        <f>IF(A485="","",SUMIF(Wyniki!$C$2:$C$501,A485,Wyniki!$O$2:$O$501))</f>
        <v/>
      </c>
      <c r="I485" s="4" t="str">
        <f t="shared" si="30"/>
        <v/>
      </c>
      <c r="J485" s="4" t="str">
        <f t="shared" si="31"/>
        <v/>
      </c>
    </row>
    <row r="486" spans="1:10" x14ac:dyDescent="0.25">
      <c r="A486" s="4"/>
      <c r="B486" s="4"/>
      <c r="C486" s="4"/>
      <c r="D486" s="4"/>
      <c r="E486" s="4" t="str">
        <f ca="1">IFERROR(_xludf.XLOOKUP(A486,Milestones!$A$2:$A$501,Milestones!$M$2:$M$501),"")</f>
        <v/>
      </c>
      <c r="F486" s="4" t="str">
        <f t="shared" ca="1" si="28"/>
        <v/>
      </c>
      <c r="G486" s="4" t="str">
        <f t="shared" si="29"/>
        <v/>
      </c>
      <c r="H486" s="4" t="str">
        <f>IF(A486="","",SUMIF(Wyniki!$C$2:$C$501,A486,Wyniki!$O$2:$O$501))</f>
        <v/>
      </c>
      <c r="I486" s="4" t="str">
        <f t="shared" si="30"/>
        <v/>
      </c>
      <c r="J486" s="4" t="str">
        <f t="shared" si="31"/>
        <v/>
      </c>
    </row>
    <row r="487" spans="1:10" x14ac:dyDescent="0.25">
      <c r="A487" s="4"/>
      <c r="B487" s="4"/>
      <c r="C487" s="4"/>
      <c r="D487" s="4"/>
      <c r="E487" s="4" t="str">
        <f ca="1">IFERROR(_xludf.XLOOKUP(A487,Milestones!$A$2:$A$501,Milestones!$M$2:$M$501),"")</f>
        <v/>
      </c>
      <c r="F487" s="4" t="str">
        <f t="shared" ca="1" si="28"/>
        <v/>
      </c>
      <c r="G487" s="4" t="str">
        <f t="shared" si="29"/>
        <v/>
      </c>
      <c r="H487" s="4" t="str">
        <f>IF(A487="","",SUMIF(Wyniki!$C$2:$C$501,A487,Wyniki!$O$2:$O$501))</f>
        <v/>
      </c>
      <c r="I487" s="4" t="str">
        <f t="shared" si="30"/>
        <v/>
      </c>
      <c r="J487" s="4" t="str">
        <f t="shared" si="31"/>
        <v/>
      </c>
    </row>
    <row r="488" spans="1:10" x14ac:dyDescent="0.25">
      <c r="A488" s="4"/>
      <c r="B488" s="4"/>
      <c r="C488" s="4"/>
      <c r="D488" s="4"/>
      <c r="E488" s="4" t="str">
        <f ca="1">IFERROR(_xludf.XLOOKUP(A488,Milestones!$A$2:$A$501,Milestones!$M$2:$M$501),"")</f>
        <v/>
      </c>
      <c r="F488" s="4" t="str">
        <f t="shared" ca="1" si="28"/>
        <v/>
      </c>
      <c r="G488" s="4" t="str">
        <f t="shared" si="29"/>
        <v/>
      </c>
      <c r="H488" s="4" t="str">
        <f>IF(A488="","",SUMIF(Wyniki!$C$2:$C$501,A488,Wyniki!$O$2:$O$501))</f>
        <v/>
      </c>
      <c r="I488" s="4" t="str">
        <f t="shared" si="30"/>
        <v/>
      </c>
      <c r="J488" s="4" t="str">
        <f t="shared" si="31"/>
        <v/>
      </c>
    </row>
    <row r="489" spans="1:10" x14ac:dyDescent="0.25">
      <c r="A489" s="4"/>
      <c r="B489" s="4"/>
      <c r="C489" s="4"/>
      <c r="D489" s="4"/>
      <c r="E489" s="4" t="str">
        <f ca="1">IFERROR(_xludf.XLOOKUP(A489,Milestones!$A$2:$A$501,Milestones!$M$2:$M$501),"")</f>
        <v/>
      </c>
      <c r="F489" s="4" t="str">
        <f t="shared" ca="1" si="28"/>
        <v/>
      </c>
      <c r="G489" s="4" t="str">
        <f t="shared" si="29"/>
        <v/>
      </c>
      <c r="H489" s="4" t="str">
        <f>IF(A489="","",SUMIF(Wyniki!$C$2:$C$501,A489,Wyniki!$O$2:$O$501))</f>
        <v/>
      </c>
      <c r="I489" s="4" t="str">
        <f t="shared" si="30"/>
        <v/>
      </c>
      <c r="J489" s="4" t="str">
        <f t="shared" si="31"/>
        <v/>
      </c>
    </row>
    <row r="490" spans="1:10" x14ac:dyDescent="0.25">
      <c r="A490" s="4"/>
      <c r="B490" s="4"/>
      <c r="C490" s="4"/>
      <c r="D490" s="4"/>
      <c r="E490" s="4" t="str">
        <f ca="1">IFERROR(_xludf.XLOOKUP(A490,Milestones!$A$2:$A$501,Milestones!$M$2:$M$501),"")</f>
        <v/>
      </c>
      <c r="F490" s="4" t="str">
        <f t="shared" ca="1" si="28"/>
        <v/>
      </c>
      <c r="G490" s="4" t="str">
        <f t="shared" si="29"/>
        <v/>
      </c>
      <c r="H490" s="4" t="str">
        <f>IF(A490="","",SUMIF(Wyniki!$C$2:$C$501,A490,Wyniki!$O$2:$O$501))</f>
        <v/>
      </c>
      <c r="I490" s="4" t="str">
        <f t="shared" si="30"/>
        <v/>
      </c>
      <c r="J490" s="4" t="str">
        <f t="shared" si="31"/>
        <v/>
      </c>
    </row>
    <row r="491" spans="1:10" x14ac:dyDescent="0.25">
      <c r="A491" s="4"/>
      <c r="B491" s="4"/>
      <c r="C491" s="4"/>
      <c r="D491" s="4"/>
      <c r="E491" s="4" t="str">
        <f ca="1">IFERROR(_xludf.XLOOKUP(A491,Milestones!$A$2:$A$501,Milestones!$M$2:$M$501),"")</f>
        <v/>
      </c>
      <c r="F491" s="4" t="str">
        <f t="shared" ca="1" si="28"/>
        <v/>
      </c>
      <c r="G491" s="4" t="str">
        <f t="shared" si="29"/>
        <v/>
      </c>
      <c r="H491" s="4" t="str">
        <f>IF(A491="","",SUMIF(Wyniki!$C$2:$C$501,A491,Wyniki!$O$2:$O$501))</f>
        <v/>
      </c>
      <c r="I491" s="4" t="str">
        <f t="shared" si="30"/>
        <v/>
      </c>
      <c r="J491" s="4" t="str">
        <f t="shared" si="31"/>
        <v/>
      </c>
    </row>
    <row r="492" spans="1:10" x14ac:dyDescent="0.25">
      <c r="A492" s="4"/>
      <c r="B492" s="4"/>
      <c r="C492" s="4"/>
      <c r="D492" s="4"/>
      <c r="E492" s="4" t="str">
        <f ca="1">IFERROR(_xludf.XLOOKUP(A492,Milestones!$A$2:$A$501,Milestones!$M$2:$M$501),"")</f>
        <v/>
      </c>
      <c r="F492" s="4" t="str">
        <f t="shared" ca="1" si="28"/>
        <v/>
      </c>
      <c r="G492" s="4" t="str">
        <f t="shared" si="29"/>
        <v/>
      </c>
      <c r="H492" s="4" t="str">
        <f>IF(A492="","",SUMIF(Wyniki!$C$2:$C$501,A492,Wyniki!$O$2:$O$501))</f>
        <v/>
      </c>
      <c r="I492" s="4" t="str">
        <f t="shared" si="30"/>
        <v/>
      </c>
      <c r="J492" s="4" t="str">
        <f t="shared" si="31"/>
        <v/>
      </c>
    </row>
    <row r="493" spans="1:10" x14ac:dyDescent="0.25">
      <c r="A493" s="4"/>
      <c r="B493" s="4"/>
      <c r="C493" s="4"/>
      <c r="D493" s="4"/>
      <c r="E493" s="4" t="str">
        <f ca="1">IFERROR(_xludf.XLOOKUP(A493,Milestones!$A$2:$A$501,Milestones!$M$2:$M$501),"")</f>
        <v/>
      </c>
      <c r="F493" s="4" t="str">
        <f t="shared" ca="1" si="28"/>
        <v/>
      </c>
      <c r="G493" s="4" t="str">
        <f t="shared" si="29"/>
        <v/>
      </c>
      <c r="H493" s="4" t="str">
        <f>IF(A493="","",SUMIF(Wyniki!$C$2:$C$501,A493,Wyniki!$O$2:$O$501))</f>
        <v/>
      </c>
      <c r="I493" s="4" t="str">
        <f t="shared" si="30"/>
        <v/>
      </c>
      <c r="J493" s="4" t="str">
        <f t="shared" si="31"/>
        <v/>
      </c>
    </row>
    <row r="494" spans="1:10" x14ac:dyDescent="0.25">
      <c r="A494" s="4"/>
      <c r="B494" s="4"/>
      <c r="C494" s="4"/>
      <c r="D494" s="4"/>
      <c r="E494" s="4" t="str">
        <f ca="1">IFERROR(_xludf.XLOOKUP(A494,Milestones!$A$2:$A$501,Milestones!$M$2:$M$501),"")</f>
        <v/>
      </c>
      <c r="F494" s="4" t="str">
        <f t="shared" ca="1" si="28"/>
        <v/>
      </c>
      <c r="G494" s="4" t="str">
        <f t="shared" si="29"/>
        <v/>
      </c>
      <c r="H494" s="4" t="str">
        <f>IF(A494="","",SUMIF(Wyniki!$C$2:$C$501,A494,Wyniki!$O$2:$O$501))</f>
        <v/>
      </c>
      <c r="I494" s="4" t="str">
        <f t="shared" si="30"/>
        <v/>
      </c>
      <c r="J494" s="4" t="str">
        <f t="shared" si="31"/>
        <v/>
      </c>
    </row>
    <row r="495" spans="1:10" x14ac:dyDescent="0.25">
      <c r="A495" s="4"/>
      <c r="B495" s="4"/>
      <c r="C495" s="4"/>
      <c r="D495" s="4"/>
      <c r="E495" s="4" t="str">
        <f ca="1">IFERROR(_xludf.XLOOKUP(A495,Milestones!$A$2:$A$501,Milestones!$M$2:$M$501),"")</f>
        <v/>
      </c>
      <c r="F495" s="4" t="str">
        <f t="shared" ca="1" si="28"/>
        <v/>
      </c>
      <c r="G495" s="4" t="str">
        <f t="shared" si="29"/>
        <v/>
      </c>
      <c r="H495" s="4" t="str">
        <f>IF(A495="","",SUMIF(Wyniki!$C$2:$C$501,A495,Wyniki!$O$2:$O$501))</f>
        <v/>
      </c>
      <c r="I495" s="4" t="str">
        <f t="shared" si="30"/>
        <v/>
      </c>
      <c r="J495" s="4" t="str">
        <f t="shared" si="31"/>
        <v/>
      </c>
    </row>
    <row r="496" spans="1:10" x14ac:dyDescent="0.25">
      <c r="A496" s="4"/>
      <c r="B496" s="4"/>
      <c r="C496" s="4"/>
      <c r="D496" s="4"/>
      <c r="E496" s="4" t="str">
        <f ca="1">IFERROR(_xludf.XLOOKUP(A496,Milestones!$A$2:$A$501,Milestones!$M$2:$M$501),"")</f>
        <v/>
      </c>
      <c r="F496" s="4" t="str">
        <f t="shared" ca="1" si="28"/>
        <v/>
      </c>
      <c r="G496" s="4" t="str">
        <f t="shared" si="29"/>
        <v/>
      </c>
      <c r="H496" s="4" t="str">
        <f>IF(A496="","",SUMIF(Wyniki!$C$2:$C$501,A496,Wyniki!$O$2:$O$501))</f>
        <v/>
      </c>
      <c r="I496" s="4" t="str">
        <f t="shared" si="30"/>
        <v/>
      </c>
      <c r="J496" s="4" t="str">
        <f t="shared" si="31"/>
        <v/>
      </c>
    </row>
    <row r="497" spans="1:10" x14ac:dyDescent="0.25">
      <c r="A497" s="4"/>
      <c r="B497" s="4"/>
      <c r="C497" s="4"/>
      <c r="D497" s="4"/>
      <c r="E497" s="4" t="str">
        <f ca="1">IFERROR(_xludf.XLOOKUP(A497,Milestones!$A$2:$A$501,Milestones!$M$2:$M$501),"")</f>
        <v/>
      </c>
      <c r="F497" s="4" t="str">
        <f t="shared" ca="1" si="28"/>
        <v/>
      </c>
      <c r="G497" s="4" t="str">
        <f t="shared" si="29"/>
        <v/>
      </c>
      <c r="H497" s="4" t="str">
        <f>IF(A497="","",SUMIF(Wyniki!$C$2:$C$501,A497,Wyniki!$O$2:$O$501))</f>
        <v/>
      </c>
      <c r="I497" s="4" t="str">
        <f t="shared" si="30"/>
        <v/>
      </c>
      <c r="J497" s="4" t="str">
        <f t="shared" si="31"/>
        <v/>
      </c>
    </row>
    <row r="498" spans="1:10" x14ac:dyDescent="0.25">
      <c r="A498" s="4"/>
      <c r="B498" s="4"/>
      <c r="C498" s="4"/>
      <c r="D498" s="4"/>
      <c r="E498" s="4" t="str">
        <f ca="1">IFERROR(_xludf.XLOOKUP(A498,Milestones!$A$2:$A$501,Milestones!$M$2:$M$501),"")</f>
        <v/>
      </c>
      <c r="F498" s="4" t="str">
        <f t="shared" ca="1" si="28"/>
        <v/>
      </c>
      <c r="G498" s="4" t="str">
        <f t="shared" si="29"/>
        <v/>
      </c>
      <c r="H498" s="4" t="str">
        <f>IF(A498="","",SUMIF(Wyniki!$C$2:$C$501,A498,Wyniki!$O$2:$O$501))</f>
        <v/>
      </c>
      <c r="I498" s="4" t="str">
        <f t="shared" si="30"/>
        <v/>
      </c>
      <c r="J498" s="4" t="str">
        <f t="shared" si="31"/>
        <v/>
      </c>
    </row>
    <row r="499" spans="1:10" x14ac:dyDescent="0.25">
      <c r="A499" s="4"/>
      <c r="B499" s="4"/>
      <c r="C499" s="4"/>
      <c r="D499" s="4"/>
      <c r="E499" s="4" t="str">
        <f ca="1">IFERROR(_xludf.XLOOKUP(A499,Milestones!$A$2:$A$501,Milestones!$M$2:$M$501),"")</f>
        <v/>
      </c>
      <c r="F499" s="4" t="str">
        <f t="shared" ca="1" si="28"/>
        <v/>
      </c>
      <c r="G499" s="4" t="str">
        <f t="shared" si="29"/>
        <v/>
      </c>
      <c r="H499" s="4" t="str">
        <f>IF(A499="","",SUMIF(Wyniki!$C$2:$C$501,A499,Wyniki!$O$2:$O$501))</f>
        <v/>
      </c>
      <c r="I499" s="4" t="str">
        <f t="shared" si="30"/>
        <v/>
      </c>
      <c r="J499" s="4" t="str">
        <f t="shared" si="31"/>
        <v/>
      </c>
    </row>
    <row r="500" spans="1:10" x14ac:dyDescent="0.25">
      <c r="A500" s="4"/>
      <c r="B500" s="4"/>
      <c r="C500" s="4"/>
      <c r="D500" s="4"/>
      <c r="E500" s="4" t="str">
        <f ca="1">IFERROR(_xludf.XLOOKUP(A500,Milestones!$A$2:$A$501,Milestones!$M$2:$M$501),"")</f>
        <v/>
      </c>
      <c r="F500" s="4" t="str">
        <f t="shared" ca="1" si="28"/>
        <v/>
      </c>
      <c r="G500" s="4" t="str">
        <f t="shared" si="29"/>
        <v/>
      </c>
      <c r="H500" s="4" t="str">
        <f>IF(A500="","",SUMIF(Wyniki!$C$2:$C$501,A500,Wyniki!$O$2:$O$501))</f>
        <v/>
      </c>
      <c r="I500" s="4" t="str">
        <f t="shared" si="30"/>
        <v/>
      </c>
      <c r="J500" s="4" t="str">
        <f t="shared" si="31"/>
        <v/>
      </c>
    </row>
    <row r="501" spans="1:10" x14ac:dyDescent="0.25">
      <c r="A501" s="4"/>
      <c r="B501" s="4"/>
      <c r="C501" s="4"/>
      <c r="D501" s="4"/>
      <c r="E501" s="4" t="str">
        <f ca="1">IFERROR(_xludf.XLOOKUP(A501,Milestones!$A$2:$A$501,Milestones!$M$2:$M$501),"")</f>
        <v/>
      </c>
      <c r="F501" s="4" t="str">
        <f t="shared" ca="1" si="28"/>
        <v/>
      </c>
      <c r="G501" s="4" t="str">
        <f t="shared" si="29"/>
        <v/>
      </c>
      <c r="H501" s="4" t="str">
        <f>IF(A501="","",SUMIF(Wyniki!$C$2:$C$501,A501,Wyniki!$O$2:$O$501))</f>
        <v/>
      </c>
      <c r="I501" s="4" t="str">
        <f t="shared" si="30"/>
        <v/>
      </c>
      <c r="J501" s="4" t="str">
        <f t="shared" si="31"/>
        <v/>
      </c>
    </row>
  </sheetData>
  <conditionalFormatting sqref="J2:J501">
    <cfRule type="cellIs" dxfId="2" priority="1" operator="equal">
      <formula>"NIE"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01"/>
  <sheetViews>
    <sheetView workbookViewId="0">
      <pane ySplit="1" topLeftCell="A2" activePane="bottomLeft" state="frozen"/>
      <selection pane="bottomLeft" activeCell="C2" sqref="C2:C4"/>
    </sheetView>
  </sheetViews>
  <sheetFormatPr defaultRowHeight="15" x14ac:dyDescent="0.25"/>
  <cols>
    <col min="1" max="1" width="14" customWidth="1"/>
    <col min="2" max="2" width="26" customWidth="1"/>
    <col min="3" max="3" width="48" customWidth="1"/>
    <col min="4" max="4" width="8" customWidth="1"/>
  </cols>
  <sheetData>
    <row r="1" spans="1:4" ht="30" customHeight="1" x14ac:dyDescent="0.25">
      <c r="A1" s="6" t="s">
        <v>63</v>
      </c>
      <c r="B1" s="6" t="s">
        <v>64</v>
      </c>
      <c r="C1" s="6" t="s">
        <v>88</v>
      </c>
      <c r="D1" s="6" t="s">
        <v>87</v>
      </c>
    </row>
    <row r="2" spans="1:4" x14ac:dyDescent="0.25">
      <c r="A2" s="4" t="str">
        <f>Pracownicy!A2</f>
        <v>E-001</v>
      </c>
      <c r="B2" s="4" t="str">
        <f>Pracownicy!B2</f>
        <v>Tymoteusz Mądry</v>
      </c>
      <c r="C2" s="4" cm="1">
        <f t="array" ref="C2">_xlfn.SINGLE(IF(A2="","",_xlfn.LET(_xlpm.emp,A2,_xlpm.e,Zaangażowanie!$A$2:$A$501,_xlpm.ms,Zaangażowanie!$C$2:$C$501,_xlpm.sh,Zaangażowanie!$E$2:$E$501,_xlpm.msst,_xlfn.XLOOKUP(_xlpm.ms,Milestones!$A$2:$A$501,Milestones!$G$2:$G$501,""),_xlpm.act,(_xlfn.SINGLE(_xlpm.msst)="W trakcie")+(_xlfn.SINGLE(_xlpm.msst)="W toku"),ROUND(SUMPRODUCT((_xlpm.e=_xlpm.emp)*_xlpm.sh*_xlpm.act),3))))</f>
        <v>0.5</v>
      </c>
      <c r="D2" s="4" t="str">
        <f t="shared" ref="D2:D65" si="0">IF(A2="","",IF(C2&lt;=1,"OK","NIE"))</f>
        <v>OK</v>
      </c>
    </row>
    <row r="3" spans="1:4" x14ac:dyDescent="0.25">
      <c r="A3" s="4" t="str">
        <f>Pracownicy!A3</f>
        <v>E-002</v>
      </c>
      <c r="B3" s="4" t="str">
        <f>Pracownicy!B3</f>
        <v>Albert Giza</v>
      </c>
      <c r="C3" s="4" cm="1">
        <f t="array" ref="C3">_xlfn.SINGLE(IF(A3="","",_xlfn.LET(_xlpm.emp,A3,_xlpm.e,Zaangażowanie!$A$2:$A$501,_xlpm.ms,Zaangażowanie!$C$2:$C$501,_xlpm.sh,Zaangażowanie!$E$2:$E$501,_xlpm.msst,_xlfn.XLOOKUP(_xlpm.ms,Milestones!$A$2:$A$501,Milestones!$G$2:$G$501,""),_xlpm.act,(_xlfn.SINGLE(_xlpm.msst)="W trakcie")+(_xlfn.SINGLE(_xlpm.msst)="W toku"),ROUND(SUMPRODUCT((_xlpm.e=_xlpm.emp)*_xlpm.sh*_xlpm.act),3))))</f>
        <v>0.5</v>
      </c>
      <c r="D3" s="4" t="str">
        <f t="shared" si="0"/>
        <v>OK</v>
      </c>
    </row>
    <row r="4" spans="1:4" x14ac:dyDescent="0.25">
      <c r="A4" s="4" t="str">
        <f>Pracownicy!A4</f>
        <v>E-003</v>
      </c>
      <c r="B4" s="4" t="str">
        <f>Pracownicy!B4</f>
        <v>Jan Kochanowski</v>
      </c>
      <c r="C4" s="4" cm="1">
        <f t="array" ref="C4">_xlfn.SINGLE(IF(A4="","",_xlfn.LET(_xlpm.emp,A4,_xlpm.e,Zaangażowanie!$A$2:$A$501,_xlpm.ms,Zaangażowanie!$C$2:$C$501,_xlpm.sh,Zaangażowanie!$E$2:$E$501,_xlpm.msst,_xlfn.XLOOKUP(_xlpm.ms,Milestones!$A$2:$A$501,Milestones!$G$2:$G$501,""),_xlpm.act,(_xlfn.SINGLE(_xlpm.msst)="W trakcie")+(_xlfn.SINGLE(_xlpm.msst)="W toku"),ROUND(SUMPRODUCT((_xlpm.e=_xlpm.emp)*_xlpm.sh*_xlpm.act),3))))</f>
        <v>0.3</v>
      </c>
      <c r="D4" s="4" t="str">
        <f t="shared" si="0"/>
        <v>OK</v>
      </c>
    </row>
    <row r="5" spans="1:4" x14ac:dyDescent="0.25">
      <c r="A5" s="4">
        <f>Pracownicy!A5</f>
        <v>0</v>
      </c>
      <c r="B5" s="4">
        <f>Pracownicy!B5</f>
        <v>0</v>
      </c>
      <c r="C5" s="4" t="e">
        <f ca="1">IF(A5="","",_xludf.LET(emp,A5,e,Zaangażowanie!$A$2:$A$501,ms,Zaangażowanie!$C$2:$C$501,sh,Zaangażowanie!$E$2:$E$501,msst,_xludf.XLOOKUP(ms,Milestones!$A$2:$A$501,Milestones!$G$2:$G$501,""),act,(msst="W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" s="4" t="e">
        <f t="shared" ca="1" si="0"/>
        <v>#NAME?</v>
      </c>
    </row>
    <row r="6" spans="1:4" x14ac:dyDescent="0.25">
      <c r="A6" s="4">
        <f>Pracownicy!A6</f>
        <v>0</v>
      </c>
      <c r="B6" s="4">
        <f>Pracownicy!B6</f>
        <v>0</v>
      </c>
      <c r="C6" s="4" t="e">
        <f ca="1">IF(A6="","",_xludf.LET(emp,A6,e,Zaangażowanie!$A$2:$A$501,ms,Zaangażowanie!$C$2:$C$501,sh,Zaangażowanie!$E$2:$E$501,msst,_xludf.XLOOKUP(ms,Milestones!$A$2:$A$501,Milestones!$G$2:$G$501,""),act,(msst="W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6" s="4" t="e">
        <f t="shared" ca="1" si="0"/>
        <v>#NAME?</v>
      </c>
    </row>
    <row r="7" spans="1:4" x14ac:dyDescent="0.25">
      <c r="A7" s="4">
        <f>Pracownicy!A7</f>
        <v>0</v>
      </c>
      <c r="B7" s="4">
        <f>Pracownicy!B7</f>
        <v>0</v>
      </c>
      <c r="C7" s="4" t="e">
        <f ca="1">IF(A7="","",_xludf.LET(emp,A7,e,Zaangażowanie!$A$2:$A$501,ms,Zaangażowanie!$C$2:$C$501,sh,Zaangażowanie!$E$2:$E$501,msst,_xludf.XLOOKUP(ms,Milestones!$A$2:$A$501,Milestones!$G$2:$G$501,""),act,(msst="W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7" s="4" t="e">
        <f t="shared" ca="1" si="0"/>
        <v>#NAME?</v>
      </c>
    </row>
    <row r="8" spans="1:4" x14ac:dyDescent="0.25">
      <c r="A8" s="4">
        <f>Pracownicy!A8</f>
        <v>0</v>
      </c>
      <c r="B8" s="4">
        <f>Pracownicy!B8</f>
        <v>0</v>
      </c>
      <c r="C8" s="4" t="e">
        <f ca="1">IF(A8="","",_xludf.LET(emp,A8,e,Zaangażowanie!$A$2:$A$501,ms,Zaangażowanie!$C$2:$C$501,sh,Zaangażowanie!$E$2:$E$501,msst,_xludf.XLOOKUP(ms,Milestones!$A$2:$A$501,Milestones!$G$2:$G$501,""),act,(msst="W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8" s="4" t="e">
        <f t="shared" ca="1" si="0"/>
        <v>#NAME?</v>
      </c>
    </row>
    <row r="9" spans="1:4" x14ac:dyDescent="0.25">
      <c r="A9" s="4">
        <f>Pracownicy!A9</f>
        <v>0</v>
      </c>
      <c r="B9" s="4">
        <f>Pracownicy!B9</f>
        <v>0</v>
      </c>
      <c r="C9" s="4" t="e">
        <f ca="1">IF(A9="","",_xludf.LET(emp,A9,e,Zaangażowanie!$A$2:$A$501,ms,Zaangażowanie!$C$2:$C$501,sh,Zaangażowanie!$E$2:$E$501,msst,_xludf.XLOOKUP(ms,Milestones!$A$2:$A$501,Milestones!$G$2:$G$501,""),act,(msst="W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9" s="4" t="e">
        <f t="shared" ca="1" si="0"/>
        <v>#NAME?</v>
      </c>
    </row>
    <row r="10" spans="1:4" x14ac:dyDescent="0.25">
      <c r="A10" s="4">
        <f>Pracownicy!A10</f>
        <v>0</v>
      </c>
      <c r="B10" s="4">
        <f>Pracownicy!B10</f>
        <v>0</v>
      </c>
      <c r="C10" s="4" t="e">
        <f ca="1">IF(A10="","",_xludf.LET(emp,A10,e,Zaangażowanie!$A$2:$A$501,ms,Zaangażowanie!$C$2:$C$501,sh,Zaangażowanie!$E$2:$E$501,msst,_xludf.XLOOKUP(ms,Milestones!$A$2:$A$501,Milestones!$G$2:$G$501,""),act,(msst="W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0" s="4" t="e">
        <f t="shared" ca="1" si="0"/>
        <v>#NAME?</v>
      </c>
    </row>
    <row r="11" spans="1:4" x14ac:dyDescent="0.25">
      <c r="A11" s="4">
        <f>Pracownicy!A11</f>
        <v>0</v>
      </c>
      <c r="B11" s="4">
        <f>Pracownicy!B11</f>
        <v>0</v>
      </c>
      <c r="C11" s="4" t="e">
        <f ca="1">IF(A11="","",_xludf.LET(emp,A11,e,Zaangażowanie!$A$2:$A$501,ms,Zaangażowanie!$C$2:$C$501,sh,Zaangażowanie!$E$2:$E$501,msst,_xludf.XLOOKUP(ms,Milestones!$A$2:$A$501,Milestones!$G$2:$G$501,""),act,(msst="W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1" s="4" t="e">
        <f t="shared" ca="1" si="0"/>
        <v>#NAME?</v>
      </c>
    </row>
    <row r="12" spans="1:4" x14ac:dyDescent="0.25">
      <c r="A12" s="4">
        <f>Pracownicy!A12</f>
        <v>0</v>
      </c>
      <c r="B12" s="4">
        <f>Pracownicy!B12</f>
        <v>0</v>
      </c>
      <c r="C12" s="4" t="e">
        <f ca="1">IF(A12="","",_xludf.LET(emp,A12,e,Zaangażowanie!$A$2:$A$501,ms,Zaangażowanie!$C$2:$C$501,sh,Zaangażowanie!$E$2:$E$501,msst,_xludf.XLOOKUP(ms,Milestones!$A$2:$A$501,Milestones!$G$2:$G$501,""),act,(msst="W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2" s="4" t="e">
        <f t="shared" ca="1" si="0"/>
        <v>#NAME?</v>
      </c>
    </row>
    <row r="13" spans="1:4" x14ac:dyDescent="0.25">
      <c r="A13" s="4">
        <f>Pracownicy!A13</f>
        <v>0</v>
      </c>
      <c r="B13" s="4">
        <f>Pracownicy!B13</f>
        <v>0</v>
      </c>
      <c r="C13" s="4" t="e">
        <f ca="1">IF(A13="","",_xludf.LET(emp,A13,e,Zaangażowanie!$A$2:$A$501,ms,Zaangażowanie!$C$2:$C$501,sh,Zaangażowanie!$E$2:$E$501,msst,_xludf.XLOOKUP(ms,Milestones!$A$2:$A$501,Milestones!$G$2:$G$501,""),act,(msst="W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3" s="4" t="e">
        <f t="shared" ca="1" si="0"/>
        <v>#NAME?</v>
      </c>
    </row>
    <row r="14" spans="1:4" x14ac:dyDescent="0.25">
      <c r="A14" s="4">
        <f>Pracownicy!A14</f>
        <v>0</v>
      </c>
      <c r="B14" s="4">
        <f>Pracownicy!B14</f>
        <v>0</v>
      </c>
      <c r="C14" s="4" t="e">
        <f ca="1">IF(A14="","",_xludf.LET(emp,A14,e,Zaangażowanie!$A$2:$A$501,ms,Zaangażowanie!$C$2:$C$501,sh,Zaangażowanie!$E$2:$E$501,msst,_xludf.XLOOKUP(ms,Milestones!$A$2:$A$501,Milestones!$G$2:$G$501,""),act,(msst="W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4" s="4" t="e">
        <f t="shared" ca="1" si="0"/>
        <v>#NAME?</v>
      </c>
    </row>
    <row r="15" spans="1:4" x14ac:dyDescent="0.25">
      <c r="A15" s="4">
        <f>Pracownicy!A15</f>
        <v>0</v>
      </c>
      <c r="B15" s="4">
        <f>Pracownicy!B15</f>
        <v>0</v>
      </c>
      <c r="C15" s="4" t="e">
        <f ca="1">IF(A15="","",_xludf.LET(emp,A15,e,Zaangażowanie!$A$2:$A$501,ms,Zaangażowanie!$C$2:$C$501,sh,Zaangażowanie!$E$2:$E$501,msst,_xludf.XLOOKUP(ms,Milestones!$A$2:$A$501,Milestones!$G$2:$G$501,""),act,(msst="W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5" s="4" t="e">
        <f t="shared" ca="1" si="0"/>
        <v>#NAME?</v>
      </c>
    </row>
    <row r="16" spans="1:4" x14ac:dyDescent="0.25">
      <c r="A16" s="4">
        <f>Pracownicy!A16</f>
        <v>0</v>
      </c>
      <c r="B16" s="4">
        <f>Pracownicy!B16</f>
        <v>0</v>
      </c>
      <c r="C16" s="4" t="e">
        <f ca="1">IF(A16="","",_xludf.LET(emp,A16,e,Zaangażowanie!$A$2:$A$501,ms,Zaangażowanie!$C$2:$C$501,sh,Zaangażowanie!$E$2:$E$501,msst,_xludf.XLOOKUP(ms,Milestones!$A$2:$A$501,Milestones!$G$2:$G$501,""),act,(msst="W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6" s="4" t="e">
        <f t="shared" ca="1" si="0"/>
        <v>#NAME?</v>
      </c>
    </row>
    <row r="17" spans="1:4" x14ac:dyDescent="0.25">
      <c r="A17" s="4">
        <f>Pracownicy!A17</f>
        <v>0</v>
      </c>
      <c r="B17" s="4">
        <f>Pracownicy!B17</f>
        <v>0</v>
      </c>
      <c r="C17" s="4" t="e">
        <f ca="1">IF(A17="","",_xludf.LET(emp,A17,e,Zaangażowanie!$A$2:$A$501,ms,Zaangażowanie!$C$2:$C$501,sh,Zaangażowanie!$E$2:$E$501,msst,_xludf.XLOOKUP(ms,Milestones!$A$2:$A$501,Milestones!$G$2:$G$501,""),act,(msst="W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7" s="4" t="e">
        <f t="shared" ca="1" si="0"/>
        <v>#NAME?</v>
      </c>
    </row>
    <row r="18" spans="1:4" x14ac:dyDescent="0.25">
      <c r="A18" s="4">
        <f>Pracownicy!A18</f>
        <v>0</v>
      </c>
      <c r="B18" s="4">
        <f>Pracownicy!B18</f>
        <v>0</v>
      </c>
      <c r="C18" s="4" t="e">
        <f ca="1">IF(A18="","",_xludf.LET(emp,A18,e,Zaangażowanie!$A$2:$A$501,ms,Zaangażowanie!$C$2:$C$501,sh,Zaangażowanie!$E$2:$E$501,msst,_xludf.XLOOKUP(ms,Milestones!$A$2:$A$501,Milestones!$G$2:$G$501,""),act,(msst="W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8" s="4" t="e">
        <f t="shared" ca="1" si="0"/>
        <v>#NAME?</v>
      </c>
    </row>
    <row r="19" spans="1:4" x14ac:dyDescent="0.25">
      <c r="A19" s="4">
        <f>Pracownicy!A19</f>
        <v>0</v>
      </c>
      <c r="B19" s="4">
        <f>Pracownicy!B19</f>
        <v>0</v>
      </c>
      <c r="C19" s="4" t="e">
        <f ca="1">IF(A19="","",_xludf.LET(emp,A19,e,Zaangażowanie!$A$2:$A$501,ms,Zaangażowanie!$C$2:$C$501,sh,Zaangażowanie!$E$2:$E$501,msst,_xludf.XLOOKUP(ms,Milestones!$A$2:$A$501,Milestones!$G$2:$G$501,""),act,(msst="W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9" s="4" t="e">
        <f t="shared" ca="1" si="0"/>
        <v>#NAME?</v>
      </c>
    </row>
    <row r="20" spans="1:4" x14ac:dyDescent="0.25">
      <c r="A20" s="4">
        <f>Pracownicy!A20</f>
        <v>0</v>
      </c>
      <c r="B20" s="4">
        <f>Pracownicy!B20</f>
        <v>0</v>
      </c>
      <c r="C20" s="4" t="e">
        <f ca="1">IF(A20="","",_xludf.LET(emp,A20,e,Zaangażowanie!$A$2:$A$501,ms,Zaangażowanie!$C$2:$C$501,sh,Zaangażowanie!$E$2:$E$501,msst,_xludf.XLOOKUP(ms,Milestones!$A$2:$A$501,Milestones!$G$2:$G$501,""),act,(msst="W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0" s="4" t="e">
        <f t="shared" ca="1" si="0"/>
        <v>#NAME?</v>
      </c>
    </row>
    <row r="21" spans="1:4" x14ac:dyDescent="0.25">
      <c r="A21" s="4">
        <f>Pracownicy!A21</f>
        <v>0</v>
      </c>
      <c r="B21" s="4">
        <f>Pracownicy!B21</f>
        <v>0</v>
      </c>
      <c r="C21" s="4" t="e">
        <f ca="1">IF(A21="","",_xludf.LET(emp,A21,e,Zaangażowanie!$A$2:$A$501,ms,Zaangażowanie!$C$2:$C$501,sh,Zaangażowanie!$E$2:$E$501,msst,_xludf.XLOOKUP(ms,Milestones!$A$2:$A$501,Milestones!$G$2:$G$501,""),act,(msst="W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1" s="4" t="e">
        <f t="shared" ca="1" si="0"/>
        <v>#NAME?</v>
      </c>
    </row>
    <row r="22" spans="1:4" x14ac:dyDescent="0.25">
      <c r="A22" s="4">
        <f>Pracownicy!A22</f>
        <v>0</v>
      </c>
      <c r="B22" s="4">
        <f>Pracownicy!B22</f>
        <v>0</v>
      </c>
      <c r="C22" s="4" t="e">
        <f ca="1">IF(A22="","",_xludf.LET(emp,A22,e,Zaangażowanie!$A$2:$A$501,ms,Zaangażowanie!$C$2:$C$501,sh,Zaangażowanie!$E$2:$E$501,msst,_xludf.XLOOKUP(ms,Milestones!$A$2:$A$501,Milestones!$G$2:$G$501,""),act,(msst="W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2" s="4" t="e">
        <f t="shared" ca="1" si="0"/>
        <v>#NAME?</v>
      </c>
    </row>
    <row r="23" spans="1:4" x14ac:dyDescent="0.25">
      <c r="A23" s="4">
        <f>Pracownicy!A23</f>
        <v>0</v>
      </c>
      <c r="B23" s="4">
        <f>Pracownicy!B23</f>
        <v>0</v>
      </c>
      <c r="C23" s="4" t="e">
        <f ca="1">IF(A23="","",_xludf.LET(emp,A23,e,Zaangażowanie!$A$2:$A$501,ms,Zaangażowanie!$C$2:$C$501,sh,Zaangażowanie!$E$2:$E$501,msst,_xludf.XLOOKUP(ms,Milestones!$A$2:$A$501,Milestones!$G$2:$G$501,""),act,(msst="W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3" s="4" t="e">
        <f t="shared" ca="1" si="0"/>
        <v>#NAME?</v>
      </c>
    </row>
    <row r="24" spans="1:4" x14ac:dyDescent="0.25">
      <c r="A24" s="4">
        <f>Pracownicy!A24</f>
        <v>0</v>
      </c>
      <c r="B24" s="4">
        <f>Pracownicy!B24</f>
        <v>0</v>
      </c>
      <c r="C24" s="4" t="e">
        <f ca="1">IF(A24="","",_xludf.LET(emp,A24,e,Zaangażowanie!$A$2:$A$501,ms,Zaangażowanie!$C$2:$C$501,sh,Zaangażowanie!$E$2:$E$501,msst,_xludf.XLOOKUP(ms,Milestones!$A$2:$A$501,Milestones!$G$2:$G$501,""),act,(msst="W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4" s="4" t="e">
        <f t="shared" ca="1" si="0"/>
        <v>#NAME?</v>
      </c>
    </row>
    <row r="25" spans="1:4" x14ac:dyDescent="0.25">
      <c r="A25" s="4">
        <f>Pracownicy!A25</f>
        <v>0</v>
      </c>
      <c r="B25" s="4">
        <f>Pracownicy!B25</f>
        <v>0</v>
      </c>
      <c r="C25" s="4" t="e">
        <f ca="1">IF(A25="","",_xludf.LET(emp,A25,e,Zaangażowanie!$A$2:$A$501,ms,Zaangażowanie!$C$2:$C$501,sh,Zaangażowanie!$E$2:$E$501,msst,_xludf.XLOOKUP(ms,Milestones!$A$2:$A$501,Milestones!$G$2:$G$501,""),act,(msst="W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5" s="4" t="e">
        <f t="shared" ca="1" si="0"/>
        <v>#NAME?</v>
      </c>
    </row>
    <row r="26" spans="1:4" x14ac:dyDescent="0.25">
      <c r="A26" s="4">
        <f>Pracownicy!A26</f>
        <v>0</v>
      </c>
      <c r="B26" s="4">
        <f>Pracownicy!B26</f>
        <v>0</v>
      </c>
      <c r="C26" s="4" t="e">
        <f ca="1">IF(A26="","",_xludf.LET(emp,A26,e,Zaangażowanie!$A$2:$A$501,ms,Zaangażowanie!$C$2:$C$501,sh,Zaangażowanie!$E$2:$E$501,msst,_xludf.XLOOKUP(ms,Milestones!$A$2:$A$501,Milestones!$G$2:$G$501,""),act,(msst="W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6" s="4" t="e">
        <f t="shared" ca="1" si="0"/>
        <v>#NAME?</v>
      </c>
    </row>
    <row r="27" spans="1:4" x14ac:dyDescent="0.25">
      <c r="A27" s="4">
        <f>Pracownicy!A27</f>
        <v>0</v>
      </c>
      <c r="B27" s="4">
        <f>Pracownicy!B27</f>
        <v>0</v>
      </c>
      <c r="C27" s="4" t="e">
        <f ca="1">IF(A27="","",_xludf.LET(emp,A27,e,Zaangażowanie!$A$2:$A$501,ms,Zaangażowanie!$C$2:$C$501,sh,Zaangażowanie!$E$2:$E$501,msst,_xludf.XLOOKUP(ms,Milestones!$A$2:$A$501,Milestones!$G$2:$G$501,""),act,(msst="W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7" s="4" t="e">
        <f t="shared" ca="1" si="0"/>
        <v>#NAME?</v>
      </c>
    </row>
    <row r="28" spans="1:4" x14ac:dyDescent="0.25">
      <c r="A28" s="4">
        <f>Pracownicy!A28</f>
        <v>0</v>
      </c>
      <c r="B28" s="4">
        <f>Pracownicy!B28</f>
        <v>0</v>
      </c>
      <c r="C28" s="4" t="e">
        <f ca="1">IF(A28="","",_xludf.LET(emp,A28,e,Zaangażowanie!$A$2:$A$501,ms,Zaangażowanie!$C$2:$C$501,sh,Zaangażowanie!$E$2:$E$501,msst,_xludf.XLOOKUP(ms,Milestones!$A$2:$A$501,Milestones!$G$2:$G$501,""),act,(msst="W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8" s="4" t="e">
        <f t="shared" ca="1" si="0"/>
        <v>#NAME?</v>
      </c>
    </row>
    <row r="29" spans="1:4" x14ac:dyDescent="0.25">
      <c r="A29" s="4">
        <f>Pracownicy!A29</f>
        <v>0</v>
      </c>
      <c r="B29" s="4">
        <f>Pracownicy!B29</f>
        <v>0</v>
      </c>
      <c r="C29" s="4" t="e">
        <f ca="1">IF(A29="","",_xludf.LET(emp,A29,e,Zaangażowanie!$A$2:$A$501,ms,Zaangażowanie!$C$2:$C$501,sh,Zaangażowanie!$E$2:$E$501,msst,_xludf.XLOOKUP(ms,Milestones!$A$2:$A$501,Milestones!$G$2:$G$501,""),act,(msst="W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9" s="4" t="e">
        <f t="shared" ca="1" si="0"/>
        <v>#NAME?</v>
      </c>
    </row>
    <row r="30" spans="1:4" x14ac:dyDescent="0.25">
      <c r="A30" s="4">
        <f>Pracownicy!A30</f>
        <v>0</v>
      </c>
      <c r="B30" s="4">
        <f>Pracownicy!B30</f>
        <v>0</v>
      </c>
      <c r="C30" s="4" t="e">
        <f ca="1">IF(A30="","",_xludf.LET(emp,A30,e,Zaangażowanie!$A$2:$A$501,ms,Zaangażowanie!$C$2:$C$501,sh,Zaangażowanie!$E$2:$E$501,msst,_xludf.XLOOKUP(ms,Milestones!$A$2:$A$501,Milestones!$G$2:$G$501,""),act,(msst="W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0" s="4" t="e">
        <f t="shared" ca="1" si="0"/>
        <v>#NAME?</v>
      </c>
    </row>
    <row r="31" spans="1:4" x14ac:dyDescent="0.25">
      <c r="A31" s="4">
        <f>Pracownicy!A31</f>
        <v>0</v>
      </c>
      <c r="B31" s="4">
        <f>Pracownicy!B31</f>
        <v>0</v>
      </c>
      <c r="C31" s="4" t="e">
        <f ca="1">IF(A31="","",_xludf.LET(emp,A31,e,Zaangażowanie!$A$2:$A$501,ms,Zaangażowanie!$C$2:$C$501,sh,Zaangażowanie!$E$2:$E$501,msst,_xludf.XLOOKUP(ms,Milestones!$A$2:$A$501,Milestones!$G$2:$G$501,""),act,(msst="W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1" s="4" t="e">
        <f t="shared" ca="1" si="0"/>
        <v>#NAME?</v>
      </c>
    </row>
    <row r="32" spans="1:4" x14ac:dyDescent="0.25">
      <c r="A32" s="4">
        <f>Pracownicy!A32</f>
        <v>0</v>
      </c>
      <c r="B32" s="4">
        <f>Pracownicy!B32</f>
        <v>0</v>
      </c>
      <c r="C32" s="4" t="e">
        <f ca="1">IF(A32="","",_xludf.LET(emp,A32,e,Zaangażowanie!$A$2:$A$501,ms,Zaangażowanie!$C$2:$C$501,sh,Zaangażowanie!$E$2:$E$501,msst,_xludf.XLOOKUP(ms,Milestones!$A$2:$A$501,Milestones!$G$2:$G$501,""),act,(msst="W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2" s="4" t="e">
        <f t="shared" ca="1" si="0"/>
        <v>#NAME?</v>
      </c>
    </row>
    <row r="33" spans="1:4" x14ac:dyDescent="0.25">
      <c r="A33" s="4">
        <f>Pracownicy!A33</f>
        <v>0</v>
      </c>
      <c r="B33" s="4">
        <f>Pracownicy!B33</f>
        <v>0</v>
      </c>
      <c r="C33" s="4" t="e">
        <f ca="1">IF(A33="","",_xludf.LET(emp,A33,e,Zaangażowanie!$A$2:$A$501,ms,Zaangażowanie!$C$2:$C$501,sh,Zaangażowanie!$E$2:$E$501,msst,_xludf.XLOOKUP(ms,Milestones!$A$2:$A$501,Milestones!$G$2:$G$501,""),act,(msst="W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3" s="4" t="e">
        <f t="shared" ca="1" si="0"/>
        <v>#NAME?</v>
      </c>
    </row>
    <row r="34" spans="1:4" x14ac:dyDescent="0.25">
      <c r="A34" s="4">
        <f>Pracownicy!A34</f>
        <v>0</v>
      </c>
      <c r="B34" s="4">
        <f>Pracownicy!B34</f>
        <v>0</v>
      </c>
      <c r="C34" s="4" t="e">
        <f ca="1">IF(A34="","",_xludf.LET(emp,A34,e,Zaangażowanie!$A$2:$A$501,ms,Zaangażowanie!$C$2:$C$501,sh,Zaangażowanie!$E$2:$E$501,msst,_xludf.XLOOKUP(ms,Milestones!$A$2:$A$501,Milestones!$G$2:$G$501,""),act,(msst="W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4" s="4" t="e">
        <f t="shared" ca="1" si="0"/>
        <v>#NAME?</v>
      </c>
    </row>
    <row r="35" spans="1:4" x14ac:dyDescent="0.25">
      <c r="A35" s="4">
        <f>Pracownicy!A35</f>
        <v>0</v>
      </c>
      <c r="B35" s="4">
        <f>Pracownicy!B35</f>
        <v>0</v>
      </c>
      <c r="C35" s="4" t="e">
        <f ca="1">IF(A35="","",_xludf.LET(emp,A35,e,Zaangażowanie!$A$2:$A$501,ms,Zaangażowanie!$C$2:$C$501,sh,Zaangażowanie!$E$2:$E$501,msst,_xludf.XLOOKUP(ms,Milestones!$A$2:$A$501,Milestones!$G$2:$G$501,""),act,(msst="W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5" s="4" t="e">
        <f t="shared" ca="1" si="0"/>
        <v>#NAME?</v>
      </c>
    </row>
    <row r="36" spans="1:4" x14ac:dyDescent="0.25">
      <c r="A36" s="4">
        <f>Pracownicy!A36</f>
        <v>0</v>
      </c>
      <c r="B36" s="4">
        <f>Pracownicy!B36</f>
        <v>0</v>
      </c>
      <c r="C36" s="4" t="e">
        <f ca="1">IF(A36="","",_xludf.LET(emp,A36,e,Zaangażowanie!$A$2:$A$501,ms,Zaangażowanie!$C$2:$C$501,sh,Zaangażowanie!$E$2:$E$501,msst,_xludf.XLOOKUP(ms,Milestones!$A$2:$A$501,Milestones!$G$2:$G$501,""),act,(msst="W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6" s="4" t="e">
        <f t="shared" ca="1" si="0"/>
        <v>#NAME?</v>
      </c>
    </row>
    <row r="37" spans="1:4" x14ac:dyDescent="0.25">
      <c r="A37" s="4">
        <f>Pracownicy!A37</f>
        <v>0</v>
      </c>
      <c r="B37" s="4">
        <f>Pracownicy!B37</f>
        <v>0</v>
      </c>
      <c r="C37" s="4" t="e">
        <f ca="1">IF(A37="","",_xludf.LET(emp,A37,e,Zaangażowanie!$A$2:$A$501,ms,Zaangażowanie!$C$2:$C$501,sh,Zaangażowanie!$E$2:$E$501,msst,_xludf.XLOOKUP(ms,Milestones!$A$2:$A$501,Milestones!$G$2:$G$501,""),act,(msst="W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7" s="4" t="e">
        <f t="shared" ca="1" si="0"/>
        <v>#NAME?</v>
      </c>
    </row>
    <row r="38" spans="1:4" x14ac:dyDescent="0.25">
      <c r="A38" s="4">
        <f>Pracownicy!A38</f>
        <v>0</v>
      </c>
      <c r="B38" s="4">
        <f>Pracownicy!B38</f>
        <v>0</v>
      </c>
      <c r="C38" s="4" t="e">
        <f ca="1">IF(A38="","",_xludf.LET(emp,A38,e,Zaangażowanie!$A$2:$A$501,ms,Zaangażowanie!$C$2:$C$501,sh,Zaangażowanie!$E$2:$E$501,msst,_xludf.XLOOKUP(ms,Milestones!$A$2:$A$501,Milestones!$G$2:$G$501,""),act,(msst="W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8" s="4" t="e">
        <f t="shared" ca="1" si="0"/>
        <v>#NAME?</v>
      </c>
    </row>
    <row r="39" spans="1:4" x14ac:dyDescent="0.25">
      <c r="A39" s="4">
        <f>Pracownicy!A39</f>
        <v>0</v>
      </c>
      <c r="B39" s="4">
        <f>Pracownicy!B39</f>
        <v>0</v>
      </c>
      <c r="C39" s="4" t="e">
        <f ca="1">IF(A39="","",_xludf.LET(emp,A39,e,Zaangażowanie!$A$2:$A$501,ms,Zaangażowanie!$C$2:$C$501,sh,Zaangażowanie!$E$2:$E$501,msst,_xludf.XLOOKUP(ms,Milestones!$A$2:$A$501,Milestones!$G$2:$G$501,""),act,(msst="W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9" s="4" t="e">
        <f t="shared" ca="1" si="0"/>
        <v>#NAME?</v>
      </c>
    </row>
    <row r="40" spans="1:4" x14ac:dyDescent="0.25">
      <c r="A40" s="4">
        <f>Pracownicy!A40</f>
        <v>0</v>
      </c>
      <c r="B40" s="4">
        <f>Pracownicy!B40</f>
        <v>0</v>
      </c>
      <c r="C40" s="4" t="e">
        <f ca="1">IF(A40="","",_xludf.LET(emp,A40,e,Zaangażowanie!$A$2:$A$501,ms,Zaangażowanie!$C$2:$C$501,sh,Zaangażowanie!$E$2:$E$501,msst,_xludf.XLOOKUP(ms,Milestones!$A$2:$A$501,Milestones!$G$2:$G$501,""),act,(msst="W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0" s="4" t="e">
        <f t="shared" ca="1" si="0"/>
        <v>#NAME?</v>
      </c>
    </row>
    <row r="41" spans="1:4" x14ac:dyDescent="0.25">
      <c r="A41" s="4">
        <f>Pracownicy!A41</f>
        <v>0</v>
      </c>
      <c r="B41" s="4">
        <f>Pracownicy!B41</f>
        <v>0</v>
      </c>
      <c r="C41" s="4" t="e">
        <f ca="1">IF(A41="","",_xludf.LET(emp,A41,e,Zaangażowanie!$A$2:$A$501,ms,Zaangażowanie!$C$2:$C$501,sh,Zaangażowanie!$E$2:$E$501,msst,_xludf.XLOOKUP(ms,Milestones!$A$2:$A$501,Milestones!$G$2:$G$501,""),act,(msst="W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1" s="4" t="e">
        <f t="shared" ca="1" si="0"/>
        <v>#NAME?</v>
      </c>
    </row>
    <row r="42" spans="1:4" x14ac:dyDescent="0.25">
      <c r="A42" s="4">
        <f>Pracownicy!A42</f>
        <v>0</v>
      </c>
      <c r="B42" s="4">
        <f>Pracownicy!B42</f>
        <v>0</v>
      </c>
      <c r="C42" s="4" t="e">
        <f ca="1">IF(A42="","",_xludf.LET(emp,A42,e,Zaangażowanie!$A$2:$A$501,ms,Zaangażowanie!$C$2:$C$501,sh,Zaangażowanie!$E$2:$E$501,msst,_xludf.XLOOKUP(ms,Milestones!$A$2:$A$501,Milestones!$G$2:$G$501,""),act,(msst="W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2" s="4" t="e">
        <f t="shared" ca="1" si="0"/>
        <v>#NAME?</v>
      </c>
    </row>
    <row r="43" spans="1:4" x14ac:dyDescent="0.25">
      <c r="A43" s="4">
        <f>Pracownicy!A43</f>
        <v>0</v>
      </c>
      <c r="B43" s="4">
        <f>Pracownicy!B43</f>
        <v>0</v>
      </c>
      <c r="C43" s="4" t="e">
        <f ca="1">IF(A43="","",_xludf.LET(emp,A43,e,Zaangażowanie!$A$2:$A$501,ms,Zaangażowanie!$C$2:$C$501,sh,Zaangażowanie!$E$2:$E$501,msst,_xludf.XLOOKUP(ms,Milestones!$A$2:$A$501,Milestones!$G$2:$G$501,""),act,(msst="W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3" s="4" t="e">
        <f t="shared" ca="1" si="0"/>
        <v>#NAME?</v>
      </c>
    </row>
    <row r="44" spans="1:4" x14ac:dyDescent="0.25">
      <c r="A44" s="4">
        <f>Pracownicy!A44</f>
        <v>0</v>
      </c>
      <c r="B44" s="4">
        <f>Pracownicy!B44</f>
        <v>0</v>
      </c>
      <c r="C44" s="4" t="e">
        <f ca="1">IF(A44="","",_xludf.LET(emp,A44,e,Zaangażowanie!$A$2:$A$501,ms,Zaangażowanie!$C$2:$C$501,sh,Zaangażowanie!$E$2:$E$501,msst,_xludf.XLOOKUP(ms,Milestones!$A$2:$A$501,Milestones!$G$2:$G$501,""),act,(msst="W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4" s="4" t="e">
        <f t="shared" ca="1" si="0"/>
        <v>#NAME?</v>
      </c>
    </row>
    <row r="45" spans="1:4" x14ac:dyDescent="0.25">
      <c r="A45" s="4">
        <f>Pracownicy!A45</f>
        <v>0</v>
      </c>
      <c r="B45" s="4">
        <f>Pracownicy!B45</f>
        <v>0</v>
      </c>
      <c r="C45" s="4" t="e">
        <f ca="1">IF(A45="","",_xludf.LET(emp,A45,e,Zaangażowanie!$A$2:$A$501,ms,Zaangażowanie!$C$2:$C$501,sh,Zaangażowanie!$E$2:$E$501,msst,_xludf.XLOOKUP(ms,Milestones!$A$2:$A$501,Milestones!$G$2:$G$501,""),act,(msst="W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5" s="4" t="e">
        <f t="shared" ca="1" si="0"/>
        <v>#NAME?</v>
      </c>
    </row>
    <row r="46" spans="1:4" x14ac:dyDescent="0.25">
      <c r="A46" s="4">
        <f>Pracownicy!A46</f>
        <v>0</v>
      </c>
      <c r="B46" s="4">
        <f>Pracownicy!B46</f>
        <v>0</v>
      </c>
      <c r="C46" s="4" t="e">
        <f ca="1">IF(A46="","",_xludf.LET(emp,A46,e,Zaangażowanie!$A$2:$A$501,ms,Zaangażowanie!$C$2:$C$501,sh,Zaangażowanie!$E$2:$E$501,msst,_xludf.XLOOKUP(ms,Milestones!$A$2:$A$501,Milestones!$G$2:$G$501,""),act,(msst="W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6" s="4" t="e">
        <f t="shared" ca="1" si="0"/>
        <v>#NAME?</v>
      </c>
    </row>
    <row r="47" spans="1:4" x14ac:dyDescent="0.25">
      <c r="A47" s="4">
        <f>Pracownicy!A47</f>
        <v>0</v>
      </c>
      <c r="B47" s="4">
        <f>Pracownicy!B47</f>
        <v>0</v>
      </c>
      <c r="C47" s="4" t="e">
        <f ca="1">IF(A47="","",_xludf.LET(emp,A47,e,Zaangażowanie!$A$2:$A$501,ms,Zaangażowanie!$C$2:$C$501,sh,Zaangażowanie!$E$2:$E$501,msst,_xludf.XLOOKUP(ms,Milestones!$A$2:$A$501,Milestones!$G$2:$G$501,""),act,(msst="W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7" s="4" t="e">
        <f t="shared" ca="1" si="0"/>
        <v>#NAME?</v>
      </c>
    </row>
    <row r="48" spans="1:4" x14ac:dyDescent="0.25">
      <c r="A48" s="4">
        <f>Pracownicy!A48</f>
        <v>0</v>
      </c>
      <c r="B48" s="4">
        <f>Pracownicy!B48</f>
        <v>0</v>
      </c>
      <c r="C48" s="4" t="e">
        <f ca="1">IF(A48="","",_xludf.LET(emp,A48,e,Zaangażowanie!$A$2:$A$501,ms,Zaangażowanie!$C$2:$C$501,sh,Zaangażowanie!$E$2:$E$501,msst,_xludf.XLOOKUP(ms,Milestones!$A$2:$A$501,Milestones!$G$2:$G$501,""),act,(msst="W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8" s="4" t="e">
        <f t="shared" ca="1" si="0"/>
        <v>#NAME?</v>
      </c>
    </row>
    <row r="49" spans="1:4" x14ac:dyDescent="0.25">
      <c r="A49" s="4">
        <f>Pracownicy!A49</f>
        <v>0</v>
      </c>
      <c r="B49" s="4">
        <f>Pracownicy!B49</f>
        <v>0</v>
      </c>
      <c r="C49" s="4" t="e">
        <f ca="1">IF(A49="","",_xludf.LET(emp,A49,e,Zaangażowanie!$A$2:$A$501,ms,Zaangażowanie!$C$2:$C$501,sh,Zaangażowanie!$E$2:$E$501,msst,_xludf.XLOOKUP(ms,Milestones!$A$2:$A$501,Milestones!$G$2:$G$501,""),act,(msst="W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9" s="4" t="e">
        <f t="shared" ca="1" si="0"/>
        <v>#NAME?</v>
      </c>
    </row>
    <row r="50" spans="1:4" x14ac:dyDescent="0.25">
      <c r="A50" s="4">
        <f>Pracownicy!A50</f>
        <v>0</v>
      </c>
      <c r="B50" s="4">
        <f>Pracownicy!B50</f>
        <v>0</v>
      </c>
      <c r="C50" s="4" t="e">
        <f ca="1">IF(A50="","",_xludf.LET(emp,A50,e,Zaangażowanie!$A$2:$A$501,ms,Zaangażowanie!$C$2:$C$501,sh,Zaangażowanie!$E$2:$E$501,msst,_xludf.XLOOKUP(ms,Milestones!$A$2:$A$501,Milestones!$G$2:$G$501,""),act,(msst="W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0" s="4" t="e">
        <f t="shared" ca="1" si="0"/>
        <v>#NAME?</v>
      </c>
    </row>
    <row r="51" spans="1:4" x14ac:dyDescent="0.25">
      <c r="A51" s="4">
        <f>Pracownicy!A51</f>
        <v>0</v>
      </c>
      <c r="B51" s="4">
        <f>Pracownicy!B51</f>
        <v>0</v>
      </c>
      <c r="C51" s="4" t="e">
        <f ca="1">IF(A51="","",_xludf.LET(emp,A51,e,Zaangażowanie!$A$2:$A$501,ms,Zaangażowanie!$C$2:$C$501,sh,Zaangażowanie!$E$2:$E$501,msst,_xludf.XLOOKUP(ms,Milestones!$A$2:$A$501,Milestones!$G$2:$G$501,""),act,(msst="W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1" s="4" t="e">
        <f t="shared" ca="1" si="0"/>
        <v>#NAME?</v>
      </c>
    </row>
    <row r="52" spans="1:4" x14ac:dyDescent="0.25">
      <c r="A52" s="4">
        <f>Pracownicy!A52</f>
        <v>0</v>
      </c>
      <c r="B52" s="4">
        <f>Pracownicy!B52</f>
        <v>0</v>
      </c>
      <c r="C52" s="4" t="e">
        <f ca="1">IF(A52="","",_xludf.LET(emp,A52,e,Zaangażowanie!$A$2:$A$501,ms,Zaangażowanie!$C$2:$C$501,sh,Zaangażowanie!$E$2:$E$501,msst,_xludf.XLOOKUP(ms,Milestones!$A$2:$A$501,Milestones!$G$2:$G$501,""),act,(msst="W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2" s="4" t="e">
        <f t="shared" ca="1" si="0"/>
        <v>#NAME?</v>
      </c>
    </row>
    <row r="53" spans="1:4" x14ac:dyDescent="0.25">
      <c r="A53" s="4">
        <f>Pracownicy!A53</f>
        <v>0</v>
      </c>
      <c r="B53" s="4">
        <f>Pracownicy!B53</f>
        <v>0</v>
      </c>
      <c r="C53" s="4" t="e">
        <f ca="1">IF(A53="","",_xludf.LET(emp,A53,e,Zaangażowanie!$A$2:$A$501,ms,Zaangażowanie!$C$2:$C$501,sh,Zaangażowanie!$E$2:$E$501,msst,_xludf.XLOOKUP(ms,Milestones!$A$2:$A$501,Milestones!$G$2:$G$501,""),act,(msst="W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3" s="4" t="e">
        <f t="shared" ca="1" si="0"/>
        <v>#NAME?</v>
      </c>
    </row>
    <row r="54" spans="1:4" x14ac:dyDescent="0.25">
      <c r="A54" s="4">
        <f>Pracownicy!A54</f>
        <v>0</v>
      </c>
      <c r="B54" s="4">
        <f>Pracownicy!B54</f>
        <v>0</v>
      </c>
      <c r="C54" s="4" t="e">
        <f ca="1">IF(A54="","",_xludf.LET(emp,A54,e,Zaangażowanie!$A$2:$A$501,ms,Zaangażowanie!$C$2:$C$501,sh,Zaangażowanie!$E$2:$E$501,msst,_xludf.XLOOKUP(ms,Milestones!$A$2:$A$501,Milestones!$G$2:$G$501,""),act,(msst="W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4" s="4" t="e">
        <f t="shared" ca="1" si="0"/>
        <v>#NAME?</v>
      </c>
    </row>
    <row r="55" spans="1:4" x14ac:dyDescent="0.25">
      <c r="A55" s="4">
        <f>Pracownicy!A55</f>
        <v>0</v>
      </c>
      <c r="B55" s="4">
        <f>Pracownicy!B55</f>
        <v>0</v>
      </c>
      <c r="C55" s="4" t="e">
        <f ca="1">IF(A55="","",_xludf.LET(emp,A55,e,Zaangażowanie!$A$2:$A$501,ms,Zaangażowanie!$C$2:$C$501,sh,Zaangażowanie!$E$2:$E$501,msst,_xludf.XLOOKUP(ms,Milestones!$A$2:$A$501,Milestones!$G$2:$G$501,""),act,(msst="W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5" s="4" t="e">
        <f t="shared" ca="1" si="0"/>
        <v>#NAME?</v>
      </c>
    </row>
    <row r="56" spans="1:4" x14ac:dyDescent="0.25">
      <c r="A56" s="4">
        <f>Pracownicy!A56</f>
        <v>0</v>
      </c>
      <c r="B56" s="4">
        <f>Pracownicy!B56</f>
        <v>0</v>
      </c>
      <c r="C56" s="4" t="e">
        <f ca="1">IF(A56="","",_xludf.LET(emp,A56,e,Zaangażowanie!$A$2:$A$501,ms,Zaangażowanie!$C$2:$C$501,sh,Zaangażowanie!$E$2:$E$501,msst,_xludf.XLOOKUP(ms,Milestones!$A$2:$A$501,Milestones!$G$2:$G$501,""),act,(msst="W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6" s="4" t="e">
        <f t="shared" ca="1" si="0"/>
        <v>#NAME?</v>
      </c>
    </row>
    <row r="57" spans="1:4" x14ac:dyDescent="0.25">
      <c r="A57" s="4">
        <f>Pracownicy!A57</f>
        <v>0</v>
      </c>
      <c r="B57" s="4">
        <f>Pracownicy!B57</f>
        <v>0</v>
      </c>
      <c r="C57" s="4" t="e">
        <f ca="1">IF(A57="","",_xludf.LET(emp,A57,e,Zaangażowanie!$A$2:$A$501,ms,Zaangażowanie!$C$2:$C$501,sh,Zaangażowanie!$E$2:$E$501,msst,_xludf.XLOOKUP(ms,Milestones!$A$2:$A$501,Milestones!$G$2:$G$501,""),act,(msst="W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7" s="4" t="e">
        <f t="shared" ca="1" si="0"/>
        <v>#NAME?</v>
      </c>
    </row>
    <row r="58" spans="1:4" x14ac:dyDescent="0.25">
      <c r="A58" s="4">
        <f>Pracownicy!A58</f>
        <v>0</v>
      </c>
      <c r="B58" s="4">
        <f>Pracownicy!B58</f>
        <v>0</v>
      </c>
      <c r="C58" s="4" t="e">
        <f ca="1">IF(A58="","",_xludf.LET(emp,A58,e,Zaangażowanie!$A$2:$A$501,ms,Zaangażowanie!$C$2:$C$501,sh,Zaangażowanie!$E$2:$E$501,msst,_xludf.XLOOKUP(ms,Milestones!$A$2:$A$501,Milestones!$G$2:$G$501,""),act,(msst="W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8" s="4" t="e">
        <f t="shared" ca="1" si="0"/>
        <v>#NAME?</v>
      </c>
    </row>
    <row r="59" spans="1:4" x14ac:dyDescent="0.25">
      <c r="A59" s="4">
        <f>Pracownicy!A59</f>
        <v>0</v>
      </c>
      <c r="B59" s="4">
        <f>Pracownicy!B59</f>
        <v>0</v>
      </c>
      <c r="C59" s="4" t="e">
        <f ca="1">IF(A59="","",_xludf.LET(emp,A59,e,Zaangażowanie!$A$2:$A$501,ms,Zaangażowanie!$C$2:$C$501,sh,Zaangażowanie!$E$2:$E$501,msst,_xludf.XLOOKUP(ms,Milestones!$A$2:$A$501,Milestones!$G$2:$G$501,""),act,(msst="W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9" s="4" t="e">
        <f t="shared" ca="1" si="0"/>
        <v>#NAME?</v>
      </c>
    </row>
    <row r="60" spans="1:4" x14ac:dyDescent="0.25">
      <c r="A60" s="4">
        <f>Pracownicy!A60</f>
        <v>0</v>
      </c>
      <c r="B60" s="4">
        <f>Pracownicy!B60</f>
        <v>0</v>
      </c>
      <c r="C60" s="4" t="e">
        <f ca="1">IF(A60="","",_xludf.LET(emp,A60,e,Zaangażowanie!$A$2:$A$501,ms,Zaangażowanie!$C$2:$C$501,sh,Zaangażowanie!$E$2:$E$501,msst,_xludf.XLOOKUP(ms,Milestones!$A$2:$A$501,Milestones!$G$2:$G$501,""),act,(msst="W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60" s="4" t="e">
        <f t="shared" ca="1" si="0"/>
        <v>#NAME?</v>
      </c>
    </row>
    <row r="61" spans="1:4" x14ac:dyDescent="0.25">
      <c r="A61" s="4">
        <f>Pracownicy!A61</f>
        <v>0</v>
      </c>
      <c r="B61" s="4">
        <f>Pracownicy!B61</f>
        <v>0</v>
      </c>
      <c r="C61" s="4" t="e">
        <f ca="1">IF(A61="","",_xludf.LET(emp,A61,e,Zaangażowanie!$A$2:$A$501,ms,Zaangażowanie!$C$2:$C$501,sh,Zaangażowanie!$E$2:$E$501,msst,_xludf.XLOOKUP(ms,Milestones!$A$2:$A$501,Milestones!$G$2:$G$501,""),act,(msst="W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61" s="4" t="e">
        <f t="shared" ca="1" si="0"/>
        <v>#NAME?</v>
      </c>
    </row>
    <row r="62" spans="1:4" x14ac:dyDescent="0.25">
      <c r="A62" s="4">
        <f>Pracownicy!A62</f>
        <v>0</v>
      </c>
      <c r="B62" s="4">
        <f>Pracownicy!B62</f>
        <v>0</v>
      </c>
      <c r="C62" s="4" t="e">
        <f ca="1">IF(A62="","",_xludf.LET(emp,A62,e,Zaangażowanie!$A$2:$A$501,ms,Zaangażowanie!$C$2:$C$501,sh,Zaangażowanie!$E$2:$E$501,msst,_xludf.XLOOKUP(ms,Milestones!$A$2:$A$501,Milestones!$G$2:$G$501,""),act,(msst="W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62" s="4" t="e">
        <f t="shared" ca="1" si="0"/>
        <v>#NAME?</v>
      </c>
    </row>
    <row r="63" spans="1:4" x14ac:dyDescent="0.25">
      <c r="A63" s="4">
        <f>Pracownicy!A63</f>
        <v>0</v>
      </c>
      <c r="B63" s="4">
        <f>Pracownicy!B63</f>
        <v>0</v>
      </c>
      <c r="C63" s="4" t="e">
        <f ca="1">IF(A63="","",_xludf.LET(emp,A63,e,Zaangażowanie!$A$2:$A$501,ms,Zaangażowanie!$C$2:$C$501,sh,Zaangażowanie!$E$2:$E$501,msst,_xludf.XLOOKUP(ms,Milestones!$A$2:$A$501,Milestones!$G$2:$G$501,""),act,(msst="W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63" s="4" t="e">
        <f t="shared" ca="1" si="0"/>
        <v>#NAME?</v>
      </c>
    </row>
    <row r="64" spans="1:4" x14ac:dyDescent="0.25">
      <c r="A64" s="4">
        <f>Pracownicy!A64</f>
        <v>0</v>
      </c>
      <c r="B64" s="4">
        <f>Pracownicy!B64</f>
        <v>0</v>
      </c>
      <c r="C64" s="4" t="e">
        <f ca="1">IF(A64="","",_xludf.LET(emp,A64,e,Zaangażowanie!$A$2:$A$501,ms,Zaangażowanie!$C$2:$C$501,sh,Zaangażowanie!$E$2:$E$501,msst,_xludf.XLOOKUP(ms,Milestones!$A$2:$A$501,Milestones!$G$2:$G$501,""),act,(msst="W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64" s="4" t="e">
        <f t="shared" ca="1" si="0"/>
        <v>#NAME?</v>
      </c>
    </row>
    <row r="65" spans="1:4" x14ac:dyDescent="0.25">
      <c r="A65" s="4">
        <f>Pracownicy!A65</f>
        <v>0</v>
      </c>
      <c r="B65" s="4">
        <f>Pracownicy!B65</f>
        <v>0</v>
      </c>
      <c r="C65" s="4" t="e">
        <f ca="1">IF(A65="","",_xludf.LET(emp,A65,e,Zaangażowanie!$A$2:$A$501,ms,Zaangażowanie!$C$2:$C$501,sh,Zaangażowanie!$E$2:$E$501,msst,_xludf.XLOOKUP(ms,Milestones!$A$2:$A$501,Milestones!$G$2:$G$501,""),act,(msst="W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65" s="4" t="e">
        <f t="shared" ca="1" si="0"/>
        <v>#NAME?</v>
      </c>
    </row>
    <row r="66" spans="1:4" x14ac:dyDescent="0.25">
      <c r="A66" s="4">
        <f>Pracownicy!A66</f>
        <v>0</v>
      </c>
      <c r="B66" s="4">
        <f>Pracownicy!B66</f>
        <v>0</v>
      </c>
      <c r="C66" s="4" t="e">
        <f ca="1">IF(A66="","",_xludf.LET(emp,A66,e,Zaangażowanie!$A$2:$A$501,ms,Zaangażowanie!$C$2:$C$501,sh,Zaangażowanie!$E$2:$E$501,msst,_xludf.XLOOKUP(ms,Milestones!$A$2:$A$501,Milestones!$G$2:$G$501,""),act,(msst="W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66" s="4" t="e">
        <f t="shared" ref="D66:D129" ca="1" si="1">IF(A66="","",IF(C66&lt;=1,"OK","NIE"))</f>
        <v>#NAME?</v>
      </c>
    </row>
    <row r="67" spans="1:4" x14ac:dyDescent="0.25">
      <c r="A67" s="4">
        <f>Pracownicy!A67</f>
        <v>0</v>
      </c>
      <c r="B67" s="4">
        <f>Pracownicy!B67</f>
        <v>0</v>
      </c>
      <c r="C67" s="4" t="e">
        <f ca="1">IF(A67="","",_xludf.LET(emp,A67,e,Zaangażowanie!$A$2:$A$501,ms,Zaangażowanie!$C$2:$C$501,sh,Zaangażowanie!$E$2:$E$501,msst,_xludf.XLOOKUP(ms,Milestones!$A$2:$A$501,Milestones!$G$2:$G$501,""),act,(msst="W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67" s="4" t="e">
        <f t="shared" ca="1" si="1"/>
        <v>#NAME?</v>
      </c>
    </row>
    <row r="68" spans="1:4" x14ac:dyDescent="0.25">
      <c r="A68" s="4">
        <f>Pracownicy!A68</f>
        <v>0</v>
      </c>
      <c r="B68" s="4">
        <f>Pracownicy!B68</f>
        <v>0</v>
      </c>
      <c r="C68" s="4" t="e">
        <f ca="1">IF(A68="","",_xludf.LET(emp,A68,e,Zaangażowanie!$A$2:$A$501,ms,Zaangażowanie!$C$2:$C$501,sh,Zaangażowanie!$E$2:$E$501,msst,_xludf.XLOOKUP(ms,Milestones!$A$2:$A$501,Milestones!$G$2:$G$501,""),act,(msst="W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68" s="4" t="e">
        <f t="shared" ca="1" si="1"/>
        <v>#NAME?</v>
      </c>
    </row>
    <row r="69" spans="1:4" x14ac:dyDescent="0.25">
      <c r="A69" s="4">
        <f>Pracownicy!A69</f>
        <v>0</v>
      </c>
      <c r="B69" s="4">
        <f>Pracownicy!B69</f>
        <v>0</v>
      </c>
      <c r="C69" s="4" t="e">
        <f ca="1">IF(A69="","",_xludf.LET(emp,A69,e,Zaangażowanie!$A$2:$A$501,ms,Zaangażowanie!$C$2:$C$501,sh,Zaangażowanie!$E$2:$E$501,msst,_xludf.XLOOKUP(ms,Milestones!$A$2:$A$501,Milestones!$G$2:$G$501,""),act,(msst="W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69" s="4" t="e">
        <f t="shared" ca="1" si="1"/>
        <v>#NAME?</v>
      </c>
    </row>
    <row r="70" spans="1:4" x14ac:dyDescent="0.25">
      <c r="A70" s="4">
        <f>Pracownicy!A70</f>
        <v>0</v>
      </c>
      <c r="B70" s="4">
        <f>Pracownicy!B70</f>
        <v>0</v>
      </c>
      <c r="C70" s="4" t="e">
        <f ca="1">IF(A70="","",_xludf.LET(emp,A70,e,Zaangażowanie!$A$2:$A$501,ms,Zaangażowanie!$C$2:$C$501,sh,Zaangażowanie!$E$2:$E$501,msst,_xludf.XLOOKUP(ms,Milestones!$A$2:$A$501,Milestones!$G$2:$G$501,""),act,(msst="W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70" s="4" t="e">
        <f t="shared" ca="1" si="1"/>
        <v>#NAME?</v>
      </c>
    </row>
    <row r="71" spans="1:4" x14ac:dyDescent="0.25">
      <c r="A71" s="4">
        <f>Pracownicy!A71</f>
        <v>0</v>
      </c>
      <c r="B71" s="4">
        <f>Pracownicy!B71</f>
        <v>0</v>
      </c>
      <c r="C71" s="4" t="e">
        <f ca="1">IF(A71="","",_xludf.LET(emp,A71,e,Zaangażowanie!$A$2:$A$501,ms,Zaangażowanie!$C$2:$C$501,sh,Zaangażowanie!$E$2:$E$501,msst,_xludf.XLOOKUP(ms,Milestones!$A$2:$A$501,Milestones!$G$2:$G$501,""),act,(msst="W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71" s="4" t="e">
        <f t="shared" ca="1" si="1"/>
        <v>#NAME?</v>
      </c>
    </row>
    <row r="72" spans="1:4" x14ac:dyDescent="0.25">
      <c r="A72" s="4">
        <f>Pracownicy!A72</f>
        <v>0</v>
      </c>
      <c r="B72" s="4">
        <f>Pracownicy!B72</f>
        <v>0</v>
      </c>
      <c r="C72" s="4" t="e">
        <f ca="1">IF(A72="","",_xludf.LET(emp,A72,e,Zaangażowanie!$A$2:$A$501,ms,Zaangażowanie!$C$2:$C$501,sh,Zaangażowanie!$E$2:$E$501,msst,_xludf.XLOOKUP(ms,Milestones!$A$2:$A$501,Milestones!$G$2:$G$501,""),act,(msst="W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72" s="4" t="e">
        <f t="shared" ca="1" si="1"/>
        <v>#NAME?</v>
      </c>
    </row>
    <row r="73" spans="1:4" x14ac:dyDescent="0.25">
      <c r="A73" s="4">
        <f>Pracownicy!A73</f>
        <v>0</v>
      </c>
      <c r="B73" s="4">
        <f>Pracownicy!B73</f>
        <v>0</v>
      </c>
      <c r="C73" s="4" t="e">
        <f ca="1">IF(A73="","",_xludf.LET(emp,A73,e,Zaangażowanie!$A$2:$A$501,ms,Zaangażowanie!$C$2:$C$501,sh,Zaangażowanie!$E$2:$E$501,msst,_xludf.XLOOKUP(ms,Milestones!$A$2:$A$501,Milestones!$G$2:$G$501,""),act,(msst="W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73" s="4" t="e">
        <f t="shared" ca="1" si="1"/>
        <v>#NAME?</v>
      </c>
    </row>
    <row r="74" spans="1:4" x14ac:dyDescent="0.25">
      <c r="A74" s="4">
        <f>Pracownicy!A74</f>
        <v>0</v>
      </c>
      <c r="B74" s="4">
        <f>Pracownicy!B74</f>
        <v>0</v>
      </c>
      <c r="C74" s="4" t="e">
        <f ca="1">IF(A74="","",_xludf.LET(emp,A74,e,Zaangażowanie!$A$2:$A$501,ms,Zaangażowanie!$C$2:$C$501,sh,Zaangażowanie!$E$2:$E$501,msst,_xludf.XLOOKUP(ms,Milestones!$A$2:$A$501,Milestones!$G$2:$G$501,""),act,(msst="W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74" s="4" t="e">
        <f t="shared" ca="1" si="1"/>
        <v>#NAME?</v>
      </c>
    </row>
    <row r="75" spans="1:4" x14ac:dyDescent="0.25">
      <c r="A75" s="4">
        <f>Pracownicy!A75</f>
        <v>0</v>
      </c>
      <c r="B75" s="4">
        <f>Pracownicy!B75</f>
        <v>0</v>
      </c>
      <c r="C75" s="4" t="e">
        <f ca="1">IF(A75="","",_xludf.LET(emp,A75,e,Zaangażowanie!$A$2:$A$501,ms,Zaangażowanie!$C$2:$C$501,sh,Zaangażowanie!$E$2:$E$501,msst,_xludf.XLOOKUP(ms,Milestones!$A$2:$A$501,Milestones!$G$2:$G$501,""),act,(msst="W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75" s="4" t="e">
        <f t="shared" ca="1" si="1"/>
        <v>#NAME?</v>
      </c>
    </row>
    <row r="76" spans="1:4" x14ac:dyDescent="0.25">
      <c r="A76" s="4">
        <f>Pracownicy!A76</f>
        <v>0</v>
      </c>
      <c r="B76" s="4">
        <f>Pracownicy!B76</f>
        <v>0</v>
      </c>
      <c r="C76" s="4" t="e">
        <f ca="1">IF(A76="","",_xludf.LET(emp,A76,e,Zaangażowanie!$A$2:$A$501,ms,Zaangażowanie!$C$2:$C$501,sh,Zaangażowanie!$E$2:$E$501,msst,_xludf.XLOOKUP(ms,Milestones!$A$2:$A$501,Milestones!$G$2:$G$501,""),act,(msst="W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76" s="4" t="e">
        <f t="shared" ca="1" si="1"/>
        <v>#NAME?</v>
      </c>
    </row>
    <row r="77" spans="1:4" x14ac:dyDescent="0.25">
      <c r="A77" s="4">
        <f>Pracownicy!A77</f>
        <v>0</v>
      </c>
      <c r="B77" s="4">
        <f>Pracownicy!B77</f>
        <v>0</v>
      </c>
      <c r="C77" s="4" t="e">
        <f ca="1">IF(A77="","",_xludf.LET(emp,A77,e,Zaangażowanie!$A$2:$A$501,ms,Zaangażowanie!$C$2:$C$501,sh,Zaangażowanie!$E$2:$E$501,msst,_xludf.XLOOKUP(ms,Milestones!$A$2:$A$501,Milestones!$G$2:$G$501,""),act,(msst="W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77" s="4" t="e">
        <f t="shared" ca="1" si="1"/>
        <v>#NAME?</v>
      </c>
    </row>
    <row r="78" spans="1:4" x14ac:dyDescent="0.25">
      <c r="A78" s="4">
        <f>Pracownicy!A78</f>
        <v>0</v>
      </c>
      <c r="B78" s="4">
        <f>Pracownicy!B78</f>
        <v>0</v>
      </c>
      <c r="C78" s="4" t="e">
        <f ca="1">IF(A78="","",_xludf.LET(emp,A78,e,Zaangażowanie!$A$2:$A$501,ms,Zaangażowanie!$C$2:$C$501,sh,Zaangażowanie!$E$2:$E$501,msst,_xludf.XLOOKUP(ms,Milestones!$A$2:$A$501,Milestones!$G$2:$G$501,""),act,(msst="W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78" s="4" t="e">
        <f t="shared" ca="1" si="1"/>
        <v>#NAME?</v>
      </c>
    </row>
    <row r="79" spans="1:4" x14ac:dyDescent="0.25">
      <c r="A79" s="4">
        <f>Pracownicy!A79</f>
        <v>0</v>
      </c>
      <c r="B79" s="4">
        <f>Pracownicy!B79</f>
        <v>0</v>
      </c>
      <c r="C79" s="4" t="e">
        <f ca="1">IF(A79="","",_xludf.LET(emp,A79,e,Zaangażowanie!$A$2:$A$501,ms,Zaangażowanie!$C$2:$C$501,sh,Zaangażowanie!$E$2:$E$501,msst,_xludf.XLOOKUP(ms,Milestones!$A$2:$A$501,Milestones!$G$2:$G$501,""),act,(msst="W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79" s="4" t="e">
        <f t="shared" ca="1" si="1"/>
        <v>#NAME?</v>
      </c>
    </row>
    <row r="80" spans="1:4" x14ac:dyDescent="0.25">
      <c r="A80" s="4">
        <f>Pracownicy!A80</f>
        <v>0</v>
      </c>
      <c r="B80" s="4">
        <f>Pracownicy!B80</f>
        <v>0</v>
      </c>
      <c r="C80" s="4" t="e">
        <f ca="1">IF(A80="","",_xludf.LET(emp,A80,e,Zaangażowanie!$A$2:$A$501,ms,Zaangażowanie!$C$2:$C$501,sh,Zaangażowanie!$E$2:$E$501,msst,_xludf.XLOOKUP(ms,Milestones!$A$2:$A$501,Milestones!$G$2:$G$501,""),act,(msst="W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80" s="4" t="e">
        <f t="shared" ca="1" si="1"/>
        <v>#NAME?</v>
      </c>
    </row>
    <row r="81" spans="1:4" x14ac:dyDescent="0.25">
      <c r="A81" s="4">
        <f>Pracownicy!A81</f>
        <v>0</v>
      </c>
      <c r="B81" s="4">
        <f>Pracownicy!B81</f>
        <v>0</v>
      </c>
      <c r="C81" s="4" t="e">
        <f ca="1">IF(A81="","",_xludf.LET(emp,A81,e,Zaangażowanie!$A$2:$A$501,ms,Zaangażowanie!$C$2:$C$501,sh,Zaangażowanie!$E$2:$E$501,msst,_xludf.XLOOKUP(ms,Milestones!$A$2:$A$501,Milestones!$G$2:$G$501,""),act,(msst="W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81" s="4" t="e">
        <f t="shared" ca="1" si="1"/>
        <v>#NAME?</v>
      </c>
    </row>
    <row r="82" spans="1:4" x14ac:dyDescent="0.25">
      <c r="A82" s="4">
        <f>Pracownicy!A82</f>
        <v>0</v>
      </c>
      <c r="B82" s="4">
        <f>Pracownicy!B82</f>
        <v>0</v>
      </c>
      <c r="C82" s="4" t="e">
        <f ca="1">IF(A82="","",_xludf.LET(emp,A82,e,Zaangażowanie!$A$2:$A$501,ms,Zaangażowanie!$C$2:$C$501,sh,Zaangażowanie!$E$2:$E$501,msst,_xludf.XLOOKUP(ms,Milestones!$A$2:$A$501,Milestones!$G$2:$G$501,""),act,(msst="W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82" s="4" t="e">
        <f t="shared" ca="1" si="1"/>
        <v>#NAME?</v>
      </c>
    </row>
    <row r="83" spans="1:4" x14ac:dyDescent="0.25">
      <c r="A83" s="4">
        <f>Pracownicy!A83</f>
        <v>0</v>
      </c>
      <c r="B83" s="4">
        <f>Pracownicy!B83</f>
        <v>0</v>
      </c>
      <c r="C83" s="4" t="e">
        <f ca="1">IF(A83="","",_xludf.LET(emp,A83,e,Zaangażowanie!$A$2:$A$501,ms,Zaangażowanie!$C$2:$C$501,sh,Zaangażowanie!$E$2:$E$501,msst,_xludf.XLOOKUP(ms,Milestones!$A$2:$A$501,Milestones!$G$2:$G$501,""),act,(msst="W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83" s="4" t="e">
        <f t="shared" ca="1" si="1"/>
        <v>#NAME?</v>
      </c>
    </row>
    <row r="84" spans="1:4" x14ac:dyDescent="0.25">
      <c r="A84" s="4">
        <f>Pracownicy!A84</f>
        <v>0</v>
      </c>
      <c r="B84" s="4">
        <f>Pracownicy!B84</f>
        <v>0</v>
      </c>
      <c r="C84" s="4" t="e">
        <f ca="1">IF(A84="","",_xludf.LET(emp,A84,e,Zaangażowanie!$A$2:$A$501,ms,Zaangażowanie!$C$2:$C$501,sh,Zaangażowanie!$E$2:$E$501,msst,_xludf.XLOOKUP(ms,Milestones!$A$2:$A$501,Milestones!$G$2:$G$501,""),act,(msst="W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84" s="4" t="e">
        <f t="shared" ca="1" si="1"/>
        <v>#NAME?</v>
      </c>
    </row>
    <row r="85" spans="1:4" x14ac:dyDescent="0.25">
      <c r="A85" s="4">
        <f>Pracownicy!A85</f>
        <v>0</v>
      </c>
      <c r="B85" s="4">
        <f>Pracownicy!B85</f>
        <v>0</v>
      </c>
      <c r="C85" s="4" t="e">
        <f ca="1">IF(A85="","",_xludf.LET(emp,A85,e,Zaangażowanie!$A$2:$A$501,ms,Zaangażowanie!$C$2:$C$501,sh,Zaangażowanie!$E$2:$E$501,msst,_xludf.XLOOKUP(ms,Milestones!$A$2:$A$501,Milestones!$G$2:$G$501,""),act,(msst="W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85" s="4" t="e">
        <f t="shared" ca="1" si="1"/>
        <v>#NAME?</v>
      </c>
    </row>
    <row r="86" spans="1:4" x14ac:dyDescent="0.25">
      <c r="A86" s="4">
        <f>Pracownicy!A86</f>
        <v>0</v>
      </c>
      <c r="B86" s="4">
        <f>Pracownicy!B86</f>
        <v>0</v>
      </c>
      <c r="C86" s="4" t="e">
        <f ca="1">IF(A86="","",_xludf.LET(emp,A86,e,Zaangażowanie!$A$2:$A$501,ms,Zaangażowanie!$C$2:$C$501,sh,Zaangażowanie!$E$2:$E$501,msst,_xludf.XLOOKUP(ms,Milestones!$A$2:$A$501,Milestones!$G$2:$G$501,""),act,(msst="W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86" s="4" t="e">
        <f t="shared" ca="1" si="1"/>
        <v>#NAME?</v>
      </c>
    </row>
    <row r="87" spans="1:4" x14ac:dyDescent="0.25">
      <c r="A87" s="4">
        <f>Pracownicy!A87</f>
        <v>0</v>
      </c>
      <c r="B87" s="4">
        <f>Pracownicy!B87</f>
        <v>0</v>
      </c>
      <c r="C87" s="4" t="e">
        <f ca="1">IF(A87="","",_xludf.LET(emp,A87,e,Zaangażowanie!$A$2:$A$501,ms,Zaangażowanie!$C$2:$C$501,sh,Zaangażowanie!$E$2:$E$501,msst,_xludf.XLOOKUP(ms,Milestones!$A$2:$A$501,Milestones!$G$2:$G$501,""),act,(msst="W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87" s="4" t="e">
        <f t="shared" ca="1" si="1"/>
        <v>#NAME?</v>
      </c>
    </row>
    <row r="88" spans="1:4" x14ac:dyDescent="0.25">
      <c r="A88" s="4">
        <f>Pracownicy!A88</f>
        <v>0</v>
      </c>
      <c r="B88" s="4">
        <f>Pracownicy!B88</f>
        <v>0</v>
      </c>
      <c r="C88" s="4" t="e">
        <f ca="1">IF(A88="","",_xludf.LET(emp,A88,e,Zaangażowanie!$A$2:$A$501,ms,Zaangażowanie!$C$2:$C$501,sh,Zaangażowanie!$E$2:$E$501,msst,_xludf.XLOOKUP(ms,Milestones!$A$2:$A$501,Milestones!$G$2:$G$501,""),act,(msst="W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88" s="4" t="e">
        <f t="shared" ca="1" si="1"/>
        <v>#NAME?</v>
      </c>
    </row>
    <row r="89" spans="1:4" x14ac:dyDescent="0.25">
      <c r="A89" s="4">
        <f>Pracownicy!A89</f>
        <v>0</v>
      </c>
      <c r="B89" s="4">
        <f>Pracownicy!B89</f>
        <v>0</v>
      </c>
      <c r="C89" s="4" t="e">
        <f ca="1">IF(A89="","",_xludf.LET(emp,A89,e,Zaangażowanie!$A$2:$A$501,ms,Zaangażowanie!$C$2:$C$501,sh,Zaangażowanie!$E$2:$E$501,msst,_xludf.XLOOKUP(ms,Milestones!$A$2:$A$501,Milestones!$G$2:$G$501,""),act,(msst="W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89" s="4" t="e">
        <f t="shared" ca="1" si="1"/>
        <v>#NAME?</v>
      </c>
    </row>
    <row r="90" spans="1:4" x14ac:dyDescent="0.25">
      <c r="A90" s="4">
        <f>Pracownicy!A90</f>
        <v>0</v>
      </c>
      <c r="B90" s="4">
        <f>Pracownicy!B90</f>
        <v>0</v>
      </c>
      <c r="C90" s="4" t="e">
        <f ca="1">IF(A90="","",_xludf.LET(emp,A90,e,Zaangażowanie!$A$2:$A$501,ms,Zaangażowanie!$C$2:$C$501,sh,Zaangażowanie!$E$2:$E$501,msst,_xludf.XLOOKUP(ms,Milestones!$A$2:$A$501,Milestones!$G$2:$G$501,""),act,(msst="W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90" s="4" t="e">
        <f t="shared" ca="1" si="1"/>
        <v>#NAME?</v>
      </c>
    </row>
    <row r="91" spans="1:4" x14ac:dyDescent="0.25">
      <c r="A91" s="4">
        <f>Pracownicy!A91</f>
        <v>0</v>
      </c>
      <c r="B91" s="4">
        <f>Pracownicy!B91</f>
        <v>0</v>
      </c>
      <c r="C91" s="4" t="e">
        <f ca="1">IF(A91="","",_xludf.LET(emp,A91,e,Zaangażowanie!$A$2:$A$501,ms,Zaangażowanie!$C$2:$C$501,sh,Zaangażowanie!$E$2:$E$501,msst,_xludf.XLOOKUP(ms,Milestones!$A$2:$A$501,Milestones!$G$2:$G$501,""),act,(msst="W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91" s="4" t="e">
        <f t="shared" ca="1" si="1"/>
        <v>#NAME?</v>
      </c>
    </row>
    <row r="92" spans="1:4" x14ac:dyDescent="0.25">
      <c r="A92" s="4">
        <f>Pracownicy!A92</f>
        <v>0</v>
      </c>
      <c r="B92" s="4">
        <f>Pracownicy!B92</f>
        <v>0</v>
      </c>
      <c r="C92" s="4" t="e">
        <f ca="1">IF(A92="","",_xludf.LET(emp,A92,e,Zaangażowanie!$A$2:$A$501,ms,Zaangażowanie!$C$2:$C$501,sh,Zaangażowanie!$E$2:$E$501,msst,_xludf.XLOOKUP(ms,Milestones!$A$2:$A$501,Milestones!$G$2:$G$501,""),act,(msst="W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92" s="4" t="e">
        <f t="shared" ca="1" si="1"/>
        <v>#NAME?</v>
      </c>
    </row>
    <row r="93" spans="1:4" x14ac:dyDescent="0.25">
      <c r="A93" s="4">
        <f>Pracownicy!A93</f>
        <v>0</v>
      </c>
      <c r="B93" s="4">
        <f>Pracownicy!B93</f>
        <v>0</v>
      </c>
      <c r="C93" s="4" t="e">
        <f ca="1">IF(A93="","",_xludf.LET(emp,A93,e,Zaangażowanie!$A$2:$A$501,ms,Zaangażowanie!$C$2:$C$501,sh,Zaangażowanie!$E$2:$E$501,msst,_xludf.XLOOKUP(ms,Milestones!$A$2:$A$501,Milestones!$G$2:$G$501,""),act,(msst="W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93" s="4" t="e">
        <f t="shared" ca="1" si="1"/>
        <v>#NAME?</v>
      </c>
    </row>
    <row r="94" spans="1:4" x14ac:dyDescent="0.25">
      <c r="A94" s="4">
        <f>Pracownicy!A94</f>
        <v>0</v>
      </c>
      <c r="B94" s="4">
        <f>Pracownicy!B94</f>
        <v>0</v>
      </c>
      <c r="C94" s="4" t="e">
        <f ca="1">IF(A94="","",_xludf.LET(emp,A94,e,Zaangażowanie!$A$2:$A$501,ms,Zaangażowanie!$C$2:$C$501,sh,Zaangażowanie!$E$2:$E$501,msst,_xludf.XLOOKUP(ms,Milestones!$A$2:$A$501,Milestones!$G$2:$G$501,""),act,(msst="W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94" s="4" t="e">
        <f t="shared" ca="1" si="1"/>
        <v>#NAME?</v>
      </c>
    </row>
    <row r="95" spans="1:4" x14ac:dyDescent="0.25">
      <c r="A95" s="4">
        <f>Pracownicy!A95</f>
        <v>0</v>
      </c>
      <c r="B95" s="4">
        <f>Pracownicy!B95</f>
        <v>0</v>
      </c>
      <c r="C95" s="4" t="e">
        <f ca="1">IF(A95="","",_xludf.LET(emp,A95,e,Zaangażowanie!$A$2:$A$501,ms,Zaangażowanie!$C$2:$C$501,sh,Zaangażowanie!$E$2:$E$501,msst,_xludf.XLOOKUP(ms,Milestones!$A$2:$A$501,Milestones!$G$2:$G$501,""),act,(msst="W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95" s="4" t="e">
        <f t="shared" ca="1" si="1"/>
        <v>#NAME?</v>
      </c>
    </row>
    <row r="96" spans="1:4" x14ac:dyDescent="0.25">
      <c r="A96" s="4">
        <f>Pracownicy!A96</f>
        <v>0</v>
      </c>
      <c r="B96" s="4">
        <f>Pracownicy!B96</f>
        <v>0</v>
      </c>
      <c r="C96" s="4" t="e">
        <f ca="1">IF(A96="","",_xludf.LET(emp,A96,e,Zaangażowanie!$A$2:$A$501,ms,Zaangażowanie!$C$2:$C$501,sh,Zaangażowanie!$E$2:$E$501,msst,_xludf.XLOOKUP(ms,Milestones!$A$2:$A$501,Milestones!$G$2:$G$501,""),act,(msst="W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96" s="4" t="e">
        <f t="shared" ca="1" si="1"/>
        <v>#NAME?</v>
      </c>
    </row>
    <row r="97" spans="1:4" x14ac:dyDescent="0.25">
      <c r="A97" s="4">
        <f>Pracownicy!A97</f>
        <v>0</v>
      </c>
      <c r="B97" s="4">
        <f>Pracownicy!B97</f>
        <v>0</v>
      </c>
      <c r="C97" s="4" t="e">
        <f ca="1">IF(A97="","",_xludf.LET(emp,A97,e,Zaangażowanie!$A$2:$A$501,ms,Zaangażowanie!$C$2:$C$501,sh,Zaangażowanie!$E$2:$E$501,msst,_xludf.XLOOKUP(ms,Milestones!$A$2:$A$501,Milestones!$G$2:$G$501,""),act,(msst="W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97" s="4" t="e">
        <f t="shared" ca="1" si="1"/>
        <v>#NAME?</v>
      </c>
    </row>
    <row r="98" spans="1:4" x14ac:dyDescent="0.25">
      <c r="A98" s="4">
        <f>Pracownicy!A98</f>
        <v>0</v>
      </c>
      <c r="B98" s="4">
        <f>Pracownicy!B98</f>
        <v>0</v>
      </c>
      <c r="C98" s="4" t="e">
        <f ca="1">IF(A98="","",_xludf.LET(emp,A98,e,Zaangażowanie!$A$2:$A$501,ms,Zaangażowanie!$C$2:$C$501,sh,Zaangażowanie!$E$2:$E$501,msst,_xludf.XLOOKUP(ms,Milestones!$A$2:$A$501,Milestones!$G$2:$G$501,""),act,(msst="W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98" s="4" t="e">
        <f t="shared" ca="1" si="1"/>
        <v>#NAME?</v>
      </c>
    </row>
    <row r="99" spans="1:4" x14ac:dyDescent="0.25">
      <c r="A99" s="4">
        <f>Pracownicy!A99</f>
        <v>0</v>
      </c>
      <c r="B99" s="4">
        <f>Pracownicy!B99</f>
        <v>0</v>
      </c>
      <c r="C99" s="4" t="e">
        <f ca="1">IF(A99="","",_xludf.LET(emp,A99,e,Zaangażowanie!$A$2:$A$501,ms,Zaangażowanie!$C$2:$C$501,sh,Zaangażowanie!$E$2:$E$501,msst,_xludf.XLOOKUP(ms,Milestones!$A$2:$A$501,Milestones!$G$2:$G$501,""),act,(msst="W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99" s="4" t="e">
        <f t="shared" ca="1" si="1"/>
        <v>#NAME?</v>
      </c>
    </row>
    <row r="100" spans="1:4" x14ac:dyDescent="0.25">
      <c r="A100" s="4">
        <f>Pracownicy!A100</f>
        <v>0</v>
      </c>
      <c r="B100" s="4">
        <f>Pracownicy!B100</f>
        <v>0</v>
      </c>
      <c r="C100" s="4" t="e">
        <f ca="1">IF(A100="","",_xludf.LET(emp,A100,e,Zaangażowanie!$A$2:$A$501,ms,Zaangażowanie!$C$2:$C$501,sh,Zaangażowanie!$E$2:$E$501,msst,_xludf.XLOOKUP(ms,Milestones!$A$2:$A$501,Milestones!$G$2:$G$501,""),act,(msst="W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00" s="4" t="e">
        <f t="shared" ca="1" si="1"/>
        <v>#NAME?</v>
      </c>
    </row>
    <row r="101" spans="1:4" x14ac:dyDescent="0.25">
      <c r="A101" s="4">
        <f>Pracownicy!A101</f>
        <v>0</v>
      </c>
      <c r="B101" s="4">
        <f>Pracownicy!B101</f>
        <v>0</v>
      </c>
      <c r="C101" s="4" t="e">
        <f ca="1">IF(A101="","",_xludf.LET(emp,A101,e,Zaangażowanie!$A$2:$A$501,ms,Zaangażowanie!$C$2:$C$501,sh,Zaangażowanie!$E$2:$E$501,msst,_xludf.XLOOKUP(ms,Milestones!$A$2:$A$501,Milestones!$G$2:$G$501,""),act,(msst="W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01" s="4" t="e">
        <f t="shared" ca="1" si="1"/>
        <v>#NAME?</v>
      </c>
    </row>
    <row r="102" spans="1:4" x14ac:dyDescent="0.25">
      <c r="A102" s="4">
        <f>Pracownicy!A102</f>
        <v>0</v>
      </c>
      <c r="B102" s="4">
        <f>Pracownicy!B102</f>
        <v>0</v>
      </c>
      <c r="C102" s="4" t="e">
        <f ca="1">IF(A102="","",_xludf.LET(emp,A102,e,Zaangażowanie!$A$2:$A$501,ms,Zaangażowanie!$C$2:$C$501,sh,Zaangażowanie!$E$2:$E$501,msst,_xludf.XLOOKUP(ms,Milestones!$A$2:$A$501,Milestones!$G$2:$G$501,""),act,(msst="W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02" s="4" t="e">
        <f t="shared" ca="1" si="1"/>
        <v>#NAME?</v>
      </c>
    </row>
    <row r="103" spans="1:4" x14ac:dyDescent="0.25">
      <c r="A103" s="4">
        <f>Pracownicy!A103</f>
        <v>0</v>
      </c>
      <c r="B103" s="4">
        <f>Pracownicy!B103</f>
        <v>0</v>
      </c>
      <c r="C103" s="4" t="e">
        <f ca="1">IF(A103="","",_xludf.LET(emp,A103,e,Zaangażowanie!$A$2:$A$501,ms,Zaangażowanie!$C$2:$C$501,sh,Zaangażowanie!$E$2:$E$501,msst,_xludf.XLOOKUP(ms,Milestones!$A$2:$A$501,Milestones!$G$2:$G$501,""),act,(msst="W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03" s="4" t="e">
        <f t="shared" ca="1" si="1"/>
        <v>#NAME?</v>
      </c>
    </row>
    <row r="104" spans="1:4" x14ac:dyDescent="0.25">
      <c r="A104" s="4">
        <f>Pracownicy!A104</f>
        <v>0</v>
      </c>
      <c r="B104" s="4">
        <f>Pracownicy!B104</f>
        <v>0</v>
      </c>
      <c r="C104" s="4" t="e">
        <f ca="1">IF(A104="","",_xludf.LET(emp,A104,e,Zaangażowanie!$A$2:$A$501,ms,Zaangażowanie!$C$2:$C$501,sh,Zaangażowanie!$E$2:$E$501,msst,_xludf.XLOOKUP(ms,Milestones!$A$2:$A$501,Milestones!$G$2:$G$501,""),act,(msst="W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04" s="4" t="e">
        <f t="shared" ca="1" si="1"/>
        <v>#NAME?</v>
      </c>
    </row>
    <row r="105" spans="1:4" x14ac:dyDescent="0.25">
      <c r="A105" s="4">
        <f>Pracownicy!A105</f>
        <v>0</v>
      </c>
      <c r="B105" s="4">
        <f>Pracownicy!B105</f>
        <v>0</v>
      </c>
      <c r="C105" s="4" t="e">
        <f ca="1">IF(A105="","",_xludf.LET(emp,A105,e,Zaangażowanie!$A$2:$A$501,ms,Zaangażowanie!$C$2:$C$501,sh,Zaangażowanie!$E$2:$E$501,msst,_xludf.XLOOKUP(ms,Milestones!$A$2:$A$501,Milestones!$G$2:$G$501,""),act,(msst="W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05" s="4" t="e">
        <f t="shared" ca="1" si="1"/>
        <v>#NAME?</v>
      </c>
    </row>
    <row r="106" spans="1:4" x14ac:dyDescent="0.25">
      <c r="A106" s="4">
        <f>Pracownicy!A106</f>
        <v>0</v>
      </c>
      <c r="B106" s="4">
        <f>Pracownicy!B106</f>
        <v>0</v>
      </c>
      <c r="C106" s="4" t="e">
        <f ca="1">IF(A106="","",_xludf.LET(emp,A106,e,Zaangażowanie!$A$2:$A$501,ms,Zaangażowanie!$C$2:$C$501,sh,Zaangażowanie!$E$2:$E$501,msst,_xludf.XLOOKUP(ms,Milestones!$A$2:$A$501,Milestones!$G$2:$G$501,""),act,(msst="W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06" s="4" t="e">
        <f t="shared" ca="1" si="1"/>
        <v>#NAME?</v>
      </c>
    </row>
    <row r="107" spans="1:4" x14ac:dyDescent="0.25">
      <c r="A107" s="4">
        <f>Pracownicy!A107</f>
        <v>0</v>
      </c>
      <c r="B107" s="4">
        <f>Pracownicy!B107</f>
        <v>0</v>
      </c>
      <c r="C107" s="4" t="e">
        <f ca="1">IF(A107="","",_xludf.LET(emp,A107,e,Zaangażowanie!$A$2:$A$501,ms,Zaangażowanie!$C$2:$C$501,sh,Zaangażowanie!$E$2:$E$501,msst,_xludf.XLOOKUP(ms,Milestones!$A$2:$A$501,Milestones!$G$2:$G$501,""),act,(msst="W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07" s="4" t="e">
        <f t="shared" ca="1" si="1"/>
        <v>#NAME?</v>
      </c>
    </row>
    <row r="108" spans="1:4" x14ac:dyDescent="0.25">
      <c r="A108" s="4">
        <f>Pracownicy!A108</f>
        <v>0</v>
      </c>
      <c r="B108" s="4">
        <f>Pracownicy!B108</f>
        <v>0</v>
      </c>
      <c r="C108" s="4" t="e">
        <f ca="1">IF(A108="","",_xludf.LET(emp,A108,e,Zaangażowanie!$A$2:$A$501,ms,Zaangażowanie!$C$2:$C$501,sh,Zaangażowanie!$E$2:$E$501,msst,_xludf.XLOOKUP(ms,Milestones!$A$2:$A$501,Milestones!$G$2:$G$501,""),act,(msst="W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08" s="4" t="e">
        <f t="shared" ca="1" si="1"/>
        <v>#NAME?</v>
      </c>
    </row>
    <row r="109" spans="1:4" x14ac:dyDescent="0.25">
      <c r="A109" s="4">
        <f>Pracownicy!A109</f>
        <v>0</v>
      </c>
      <c r="B109" s="4">
        <f>Pracownicy!B109</f>
        <v>0</v>
      </c>
      <c r="C109" s="4" t="e">
        <f ca="1">IF(A109="","",_xludf.LET(emp,A109,e,Zaangażowanie!$A$2:$A$501,ms,Zaangażowanie!$C$2:$C$501,sh,Zaangażowanie!$E$2:$E$501,msst,_xludf.XLOOKUP(ms,Milestones!$A$2:$A$501,Milestones!$G$2:$G$501,""),act,(msst="W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09" s="4" t="e">
        <f t="shared" ca="1" si="1"/>
        <v>#NAME?</v>
      </c>
    </row>
    <row r="110" spans="1:4" x14ac:dyDescent="0.25">
      <c r="A110" s="4">
        <f>Pracownicy!A110</f>
        <v>0</v>
      </c>
      <c r="B110" s="4">
        <f>Pracownicy!B110</f>
        <v>0</v>
      </c>
      <c r="C110" s="4" t="e">
        <f ca="1">IF(A110="","",_xludf.LET(emp,A110,e,Zaangażowanie!$A$2:$A$501,ms,Zaangażowanie!$C$2:$C$501,sh,Zaangażowanie!$E$2:$E$501,msst,_xludf.XLOOKUP(ms,Milestones!$A$2:$A$501,Milestones!$G$2:$G$501,""),act,(msst="W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10" s="4" t="e">
        <f t="shared" ca="1" si="1"/>
        <v>#NAME?</v>
      </c>
    </row>
    <row r="111" spans="1:4" x14ac:dyDescent="0.25">
      <c r="A111" s="4">
        <f>Pracownicy!A111</f>
        <v>0</v>
      </c>
      <c r="B111" s="4">
        <f>Pracownicy!B111</f>
        <v>0</v>
      </c>
      <c r="C111" s="4" t="e">
        <f ca="1">IF(A111="","",_xludf.LET(emp,A111,e,Zaangażowanie!$A$2:$A$501,ms,Zaangażowanie!$C$2:$C$501,sh,Zaangażowanie!$E$2:$E$501,msst,_xludf.XLOOKUP(ms,Milestones!$A$2:$A$501,Milestones!$G$2:$G$501,""),act,(msst="W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11" s="4" t="e">
        <f t="shared" ca="1" si="1"/>
        <v>#NAME?</v>
      </c>
    </row>
    <row r="112" spans="1:4" x14ac:dyDescent="0.25">
      <c r="A112" s="4">
        <f>Pracownicy!A112</f>
        <v>0</v>
      </c>
      <c r="B112" s="4">
        <f>Pracownicy!B112</f>
        <v>0</v>
      </c>
      <c r="C112" s="4" t="e">
        <f ca="1">IF(A112="","",_xludf.LET(emp,A112,e,Zaangażowanie!$A$2:$A$501,ms,Zaangażowanie!$C$2:$C$501,sh,Zaangażowanie!$E$2:$E$501,msst,_xludf.XLOOKUP(ms,Milestones!$A$2:$A$501,Milestones!$G$2:$G$501,""),act,(msst="W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12" s="4" t="e">
        <f t="shared" ca="1" si="1"/>
        <v>#NAME?</v>
      </c>
    </row>
    <row r="113" spans="1:4" x14ac:dyDescent="0.25">
      <c r="A113" s="4">
        <f>Pracownicy!A113</f>
        <v>0</v>
      </c>
      <c r="B113" s="4">
        <f>Pracownicy!B113</f>
        <v>0</v>
      </c>
      <c r="C113" s="4" t="e">
        <f ca="1">IF(A113="","",_xludf.LET(emp,A113,e,Zaangażowanie!$A$2:$A$501,ms,Zaangażowanie!$C$2:$C$501,sh,Zaangażowanie!$E$2:$E$501,msst,_xludf.XLOOKUP(ms,Milestones!$A$2:$A$501,Milestones!$G$2:$G$501,""),act,(msst="W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13" s="4" t="e">
        <f t="shared" ca="1" si="1"/>
        <v>#NAME?</v>
      </c>
    </row>
    <row r="114" spans="1:4" x14ac:dyDescent="0.25">
      <c r="A114" s="4">
        <f>Pracownicy!A114</f>
        <v>0</v>
      </c>
      <c r="B114" s="4">
        <f>Pracownicy!B114</f>
        <v>0</v>
      </c>
      <c r="C114" s="4" t="e">
        <f ca="1">IF(A114="","",_xludf.LET(emp,A114,e,Zaangażowanie!$A$2:$A$501,ms,Zaangażowanie!$C$2:$C$501,sh,Zaangażowanie!$E$2:$E$501,msst,_xludf.XLOOKUP(ms,Milestones!$A$2:$A$501,Milestones!$G$2:$G$501,""),act,(msst="W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14" s="4" t="e">
        <f t="shared" ca="1" si="1"/>
        <v>#NAME?</v>
      </c>
    </row>
    <row r="115" spans="1:4" x14ac:dyDescent="0.25">
      <c r="A115" s="4">
        <f>Pracownicy!A115</f>
        <v>0</v>
      </c>
      <c r="B115" s="4">
        <f>Pracownicy!B115</f>
        <v>0</v>
      </c>
      <c r="C115" s="4" t="e">
        <f ca="1">IF(A115="","",_xludf.LET(emp,A115,e,Zaangażowanie!$A$2:$A$501,ms,Zaangażowanie!$C$2:$C$501,sh,Zaangażowanie!$E$2:$E$501,msst,_xludf.XLOOKUP(ms,Milestones!$A$2:$A$501,Milestones!$G$2:$G$501,""),act,(msst="W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15" s="4" t="e">
        <f t="shared" ca="1" si="1"/>
        <v>#NAME?</v>
      </c>
    </row>
    <row r="116" spans="1:4" x14ac:dyDescent="0.25">
      <c r="A116" s="4">
        <f>Pracownicy!A116</f>
        <v>0</v>
      </c>
      <c r="B116" s="4">
        <f>Pracownicy!B116</f>
        <v>0</v>
      </c>
      <c r="C116" s="4" t="e">
        <f ca="1">IF(A116="","",_xludf.LET(emp,A116,e,Zaangażowanie!$A$2:$A$501,ms,Zaangażowanie!$C$2:$C$501,sh,Zaangażowanie!$E$2:$E$501,msst,_xludf.XLOOKUP(ms,Milestones!$A$2:$A$501,Milestones!$G$2:$G$501,""),act,(msst="W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16" s="4" t="e">
        <f t="shared" ca="1" si="1"/>
        <v>#NAME?</v>
      </c>
    </row>
    <row r="117" spans="1:4" x14ac:dyDescent="0.25">
      <c r="A117" s="4">
        <f>Pracownicy!A117</f>
        <v>0</v>
      </c>
      <c r="B117" s="4">
        <f>Pracownicy!B117</f>
        <v>0</v>
      </c>
      <c r="C117" s="4" t="e">
        <f ca="1">IF(A117="","",_xludf.LET(emp,A117,e,Zaangażowanie!$A$2:$A$501,ms,Zaangażowanie!$C$2:$C$501,sh,Zaangażowanie!$E$2:$E$501,msst,_xludf.XLOOKUP(ms,Milestones!$A$2:$A$501,Milestones!$G$2:$G$501,""),act,(msst="W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17" s="4" t="e">
        <f t="shared" ca="1" si="1"/>
        <v>#NAME?</v>
      </c>
    </row>
    <row r="118" spans="1:4" x14ac:dyDescent="0.25">
      <c r="A118" s="4">
        <f>Pracownicy!A118</f>
        <v>0</v>
      </c>
      <c r="B118" s="4">
        <f>Pracownicy!B118</f>
        <v>0</v>
      </c>
      <c r="C118" s="4" t="e">
        <f ca="1">IF(A118="","",_xludf.LET(emp,A118,e,Zaangażowanie!$A$2:$A$501,ms,Zaangażowanie!$C$2:$C$501,sh,Zaangażowanie!$E$2:$E$501,msst,_xludf.XLOOKUP(ms,Milestones!$A$2:$A$501,Milestones!$G$2:$G$501,""),act,(msst="W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18" s="4" t="e">
        <f t="shared" ca="1" si="1"/>
        <v>#NAME?</v>
      </c>
    </row>
    <row r="119" spans="1:4" x14ac:dyDescent="0.25">
      <c r="A119" s="4">
        <f>Pracownicy!A119</f>
        <v>0</v>
      </c>
      <c r="B119" s="4">
        <f>Pracownicy!B119</f>
        <v>0</v>
      </c>
      <c r="C119" s="4" t="e">
        <f ca="1">IF(A119="","",_xludf.LET(emp,A119,e,Zaangażowanie!$A$2:$A$501,ms,Zaangażowanie!$C$2:$C$501,sh,Zaangażowanie!$E$2:$E$501,msst,_xludf.XLOOKUP(ms,Milestones!$A$2:$A$501,Milestones!$G$2:$G$501,""),act,(msst="W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19" s="4" t="e">
        <f t="shared" ca="1" si="1"/>
        <v>#NAME?</v>
      </c>
    </row>
    <row r="120" spans="1:4" x14ac:dyDescent="0.25">
      <c r="A120" s="4">
        <f>Pracownicy!A120</f>
        <v>0</v>
      </c>
      <c r="B120" s="4">
        <f>Pracownicy!B120</f>
        <v>0</v>
      </c>
      <c r="C120" s="4" t="e">
        <f ca="1">IF(A120="","",_xludf.LET(emp,A120,e,Zaangażowanie!$A$2:$A$501,ms,Zaangażowanie!$C$2:$C$501,sh,Zaangażowanie!$E$2:$E$501,msst,_xludf.XLOOKUP(ms,Milestones!$A$2:$A$501,Milestones!$G$2:$G$501,""),act,(msst="W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20" s="4" t="e">
        <f t="shared" ca="1" si="1"/>
        <v>#NAME?</v>
      </c>
    </row>
    <row r="121" spans="1:4" x14ac:dyDescent="0.25">
      <c r="A121" s="4">
        <f>Pracownicy!A121</f>
        <v>0</v>
      </c>
      <c r="B121" s="4">
        <f>Pracownicy!B121</f>
        <v>0</v>
      </c>
      <c r="C121" s="4" t="e">
        <f ca="1">IF(A121="","",_xludf.LET(emp,A121,e,Zaangażowanie!$A$2:$A$501,ms,Zaangażowanie!$C$2:$C$501,sh,Zaangażowanie!$E$2:$E$501,msst,_xludf.XLOOKUP(ms,Milestones!$A$2:$A$501,Milestones!$G$2:$G$501,""),act,(msst="W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21" s="4" t="e">
        <f t="shared" ca="1" si="1"/>
        <v>#NAME?</v>
      </c>
    </row>
    <row r="122" spans="1:4" x14ac:dyDescent="0.25">
      <c r="A122" s="4">
        <f>Pracownicy!A122</f>
        <v>0</v>
      </c>
      <c r="B122" s="4">
        <f>Pracownicy!B122</f>
        <v>0</v>
      </c>
      <c r="C122" s="4" t="e">
        <f ca="1">IF(A122="","",_xludf.LET(emp,A122,e,Zaangażowanie!$A$2:$A$501,ms,Zaangażowanie!$C$2:$C$501,sh,Zaangażowanie!$E$2:$E$501,msst,_xludf.XLOOKUP(ms,Milestones!$A$2:$A$501,Milestones!$G$2:$G$501,""),act,(msst="W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22" s="4" t="e">
        <f t="shared" ca="1" si="1"/>
        <v>#NAME?</v>
      </c>
    </row>
    <row r="123" spans="1:4" x14ac:dyDescent="0.25">
      <c r="A123" s="4">
        <f>Pracownicy!A123</f>
        <v>0</v>
      </c>
      <c r="B123" s="4">
        <f>Pracownicy!B123</f>
        <v>0</v>
      </c>
      <c r="C123" s="4" t="e">
        <f ca="1">IF(A123="","",_xludf.LET(emp,A123,e,Zaangażowanie!$A$2:$A$501,ms,Zaangażowanie!$C$2:$C$501,sh,Zaangażowanie!$E$2:$E$501,msst,_xludf.XLOOKUP(ms,Milestones!$A$2:$A$501,Milestones!$G$2:$G$501,""),act,(msst="W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23" s="4" t="e">
        <f t="shared" ca="1" si="1"/>
        <v>#NAME?</v>
      </c>
    </row>
    <row r="124" spans="1:4" x14ac:dyDescent="0.25">
      <c r="A124" s="4">
        <f>Pracownicy!A124</f>
        <v>0</v>
      </c>
      <c r="B124" s="4">
        <f>Pracownicy!B124</f>
        <v>0</v>
      </c>
      <c r="C124" s="4" t="e">
        <f ca="1">IF(A124="","",_xludf.LET(emp,A124,e,Zaangażowanie!$A$2:$A$501,ms,Zaangażowanie!$C$2:$C$501,sh,Zaangażowanie!$E$2:$E$501,msst,_xludf.XLOOKUP(ms,Milestones!$A$2:$A$501,Milestones!$G$2:$G$501,""),act,(msst="W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24" s="4" t="e">
        <f t="shared" ca="1" si="1"/>
        <v>#NAME?</v>
      </c>
    </row>
    <row r="125" spans="1:4" x14ac:dyDescent="0.25">
      <c r="A125" s="4">
        <f>Pracownicy!A125</f>
        <v>0</v>
      </c>
      <c r="B125" s="4">
        <f>Pracownicy!B125</f>
        <v>0</v>
      </c>
      <c r="C125" s="4" t="e">
        <f ca="1">IF(A125="","",_xludf.LET(emp,A125,e,Zaangażowanie!$A$2:$A$501,ms,Zaangażowanie!$C$2:$C$501,sh,Zaangażowanie!$E$2:$E$501,msst,_xludf.XLOOKUP(ms,Milestones!$A$2:$A$501,Milestones!$G$2:$G$501,""),act,(msst="W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25" s="4" t="e">
        <f t="shared" ca="1" si="1"/>
        <v>#NAME?</v>
      </c>
    </row>
    <row r="126" spans="1:4" x14ac:dyDescent="0.25">
      <c r="A126" s="4">
        <f>Pracownicy!A126</f>
        <v>0</v>
      </c>
      <c r="B126" s="4">
        <f>Pracownicy!B126</f>
        <v>0</v>
      </c>
      <c r="C126" s="4" t="e">
        <f ca="1">IF(A126="","",_xludf.LET(emp,A126,e,Zaangażowanie!$A$2:$A$501,ms,Zaangażowanie!$C$2:$C$501,sh,Zaangażowanie!$E$2:$E$501,msst,_xludf.XLOOKUP(ms,Milestones!$A$2:$A$501,Milestones!$G$2:$G$501,""),act,(msst="W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26" s="4" t="e">
        <f t="shared" ca="1" si="1"/>
        <v>#NAME?</v>
      </c>
    </row>
    <row r="127" spans="1:4" x14ac:dyDescent="0.25">
      <c r="A127" s="4">
        <f>Pracownicy!A127</f>
        <v>0</v>
      </c>
      <c r="B127" s="4">
        <f>Pracownicy!B127</f>
        <v>0</v>
      </c>
      <c r="C127" s="4" t="e">
        <f ca="1">IF(A127="","",_xludf.LET(emp,A127,e,Zaangażowanie!$A$2:$A$501,ms,Zaangażowanie!$C$2:$C$501,sh,Zaangażowanie!$E$2:$E$501,msst,_xludf.XLOOKUP(ms,Milestones!$A$2:$A$501,Milestones!$G$2:$G$501,""),act,(msst="W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27" s="4" t="e">
        <f t="shared" ca="1" si="1"/>
        <v>#NAME?</v>
      </c>
    </row>
    <row r="128" spans="1:4" x14ac:dyDescent="0.25">
      <c r="A128" s="4">
        <f>Pracownicy!A128</f>
        <v>0</v>
      </c>
      <c r="B128" s="4">
        <f>Pracownicy!B128</f>
        <v>0</v>
      </c>
      <c r="C128" s="4" t="e">
        <f ca="1">IF(A128="","",_xludf.LET(emp,A128,e,Zaangażowanie!$A$2:$A$501,ms,Zaangażowanie!$C$2:$C$501,sh,Zaangażowanie!$E$2:$E$501,msst,_xludf.XLOOKUP(ms,Milestones!$A$2:$A$501,Milestones!$G$2:$G$501,""),act,(msst="W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28" s="4" t="e">
        <f t="shared" ca="1" si="1"/>
        <v>#NAME?</v>
      </c>
    </row>
    <row r="129" spans="1:4" x14ac:dyDescent="0.25">
      <c r="A129" s="4">
        <f>Pracownicy!A129</f>
        <v>0</v>
      </c>
      <c r="B129" s="4">
        <f>Pracownicy!B129</f>
        <v>0</v>
      </c>
      <c r="C129" s="4" t="e">
        <f ca="1">IF(A129="","",_xludf.LET(emp,A129,e,Zaangażowanie!$A$2:$A$501,ms,Zaangażowanie!$C$2:$C$501,sh,Zaangażowanie!$E$2:$E$501,msst,_xludf.XLOOKUP(ms,Milestones!$A$2:$A$501,Milestones!$G$2:$G$501,""),act,(msst="W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29" s="4" t="e">
        <f t="shared" ca="1" si="1"/>
        <v>#NAME?</v>
      </c>
    </row>
    <row r="130" spans="1:4" x14ac:dyDescent="0.25">
      <c r="A130" s="4">
        <f>Pracownicy!A130</f>
        <v>0</v>
      </c>
      <c r="B130" s="4">
        <f>Pracownicy!B130</f>
        <v>0</v>
      </c>
      <c r="C130" s="4" t="e">
        <f ca="1">IF(A130="","",_xludf.LET(emp,A130,e,Zaangażowanie!$A$2:$A$501,ms,Zaangażowanie!$C$2:$C$501,sh,Zaangażowanie!$E$2:$E$501,msst,_xludf.XLOOKUP(ms,Milestones!$A$2:$A$501,Milestones!$G$2:$G$501,""),act,(msst="W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30" s="4" t="e">
        <f t="shared" ref="D130:D193" ca="1" si="2">IF(A130="","",IF(C130&lt;=1,"OK","NIE"))</f>
        <v>#NAME?</v>
      </c>
    </row>
    <row r="131" spans="1:4" x14ac:dyDescent="0.25">
      <c r="A131" s="4">
        <f>Pracownicy!A131</f>
        <v>0</v>
      </c>
      <c r="B131" s="4">
        <f>Pracownicy!B131</f>
        <v>0</v>
      </c>
      <c r="C131" s="4" t="e">
        <f ca="1">IF(A131="","",_xludf.LET(emp,A131,e,Zaangażowanie!$A$2:$A$501,ms,Zaangażowanie!$C$2:$C$501,sh,Zaangażowanie!$E$2:$E$501,msst,_xludf.XLOOKUP(ms,Milestones!$A$2:$A$501,Milestones!$G$2:$G$501,""),act,(msst="W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31" s="4" t="e">
        <f t="shared" ca="1" si="2"/>
        <v>#NAME?</v>
      </c>
    </row>
    <row r="132" spans="1:4" x14ac:dyDescent="0.25">
      <c r="A132" s="4">
        <f>Pracownicy!A132</f>
        <v>0</v>
      </c>
      <c r="B132" s="4">
        <f>Pracownicy!B132</f>
        <v>0</v>
      </c>
      <c r="C132" s="4" t="e">
        <f ca="1">IF(A132="","",_xludf.LET(emp,A132,e,Zaangażowanie!$A$2:$A$501,ms,Zaangażowanie!$C$2:$C$501,sh,Zaangażowanie!$E$2:$E$501,msst,_xludf.XLOOKUP(ms,Milestones!$A$2:$A$501,Milestones!$G$2:$G$501,""),act,(msst="W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32" s="4" t="e">
        <f t="shared" ca="1" si="2"/>
        <v>#NAME?</v>
      </c>
    </row>
    <row r="133" spans="1:4" x14ac:dyDescent="0.25">
      <c r="A133" s="4">
        <f>Pracownicy!A133</f>
        <v>0</v>
      </c>
      <c r="B133" s="4">
        <f>Pracownicy!B133</f>
        <v>0</v>
      </c>
      <c r="C133" s="4" t="e">
        <f ca="1">IF(A133="","",_xludf.LET(emp,A133,e,Zaangażowanie!$A$2:$A$501,ms,Zaangażowanie!$C$2:$C$501,sh,Zaangażowanie!$E$2:$E$501,msst,_xludf.XLOOKUP(ms,Milestones!$A$2:$A$501,Milestones!$G$2:$G$501,""),act,(msst="W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33" s="4" t="e">
        <f t="shared" ca="1" si="2"/>
        <v>#NAME?</v>
      </c>
    </row>
    <row r="134" spans="1:4" x14ac:dyDescent="0.25">
      <c r="A134" s="4">
        <f>Pracownicy!A134</f>
        <v>0</v>
      </c>
      <c r="B134" s="4">
        <f>Pracownicy!B134</f>
        <v>0</v>
      </c>
      <c r="C134" s="4" t="e">
        <f ca="1">IF(A134="","",_xludf.LET(emp,A134,e,Zaangażowanie!$A$2:$A$501,ms,Zaangażowanie!$C$2:$C$501,sh,Zaangażowanie!$E$2:$E$501,msst,_xludf.XLOOKUP(ms,Milestones!$A$2:$A$501,Milestones!$G$2:$G$501,""),act,(msst="W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34" s="4" t="e">
        <f t="shared" ca="1" si="2"/>
        <v>#NAME?</v>
      </c>
    </row>
    <row r="135" spans="1:4" x14ac:dyDescent="0.25">
      <c r="A135" s="4">
        <f>Pracownicy!A135</f>
        <v>0</v>
      </c>
      <c r="B135" s="4">
        <f>Pracownicy!B135</f>
        <v>0</v>
      </c>
      <c r="C135" s="4" t="e">
        <f ca="1">IF(A135="","",_xludf.LET(emp,A135,e,Zaangażowanie!$A$2:$A$501,ms,Zaangażowanie!$C$2:$C$501,sh,Zaangażowanie!$E$2:$E$501,msst,_xludf.XLOOKUP(ms,Milestones!$A$2:$A$501,Milestones!$G$2:$G$501,""),act,(msst="W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35" s="4" t="e">
        <f t="shared" ca="1" si="2"/>
        <v>#NAME?</v>
      </c>
    </row>
    <row r="136" spans="1:4" x14ac:dyDescent="0.25">
      <c r="A136" s="4">
        <f>Pracownicy!A136</f>
        <v>0</v>
      </c>
      <c r="B136" s="4">
        <f>Pracownicy!B136</f>
        <v>0</v>
      </c>
      <c r="C136" s="4" t="e">
        <f ca="1">IF(A136="","",_xludf.LET(emp,A136,e,Zaangażowanie!$A$2:$A$501,ms,Zaangażowanie!$C$2:$C$501,sh,Zaangażowanie!$E$2:$E$501,msst,_xludf.XLOOKUP(ms,Milestones!$A$2:$A$501,Milestones!$G$2:$G$501,""),act,(msst="W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36" s="4" t="e">
        <f t="shared" ca="1" si="2"/>
        <v>#NAME?</v>
      </c>
    </row>
    <row r="137" spans="1:4" x14ac:dyDescent="0.25">
      <c r="A137" s="4">
        <f>Pracownicy!A137</f>
        <v>0</v>
      </c>
      <c r="B137" s="4">
        <f>Pracownicy!B137</f>
        <v>0</v>
      </c>
      <c r="C137" s="4" t="e">
        <f ca="1">IF(A137="","",_xludf.LET(emp,A137,e,Zaangażowanie!$A$2:$A$501,ms,Zaangażowanie!$C$2:$C$501,sh,Zaangażowanie!$E$2:$E$501,msst,_xludf.XLOOKUP(ms,Milestones!$A$2:$A$501,Milestones!$G$2:$G$501,""),act,(msst="W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37" s="4" t="e">
        <f t="shared" ca="1" si="2"/>
        <v>#NAME?</v>
      </c>
    </row>
    <row r="138" spans="1:4" x14ac:dyDescent="0.25">
      <c r="A138" s="4">
        <f>Pracownicy!A138</f>
        <v>0</v>
      </c>
      <c r="B138" s="4">
        <f>Pracownicy!B138</f>
        <v>0</v>
      </c>
      <c r="C138" s="4" t="e">
        <f ca="1">IF(A138="","",_xludf.LET(emp,A138,e,Zaangażowanie!$A$2:$A$501,ms,Zaangażowanie!$C$2:$C$501,sh,Zaangażowanie!$E$2:$E$501,msst,_xludf.XLOOKUP(ms,Milestones!$A$2:$A$501,Milestones!$G$2:$G$501,""),act,(msst="W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38" s="4" t="e">
        <f t="shared" ca="1" si="2"/>
        <v>#NAME?</v>
      </c>
    </row>
    <row r="139" spans="1:4" x14ac:dyDescent="0.25">
      <c r="A139" s="4">
        <f>Pracownicy!A139</f>
        <v>0</v>
      </c>
      <c r="B139" s="4">
        <f>Pracownicy!B139</f>
        <v>0</v>
      </c>
      <c r="C139" s="4" t="e">
        <f ca="1">IF(A139="","",_xludf.LET(emp,A139,e,Zaangażowanie!$A$2:$A$501,ms,Zaangażowanie!$C$2:$C$501,sh,Zaangażowanie!$E$2:$E$501,msst,_xludf.XLOOKUP(ms,Milestones!$A$2:$A$501,Milestones!$G$2:$G$501,""),act,(msst="W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39" s="4" t="e">
        <f t="shared" ca="1" si="2"/>
        <v>#NAME?</v>
      </c>
    </row>
    <row r="140" spans="1:4" x14ac:dyDescent="0.25">
      <c r="A140" s="4">
        <f>Pracownicy!A140</f>
        <v>0</v>
      </c>
      <c r="B140" s="4">
        <f>Pracownicy!B140</f>
        <v>0</v>
      </c>
      <c r="C140" s="4" t="e">
        <f ca="1">IF(A140="","",_xludf.LET(emp,A140,e,Zaangażowanie!$A$2:$A$501,ms,Zaangażowanie!$C$2:$C$501,sh,Zaangażowanie!$E$2:$E$501,msst,_xludf.XLOOKUP(ms,Milestones!$A$2:$A$501,Milestones!$G$2:$G$501,""),act,(msst="W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40" s="4" t="e">
        <f t="shared" ca="1" si="2"/>
        <v>#NAME?</v>
      </c>
    </row>
    <row r="141" spans="1:4" x14ac:dyDescent="0.25">
      <c r="A141" s="4">
        <f>Pracownicy!A141</f>
        <v>0</v>
      </c>
      <c r="B141" s="4">
        <f>Pracownicy!B141</f>
        <v>0</v>
      </c>
      <c r="C141" s="4" t="e">
        <f ca="1">IF(A141="","",_xludf.LET(emp,A141,e,Zaangażowanie!$A$2:$A$501,ms,Zaangażowanie!$C$2:$C$501,sh,Zaangażowanie!$E$2:$E$501,msst,_xludf.XLOOKUP(ms,Milestones!$A$2:$A$501,Milestones!$G$2:$G$501,""),act,(msst="W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41" s="4" t="e">
        <f t="shared" ca="1" si="2"/>
        <v>#NAME?</v>
      </c>
    </row>
    <row r="142" spans="1:4" x14ac:dyDescent="0.25">
      <c r="A142" s="4">
        <f>Pracownicy!A142</f>
        <v>0</v>
      </c>
      <c r="B142" s="4">
        <f>Pracownicy!B142</f>
        <v>0</v>
      </c>
      <c r="C142" s="4" t="e">
        <f ca="1">IF(A142="","",_xludf.LET(emp,A142,e,Zaangażowanie!$A$2:$A$501,ms,Zaangażowanie!$C$2:$C$501,sh,Zaangażowanie!$E$2:$E$501,msst,_xludf.XLOOKUP(ms,Milestones!$A$2:$A$501,Milestones!$G$2:$G$501,""),act,(msst="W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42" s="4" t="e">
        <f t="shared" ca="1" si="2"/>
        <v>#NAME?</v>
      </c>
    </row>
    <row r="143" spans="1:4" x14ac:dyDescent="0.25">
      <c r="A143" s="4">
        <f>Pracownicy!A143</f>
        <v>0</v>
      </c>
      <c r="B143" s="4">
        <f>Pracownicy!B143</f>
        <v>0</v>
      </c>
      <c r="C143" s="4" t="e">
        <f ca="1">IF(A143="","",_xludf.LET(emp,A143,e,Zaangażowanie!$A$2:$A$501,ms,Zaangażowanie!$C$2:$C$501,sh,Zaangażowanie!$E$2:$E$501,msst,_xludf.XLOOKUP(ms,Milestones!$A$2:$A$501,Milestones!$G$2:$G$501,""),act,(msst="W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43" s="4" t="e">
        <f t="shared" ca="1" si="2"/>
        <v>#NAME?</v>
      </c>
    </row>
    <row r="144" spans="1:4" x14ac:dyDescent="0.25">
      <c r="A144" s="4">
        <f>Pracownicy!A144</f>
        <v>0</v>
      </c>
      <c r="B144" s="4">
        <f>Pracownicy!B144</f>
        <v>0</v>
      </c>
      <c r="C144" s="4" t="e">
        <f ca="1">IF(A144="","",_xludf.LET(emp,A144,e,Zaangażowanie!$A$2:$A$501,ms,Zaangażowanie!$C$2:$C$501,sh,Zaangażowanie!$E$2:$E$501,msst,_xludf.XLOOKUP(ms,Milestones!$A$2:$A$501,Milestones!$G$2:$G$501,""),act,(msst="W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44" s="4" t="e">
        <f t="shared" ca="1" si="2"/>
        <v>#NAME?</v>
      </c>
    </row>
    <row r="145" spans="1:4" x14ac:dyDescent="0.25">
      <c r="A145" s="4">
        <f>Pracownicy!A145</f>
        <v>0</v>
      </c>
      <c r="B145" s="4">
        <f>Pracownicy!B145</f>
        <v>0</v>
      </c>
      <c r="C145" s="4" t="e">
        <f ca="1">IF(A145="","",_xludf.LET(emp,A145,e,Zaangażowanie!$A$2:$A$501,ms,Zaangażowanie!$C$2:$C$501,sh,Zaangażowanie!$E$2:$E$501,msst,_xludf.XLOOKUP(ms,Milestones!$A$2:$A$501,Milestones!$G$2:$G$501,""),act,(msst="W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45" s="4" t="e">
        <f t="shared" ca="1" si="2"/>
        <v>#NAME?</v>
      </c>
    </row>
    <row r="146" spans="1:4" x14ac:dyDescent="0.25">
      <c r="A146" s="4">
        <f>Pracownicy!A146</f>
        <v>0</v>
      </c>
      <c r="B146" s="4">
        <f>Pracownicy!B146</f>
        <v>0</v>
      </c>
      <c r="C146" s="4" t="e">
        <f ca="1">IF(A146="","",_xludf.LET(emp,A146,e,Zaangażowanie!$A$2:$A$501,ms,Zaangażowanie!$C$2:$C$501,sh,Zaangażowanie!$E$2:$E$501,msst,_xludf.XLOOKUP(ms,Milestones!$A$2:$A$501,Milestones!$G$2:$G$501,""),act,(msst="W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46" s="4" t="e">
        <f t="shared" ca="1" si="2"/>
        <v>#NAME?</v>
      </c>
    </row>
    <row r="147" spans="1:4" x14ac:dyDescent="0.25">
      <c r="A147" s="4">
        <f>Pracownicy!A147</f>
        <v>0</v>
      </c>
      <c r="B147" s="4">
        <f>Pracownicy!B147</f>
        <v>0</v>
      </c>
      <c r="C147" s="4" t="e">
        <f ca="1">IF(A147="","",_xludf.LET(emp,A147,e,Zaangażowanie!$A$2:$A$501,ms,Zaangażowanie!$C$2:$C$501,sh,Zaangażowanie!$E$2:$E$501,msst,_xludf.XLOOKUP(ms,Milestones!$A$2:$A$501,Milestones!$G$2:$G$501,""),act,(msst="W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47" s="4" t="e">
        <f t="shared" ca="1" si="2"/>
        <v>#NAME?</v>
      </c>
    </row>
    <row r="148" spans="1:4" x14ac:dyDescent="0.25">
      <c r="A148" s="4">
        <f>Pracownicy!A148</f>
        <v>0</v>
      </c>
      <c r="B148" s="4">
        <f>Pracownicy!B148</f>
        <v>0</v>
      </c>
      <c r="C148" s="4" t="e">
        <f ca="1">IF(A148="","",_xludf.LET(emp,A148,e,Zaangażowanie!$A$2:$A$501,ms,Zaangażowanie!$C$2:$C$501,sh,Zaangażowanie!$E$2:$E$501,msst,_xludf.XLOOKUP(ms,Milestones!$A$2:$A$501,Milestones!$G$2:$G$501,""),act,(msst="W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48" s="4" t="e">
        <f t="shared" ca="1" si="2"/>
        <v>#NAME?</v>
      </c>
    </row>
    <row r="149" spans="1:4" x14ac:dyDescent="0.25">
      <c r="A149" s="4">
        <f>Pracownicy!A149</f>
        <v>0</v>
      </c>
      <c r="B149" s="4">
        <f>Pracownicy!B149</f>
        <v>0</v>
      </c>
      <c r="C149" s="4" t="e">
        <f ca="1">IF(A149="","",_xludf.LET(emp,A149,e,Zaangażowanie!$A$2:$A$501,ms,Zaangażowanie!$C$2:$C$501,sh,Zaangażowanie!$E$2:$E$501,msst,_xludf.XLOOKUP(ms,Milestones!$A$2:$A$501,Milestones!$G$2:$G$501,""),act,(msst="W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49" s="4" t="e">
        <f t="shared" ca="1" si="2"/>
        <v>#NAME?</v>
      </c>
    </row>
    <row r="150" spans="1:4" x14ac:dyDescent="0.25">
      <c r="A150" s="4">
        <f>Pracownicy!A150</f>
        <v>0</v>
      </c>
      <c r="B150" s="4">
        <f>Pracownicy!B150</f>
        <v>0</v>
      </c>
      <c r="C150" s="4" t="e">
        <f ca="1">IF(A150="","",_xludf.LET(emp,A150,e,Zaangażowanie!$A$2:$A$501,ms,Zaangażowanie!$C$2:$C$501,sh,Zaangażowanie!$E$2:$E$501,msst,_xludf.XLOOKUP(ms,Milestones!$A$2:$A$501,Milestones!$G$2:$G$501,""),act,(msst="W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50" s="4" t="e">
        <f t="shared" ca="1" si="2"/>
        <v>#NAME?</v>
      </c>
    </row>
    <row r="151" spans="1:4" x14ac:dyDescent="0.25">
      <c r="A151" s="4">
        <f>Pracownicy!A151</f>
        <v>0</v>
      </c>
      <c r="B151" s="4">
        <f>Pracownicy!B151</f>
        <v>0</v>
      </c>
      <c r="C151" s="4" t="e">
        <f ca="1">IF(A151="","",_xludf.LET(emp,A151,e,Zaangażowanie!$A$2:$A$501,ms,Zaangażowanie!$C$2:$C$501,sh,Zaangażowanie!$E$2:$E$501,msst,_xludf.XLOOKUP(ms,Milestones!$A$2:$A$501,Milestones!$G$2:$G$501,""),act,(msst="W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51" s="4" t="e">
        <f t="shared" ca="1" si="2"/>
        <v>#NAME?</v>
      </c>
    </row>
    <row r="152" spans="1:4" x14ac:dyDescent="0.25">
      <c r="A152" s="4">
        <f>Pracownicy!A152</f>
        <v>0</v>
      </c>
      <c r="B152" s="4">
        <f>Pracownicy!B152</f>
        <v>0</v>
      </c>
      <c r="C152" s="4" t="e">
        <f ca="1">IF(A152="","",_xludf.LET(emp,A152,e,Zaangażowanie!$A$2:$A$501,ms,Zaangażowanie!$C$2:$C$501,sh,Zaangażowanie!$E$2:$E$501,msst,_xludf.XLOOKUP(ms,Milestones!$A$2:$A$501,Milestones!$G$2:$G$501,""),act,(msst="W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52" s="4" t="e">
        <f t="shared" ca="1" si="2"/>
        <v>#NAME?</v>
      </c>
    </row>
    <row r="153" spans="1:4" x14ac:dyDescent="0.25">
      <c r="A153" s="4">
        <f>Pracownicy!A153</f>
        <v>0</v>
      </c>
      <c r="B153" s="4">
        <f>Pracownicy!B153</f>
        <v>0</v>
      </c>
      <c r="C153" s="4" t="e">
        <f ca="1">IF(A153="","",_xludf.LET(emp,A153,e,Zaangażowanie!$A$2:$A$501,ms,Zaangażowanie!$C$2:$C$501,sh,Zaangażowanie!$E$2:$E$501,msst,_xludf.XLOOKUP(ms,Milestones!$A$2:$A$501,Milestones!$G$2:$G$501,""),act,(msst="W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53" s="4" t="e">
        <f t="shared" ca="1" si="2"/>
        <v>#NAME?</v>
      </c>
    </row>
    <row r="154" spans="1:4" x14ac:dyDescent="0.25">
      <c r="A154" s="4">
        <f>Pracownicy!A154</f>
        <v>0</v>
      </c>
      <c r="B154" s="4">
        <f>Pracownicy!B154</f>
        <v>0</v>
      </c>
      <c r="C154" s="4" t="e">
        <f ca="1">IF(A154="","",_xludf.LET(emp,A154,e,Zaangażowanie!$A$2:$A$501,ms,Zaangażowanie!$C$2:$C$501,sh,Zaangażowanie!$E$2:$E$501,msst,_xludf.XLOOKUP(ms,Milestones!$A$2:$A$501,Milestones!$G$2:$G$501,""),act,(msst="W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54" s="4" t="e">
        <f t="shared" ca="1" si="2"/>
        <v>#NAME?</v>
      </c>
    </row>
    <row r="155" spans="1:4" x14ac:dyDescent="0.25">
      <c r="A155" s="4">
        <f>Pracownicy!A155</f>
        <v>0</v>
      </c>
      <c r="B155" s="4">
        <f>Pracownicy!B155</f>
        <v>0</v>
      </c>
      <c r="C155" s="4" t="e">
        <f ca="1">IF(A155="","",_xludf.LET(emp,A155,e,Zaangażowanie!$A$2:$A$501,ms,Zaangażowanie!$C$2:$C$501,sh,Zaangażowanie!$E$2:$E$501,msst,_xludf.XLOOKUP(ms,Milestones!$A$2:$A$501,Milestones!$G$2:$G$501,""),act,(msst="W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55" s="4" t="e">
        <f t="shared" ca="1" si="2"/>
        <v>#NAME?</v>
      </c>
    </row>
    <row r="156" spans="1:4" x14ac:dyDescent="0.25">
      <c r="A156" s="4">
        <f>Pracownicy!A156</f>
        <v>0</v>
      </c>
      <c r="B156" s="4">
        <f>Pracownicy!B156</f>
        <v>0</v>
      </c>
      <c r="C156" s="4" t="e">
        <f ca="1">IF(A156="","",_xludf.LET(emp,A156,e,Zaangażowanie!$A$2:$A$501,ms,Zaangażowanie!$C$2:$C$501,sh,Zaangażowanie!$E$2:$E$501,msst,_xludf.XLOOKUP(ms,Milestones!$A$2:$A$501,Milestones!$G$2:$G$501,""),act,(msst="W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56" s="4" t="e">
        <f t="shared" ca="1" si="2"/>
        <v>#NAME?</v>
      </c>
    </row>
    <row r="157" spans="1:4" x14ac:dyDescent="0.25">
      <c r="A157" s="4">
        <f>Pracownicy!A157</f>
        <v>0</v>
      </c>
      <c r="B157" s="4">
        <f>Pracownicy!B157</f>
        <v>0</v>
      </c>
      <c r="C157" s="4" t="e">
        <f ca="1">IF(A157="","",_xludf.LET(emp,A157,e,Zaangażowanie!$A$2:$A$501,ms,Zaangażowanie!$C$2:$C$501,sh,Zaangażowanie!$E$2:$E$501,msst,_xludf.XLOOKUP(ms,Milestones!$A$2:$A$501,Milestones!$G$2:$G$501,""),act,(msst="W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57" s="4" t="e">
        <f t="shared" ca="1" si="2"/>
        <v>#NAME?</v>
      </c>
    </row>
    <row r="158" spans="1:4" x14ac:dyDescent="0.25">
      <c r="A158" s="4">
        <f>Pracownicy!A158</f>
        <v>0</v>
      </c>
      <c r="B158" s="4">
        <f>Pracownicy!B158</f>
        <v>0</v>
      </c>
      <c r="C158" s="4" t="e">
        <f ca="1">IF(A158="","",_xludf.LET(emp,A158,e,Zaangażowanie!$A$2:$A$501,ms,Zaangażowanie!$C$2:$C$501,sh,Zaangażowanie!$E$2:$E$501,msst,_xludf.XLOOKUP(ms,Milestones!$A$2:$A$501,Milestones!$G$2:$G$501,""),act,(msst="W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58" s="4" t="e">
        <f t="shared" ca="1" si="2"/>
        <v>#NAME?</v>
      </c>
    </row>
    <row r="159" spans="1:4" x14ac:dyDescent="0.25">
      <c r="A159" s="4">
        <f>Pracownicy!A159</f>
        <v>0</v>
      </c>
      <c r="B159" s="4">
        <f>Pracownicy!B159</f>
        <v>0</v>
      </c>
      <c r="C159" s="4" t="e">
        <f ca="1">IF(A159="","",_xludf.LET(emp,A159,e,Zaangażowanie!$A$2:$A$501,ms,Zaangażowanie!$C$2:$C$501,sh,Zaangażowanie!$E$2:$E$501,msst,_xludf.XLOOKUP(ms,Milestones!$A$2:$A$501,Milestones!$G$2:$G$501,""),act,(msst="W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59" s="4" t="e">
        <f t="shared" ca="1" si="2"/>
        <v>#NAME?</v>
      </c>
    </row>
    <row r="160" spans="1:4" x14ac:dyDescent="0.25">
      <c r="A160" s="4">
        <f>Pracownicy!A160</f>
        <v>0</v>
      </c>
      <c r="B160" s="4">
        <f>Pracownicy!B160</f>
        <v>0</v>
      </c>
      <c r="C160" s="4" t="e">
        <f ca="1">IF(A160="","",_xludf.LET(emp,A160,e,Zaangażowanie!$A$2:$A$501,ms,Zaangażowanie!$C$2:$C$501,sh,Zaangażowanie!$E$2:$E$501,msst,_xludf.XLOOKUP(ms,Milestones!$A$2:$A$501,Milestones!$G$2:$G$501,""),act,(msst="W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60" s="4" t="e">
        <f t="shared" ca="1" si="2"/>
        <v>#NAME?</v>
      </c>
    </row>
    <row r="161" spans="1:4" x14ac:dyDescent="0.25">
      <c r="A161" s="4">
        <f>Pracownicy!A161</f>
        <v>0</v>
      </c>
      <c r="B161" s="4">
        <f>Pracownicy!B161</f>
        <v>0</v>
      </c>
      <c r="C161" s="4" t="e">
        <f ca="1">IF(A161="","",_xludf.LET(emp,A161,e,Zaangażowanie!$A$2:$A$501,ms,Zaangażowanie!$C$2:$C$501,sh,Zaangażowanie!$E$2:$E$501,msst,_xludf.XLOOKUP(ms,Milestones!$A$2:$A$501,Milestones!$G$2:$G$501,""),act,(msst="W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61" s="4" t="e">
        <f t="shared" ca="1" si="2"/>
        <v>#NAME?</v>
      </c>
    </row>
    <row r="162" spans="1:4" x14ac:dyDescent="0.25">
      <c r="A162" s="4">
        <f>Pracownicy!A162</f>
        <v>0</v>
      </c>
      <c r="B162" s="4">
        <f>Pracownicy!B162</f>
        <v>0</v>
      </c>
      <c r="C162" s="4" t="e">
        <f ca="1">IF(A162="","",_xludf.LET(emp,A162,e,Zaangażowanie!$A$2:$A$501,ms,Zaangażowanie!$C$2:$C$501,sh,Zaangażowanie!$E$2:$E$501,msst,_xludf.XLOOKUP(ms,Milestones!$A$2:$A$501,Milestones!$G$2:$G$501,""),act,(msst="W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62" s="4" t="e">
        <f t="shared" ca="1" si="2"/>
        <v>#NAME?</v>
      </c>
    </row>
    <row r="163" spans="1:4" x14ac:dyDescent="0.25">
      <c r="A163" s="4">
        <f>Pracownicy!A163</f>
        <v>0</v>
      </c>
      <c r="B163" s="4">
        <f>Pracownicy!B163</f>
        <v>0</v>
      </c>
      <c r="C163" s="4" t="e">
        <f ca="1">IF(A163="","",_xludf.LET(emp,A163,e,Zaangażowanie!$A$2:$A$501,ms,Zaangażowanie!$C$2:$C$501,sh,Zaangażowanie!$E$2:$E$501,msst,_xludf.XLOOKUP(ms,Milestones!$A$2:$A$501,Milestones!$G$2:$G$501,""),act,(msst="W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63" s="4" t="e">
        <f t="shared" ca="1" si="2"/>
        <v>#NAME?</v>
      </c>
    </row>
    <row r="164" spans="1:4" x14ac:dyDescent="0.25">
      <c r="A164" s="4">
        <f>Pracownicy!A164</f>
        <v>0</v>
      </c>
      <c r="B164" s="4">
        <f>Pracownicy!B164</f>
        <v>0</v>
      </c>
      <c r="C164" s="4" t="e">
        <f ca="1">IF(A164="","",_xludf.LET(emp,A164,e,Zaangażowanie!$A$2:$A$501,ms,Zaangażowanie!$C$2:$C$501,sh,Zaangażowanie!$E$2:$E$501,msst,_xludf.XLOOKUP(ms,Milestones!$A$2:$A$501,Milestones!$G$2:$G$501,""),act,(msst="W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64" s="4" t="e">
        <f t="shared" ca="1" si="2"/>
        <v>#NAME?</v>
      </c>
    </row>
    <row r="165" spans="1:4" x14ac:dyDescent="0.25">
      <c r="A165" s="4">
        <f>Pracownicy!A165</f>
        <v>0</v>
      </c>
      <c r="B165" s="4">
        <f>Pracownicy!B165</f>
        <v>0</v>
      </c>
      <c r="C165" s="4" t="e">
        <f ca="1">IF(A165="","",_xludf.LET(emp,A165,e,Zaangażowanie!$A$2:$A$501,ms,Zaangażowanie!$C$2:$C$501,sh,Zaangażowanie!$E$2:$E$501,msst,_xludf.XLOOKUP(ms,Milestones!$A$2:$A$501,Milestones!$G$2:$G$501,""),act,(msst="W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65" s="4" t="e">
        <f t="shared" ca="1" si="2"/>
        <v>#NAME?</v>
      </c>
    </row>
    <row r="166" spans="1:4" x14ac:dyDescent="0.25">
      <c r="A166" s="4">
        <f>Pracownicy!A166</f>
        <v>0</v>
      </c>
      <c r="B166" s="4">
        <f>Pracownicy!B166</f>
        <v>0</v>
      </c>
      <c r="C166" s="4" t="e">
        <f ca="1">IF(A166="","",_xludf.LET(emp,A166,e,Zaangażowanie!$A$2:$A$501,ms,Zaangażowanie!$C$2:$C$501,sh,Zaangażowanie!$E$2:$E$501,msst,_xludf.XLOOKUP(ms,Milestones!$A$2:$A$501,Milestones!$G$2:$G$501,""),act,(msst="W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66" s="4" t="e">
        <f t="shared" ca="1" si="2"/>
        <v>#NAME?</v>
      </c>
    </row>
    <row r="167" spans="1:4" x14ac:dyDescent="0.25">
      <c r="A167" s="4">
        <f>Pracownicy!A167</f>
        <v>0</v>
      </c>
      <c r="B167" s="4">
        <f>Pracownicy!B167</f>
        <v>0</v>
      </c>
      <c r="C167" s="4" t="e">
        <f ca="1">IF(A167="","",_xludf.LET(emp,A167,e,Zaangażowanie!$A$2:$A$501,ms,Zaangażowanie!$C$2:$C$501,sh,Zaangażowanie!$E$2:$E$501,msst,_xludf.XLOOKUP(ms,Milestones!$A$2:$A$501,Milestones!$G$2:$G$501,""),act,(msst="W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67" s="4" t="e">
        <f t="shared" ca="1" si="2"/>
        <v>#NAME?</v>
      </c>
    </row>
    <row r="168" spans="1:4" x14ac:dyDescent="0.25">
      <c r="A168" s="4">
        <f>Pracownicy!A168</f>
        <v>0</v>
      </c>
      <c r="B168" s="4">
        <f>Pracownicy!B168</f>
        <v>0</v>
      </c>
      <c r="C168" s="4" t="e">
        <f ca="1">IF(A168="","",_xludf.LET(emp,A168,e,Zaangażowanie!$A$2:$A$501,ms,Zaangażowanie!$C$2:$C$501,sh,Zaangażowanie!$E$2:$E$501,msst,_xludf.XLOOKUP(ms,Milestones!$A$2:$A$501,Milestones!$G$2:$G$501,""),act,(msst="W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68" s="4" t="e">
        <f t="shared" ca="1" si="2"/>
        <v>#NAME?</v>
      </c>
    </row>
    <row r="169" spans="1:4" x14ac:dyDescent="0.25">
      <c r="A169" s="4">
        <f>Pracownicy!A169</f>
        <v>0</v>
      </c>
      <c r="B169" s="4">
        <f>Pracownicy!B169</f>
        <v>0</v>
      </c>
      <c r="C169" s="4" t="e">
        <f ca="1">IF(A169="","",_xludf.LET(emp,A169,e,Zaangażowanie!$A$2:$A$501,ms,Zaangażowanie!$C$2:$C$501,sh,Zaangażowanie!$E$2:$E$501,msst,_xludf.XLOOKUP(ms,Milestones!$A$2:$A$501,Milestones!$G$2:$G$501,""),act,(msst="W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69" s="4" t="e">
        <f t="shared" ca="1" si="2"/>
        <v>#NAME?</v>
      </c>
    </row>
    <row r="170" spans="1:4" x14ac:dyDescent="0.25">
      <c r="A170" s="4">
        <f>Pracownicy!A170</f>
        <v>0</v>
      </c>
      <c r="B170" s="4">
        <f>Pracownicy!B170</f>
        <v>0</v>
      </c>
      <c r="C170" s="4" t="e">
        <f ca="1">IF(A170="","",_xludf.LET(emp,A170,e,Zaangażowanie!$A$2:$A$501,ms,Zaangażowanie!$C$2:$C$501,sh,Zaangażowanie!$E$2:$E$501,msst,_xludf.XLOOKUP(ms,Milestones!$A$2:$A$501,Milestones!$G$2:$G$501,""),act,(msst="W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70" s="4" t="e">
        <f t="shared" ca="1" si="2"/>
        <v>#NAME?</v>
      </c>
    </row>
    <row r="171" spans="1:4" x14ac:dyDescent="0.25">
      <c r="A171" s="4">
        <f>Pracownicy!A171</f>
        <v>0</v>
      </c>
      <c r="B171" s="4">
        <f>Pracownicy!B171</f>
        <v>0</v>
      </c>
      <c r="C171" s="4" t="e">
        <f ca="1">IF(A171="","",_xludf.LET(emp,A171,e,Zaangażowanie!$A$2:$A$501,ms,Zaangażowanie!$C$2:$C$501,sh,Zaangażowanie!$E$2:$E$501,msst,_xludf.XLOOKUP(ms,Milestones!$A$2:$A$501,Milestones!$G$2:$G$501,""),act,(msst="W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71" s="4" t="e">
        <f t="shared" ca="1" si="2"/>
        <v>#NAME?</v>
      </c>
    </row>
    <row r="172" spans="1:4" x14ac:dyDescent="0.25">
      <c r="A172" s="4">
        <f>Pracownicy!A172</f>
        <v>0</v>
      </c>
      <c r="B172" s="4">
        <f>Pracownicy!B172</f>
        <v>0</v>
      </c>
      <c r="C172" s="4" t="e">
        <f ca="1">IF(A172="","",_xludf.LET(emp,A172,e,Zaangażowanie!$A$2:$A$501,ms,Zaangażowanie!$C$2:$C$501,sh,Zaangażowanie!$E$2:$E$501,msst,_xludf.XLOOKUP(ms,Milestones!$A$2:$A$501,Milestones!$G$2:$G$501,""),act,(msst="W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72" s="4" t="e">
        <f t="shared" ca="1" si="2"/>
        <v>#NAME?</v>
      </c>
    </row>
    <row r="173" spans="1:4" x14ac:dyDescent="0.25">
      <c r="A173" s="4">
        <f>Pracownicy!A173</f>
        <v>0</v>
      </c>
      <c r="B173" s="4">
        <f>Pracownicy!B173</f>
        <v>0</v>
      </c>
      <c r="C173" s="4" t="e">
        <f ca="1">IF(A173="","",_xludf.LET(emp,A173,e,Zaangażowanie!$A$2:$A$501,ms,Zaangażowanie!$C$2:$C$501,sh,Zaangażowanie!$E$2:$E$501,msst,_xludf.XLOOKUP(ms,Milestones!$A$2:$A$501,Milestones!$G$2:$G$501,""),act,(msst="W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73" s="4" t="e">
        <f t="shared" ca="1" si="2"/>
        <v>#NAME?</v>
      </c>
    </row>
    <row r="174" spans="1:4" x14ac:dyDescent="0.25">
      <c r="A174" s="4">
        <f>Pracownicy!A174</f>
        <v>0</v>
      </c>
      <c r="B174" s="4">
        <f>Pracownicy!B174</f>
        <v>0</v>
      </c>
      <c r="C174" s="4" t="e">
        <f ca="1">IF(A174="","",_xludf.LET(emp,A174,e,Zaangażowanie!$A$2:$A$501,ms,Zaangażowanie!$C$2:$C$501,sh,Zaangażowanie!$E$2:$E$501,msst,_xludf.XLOOKUP(ms,Milestones!$A$2:$A$501,Milestones!$G$2:$G$501,""),act,(msst="W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74" s="4" t="e">
        <f t="shared" ca="1" si="2"/>
        <v>#NAME?</v>
      </c>
    </row>
    <row r="175" spans="1:4" x14ac:dyDescent="0.25">
      <c r="A175" s="4">
        <f>Pracownicy!A175</f>
        <v>0</v>
      </c>
      <c r="B175" s="4">
        <f>Pracownicy!B175</f>
        <v>0</v>
      </c>
      <c r="C175" s="4" t="e">
        <f ca="1">IF(A175="","",_xludf.LET(emp,A175,e,Zaangażowanie!$A$2:$A$501,ms,Zaangażowanie!$C$2:$C$501,sh,Zaangażowanie!$E$2:$E$501,msst,_xludf.XLOOKUP(ms,Milestones!$A$2:$A$501,Milestones!$G$2:$G$501,""),act,(msst="W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75" s="4" t="e">
        <f t="shared" ca="1" si="2"/>
        <v>#NAME?</v>
      </c>
    </row>
    <row r="176" spans="1:4" x14ac:dyDescent="0.25">
      <c r="A176" s="4">
        <f>Pracownicy!A176</f>
        <v>0</v>
      </c>
      <c r="B176" s="4">
        <f>Pracownicy!B176</f>
        <v>0</v>
      </c>
      <c r="C176" s="4" t="e">
        <f ca="1">IF(A176="","",_xludf.LET(emp,A176,e,Zaangażowanie!$A$2:$A$501,ms,Zaangażowanie!$C$2:$C$501,sh,Zaangażowanie!$E$2:$E$501,msst,_xludf.XLOOKUP(ms,Milestones!$A$2:$A$501,Milestones!$G$2:$G$501,""),act,(msst="W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76" s="4" t="e">
        <f t="shared" ca="1" si="2"/>
        <v>#NAME?</v>
      </c>
    </row>
    <row r="177" spans="1:4" x14ac:dyDescent="0.25">
      <c r="A177" s="4">
        <f>Pracownicy!A177</f>
        <v>0</v>
      </c>
      <c r="B177" s="4">
        <f>Pracownicy!B177</f>
        <v>0</v>
      </c>
      <c r="C177" s="4" t="e">
        <f ca="1">IF(A177="","",_xludf.LET(emp,A177,e,Zaangażowanie!$A$2:$A$501,ms,Zaangażowanie!$C$2:$C$501,sh,Zaangażowanie!$E$2:$E$501,msst,_xludf.XLOOKUP(ms,Milestones!$A$2:$A$501,Milestones!$G$2:$G$501,""),act,(msst="W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77" s="4" t="e">
        <f t="shared" ca="1" si="2"/>
        <v>#NAME?</v>
      </c>
    </row>
    <row r="178" spans="1:4" x14ac:dyDescent="0.25">
      <c r="A178" s="4">
        <f>Pracownicy!A178</f>
        <v>0</v>
      </c>
      <c r="B178" s="4">
        <f>Pracownicy!B178</f>
        <v>0</v>
      </c>
      <c r="C178" s="4" t="e">
        <f ca="1">IF(A178="","",_xludf.LET(emp,A178,e,Zaangażowanie!$A$2:$A$501,ms,Zaangażowanie!$C$2:$C$501,sh,Zaangażowanie!$E$2:$E$501,msst,_xludf.XLOOKUP(ms,Milestones!$A$2:$A$501,Milestones!$G$2:$G$501,""),act,(msst="W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78" s="4" t="e">
        <f t="shared" ca="1" si="2"/>
        <v>#NAME?</v>
      </c>
    </row>
    <row r="179" spans="1:4" x14ac:dyDescent="0.25">
      <c r="A179" s="4">
        <f>Pracownicy!A179</f>
        <v>0</v>
      </c>
      <c r="B179" s="4">
        <f>Pracownicy!B179</f>
        <v>0</v>
      </c>
      <c r="C179" s="4" t="e">
        <f ca="1">IF(A179="","",_xludf.LET(emp,A179,e,Zaangażowanie!$A$2:$A$501,ms,Zaangażowanie!$C$2:$C$501,sh,Zaangażowanie!$E$2:$E$501,msst,_xludf.XLOOKUP(ms,Milestones!$A$2:$A$501,Milestones!$G$2:$G$501,""),act,(msst="W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79" s="4" t="e">
        <f t="shared" ca="1" si="2"/>
        <v>#NAME?</v>
      </c>
    </row>
    <row r="180" spans="1:4" x14ac:dyDescent="0.25">
      <c r="A180" s="4">
        <f>Pracownicy!A180</f>
        <v>0</v>
      </c>
      <c r="B180" s="4">
        <f>Pracownicy!B180</f>
        <v>0</v>
      </c>
      <c r="C180" s="4" t="e">
        <f ca="1">IF(A180="","",_xludf.LET(emp,A180,e,Zaangażowanie!$A$2:$A$501,ms,Zaangażowanie!$C$2:$C$501,sh,Zaangażowanie!$E$2:$E$501,msst,_xludf.XLOOKUP(ms,Milestones!$A$2:$A$501,Milestones!$G$2:$G$501,""),act,(msst="W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80" s="4" t="e">
        <f t="shared" ca="1" si="2"/>
        <v>#NAME?</v>
      </c>
    </row>
    <row r="181" spans="1:4" x14ac:dyDescent="0.25">
      <c r="A181" s="4">
        <f>Pracownicy!A181</f>
        <v>0</v>
      </c>
      <c r="B181" s="4">
        <f>Pracownicy!B181</f>
        <v>0</v>
      </c>
      <c r="C181" s="4" t="e">
        <f ca="1">IF(A181="","",_xludf.LET(emp,A181,e,Zaangażowanie!$A$2:$A$501,ms,Zaangażowanie!$C$2:$C$501,sh,Zaangażowanie!$E$2:$E$501,msst,_xludf.XLOOKUP(ms,Milestones!$A$2:$A$501,Milestones!$G$2:$G$501,""),act,(msst="W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81" s="4" t="e">
        <f t="shared" ca="1" si="2"/>
        <v>#NAME?</v>
      </c>
    </row>
    <row r="182" spans="1:4" x14ac:dyDescent="0.25">
      <c r="A182" s="4">
        <f>Pracownicy!A182</f>
        <v>0</v>
      </c>
      <c r="B182" s="4">
        <f>Pracownicy!B182</f>
        <v>0</v>
      </c>
      <c r="C182" s="4" t="e">
        <f ca="1">IF(A182="","",_xludf.LET(emp,A182,e,Zaangażowanie!$A$2:$A$501,ms,Zaangażowanie!$C$2:$C$501,sh,Zaangażowanie!$E$2:$E$501,msst,_xludf.XLOOKUP(ms,Milestones!$A$2:$A$501,Milestones!$G$2:$G$501,""),act,(msst="W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82" s="4" t="e">
        <f t="shared" ca="1" si="2"/>
        <v>#NAME?</v>
      </c>
    </row>
    <row r="183" spans="1:4" x14ac:dyDescent="0.25">
      <c r="A183" s="4">
        <f>Pracownicy!A183</f>
        <v>0</v>
      </c>
      <c r="B183" s="4">
        <f>Pracownicy!B183</f>
        <v>0</v>
      </c>
      <c r="C183" s="4" t="e">
        <f ca="1">IF(A183="","",_xludf.LET(emp,A183,e,Zaangażowanie!$A$2:$A$501,ms,Zaangażowanie!$C$2:$C$501,sh,Zaangażowanie!$E$2:$E$501,msst,_xludf.XLOOKUP(ms,Milestones!$A$2:$A$501,Milestones!$G$2:$G$501,""),act,(msst="W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83" s="4" t="e">
        <f t="shared" ca="1" si="2"/>
        <v>#NAME?</v>
      </c>
    </row>
    <row r="184" spans="1:4" x14ac:dyDescent="0.25">
      <c r="A184" s="4">
        <f>Pracownicy!A184</f>
        <v>0</v>
      </c>
      <c r="B184" s="4">
        <f>Pracownicy!B184</f>
        <v>0</v>
      </c>
      <c r="C184" s="4" t="e">
        <f ca="1">IF(A184="","",_xludf.LET(emp,A184,e,Zaangażowanie!$A$2:$A$501,ms,Zaangażowanie!$C$2:$C$501,sh,Zaangażowanie!$E$2:$E$501,msst,_xludf.XLOOKUP(ms,Milestones!$A$2:$A$501,Milestones!$G$2:$G$501,""),act,(msst="W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84" s="4" t="e">
        <f t="shared" ca="1" si="2"/>
        <v>#NAME?</v>
      </c>
    </row>
    <row r="185" spans="1:4" x14ac:dyDescent="0.25">
      <c r="A185" s="4">
        <f>Pracownicy!A185</f>
        <v>0</v>
      </c>
      <c r="B185" s="4">
        <f>Pracownicy!B185</f>
        <v>0</v>
      </c>
      <c r="C185" s="4" t="e">
        <f ca="1">IF(A185="","",_xludf.LET(emp,A185,e,Zaangażowanie!$A$2:$A$501,ms,Zaangażowanie!$C$2:$C$501,sh,Zaangażowanie!$E$2:$E$501,msst,_xludf.XLOOKUP(ms,Milestones!$A$2:$A$501,Milestones!$G$2:$G$501,""),act,(msst="W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85" s="4" t="e">
        <f t="shared" ca="1" si="2"/>
        <v>#NAME?</v>
      </c>
    </row>
    <row r="186" spans="1:4" x14ac:dyDescent="0.25">
      <c r="A186" s="4">
        <f>Pracownicy!A186</f>
        <v>0</v>
      </c>
      <c r="B186" s="4">
        <f>Pracownicy!B186</f>
        <v>0</v>
      </c>
      <c r="C186" s="4" t="e">
        <f ca="1">IF(A186="","",_xludf.LET(emp,A186,e,Zaangażowanie!$A$2:$A$501,ms,Zaangażowanie!$C$2:$C$501,sh,Zaangażowanie!$E$2:$E$501,msst,_xludf.XLOOKUP(ms,Milestones!$A$2:$A$501,Milestones!$G$2:$G$501,""),act,(msst="W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86" s="4" t="e">
        <f t="shared" ca="1" si="2"/>
        <v>#NAME?</v>
      </c>
    </row>
    <row r="187" spans="1:4" x14ac:dyDescent="0.25">
      <c r="A187" s="4">
        <f>Pracownicy!A187</f>
        <v>0</v>
      </c>
      <c r="B187" s="4">
        <f>Pracownicy!B187</f>
        <v>0</v>
      </c>
      <c r="C187" s="4" t="e">
        <f ca="1">IF(A187="","",_xludf.LET(emp,A187,e,Zaangażowanie!$A$2:$A$501,ms,Zaangażowanie!$C$2:$C$501,sh,Zaangażowanie!$E$2:$E$501,msst,_xludf.XLOOKUP(ms,Milestones!$A$2:$A$501,Milestones!$G$2:$G$501,""),act,(msst="W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87" s="4" t="e">
        <f t="shared" ca="1" si="2"/>
        <v>#NAME?</v>
      </c>
    </row>
    <row r="188" spans="1:4" x14ac:dyDescent="0.25">
      <c r="A188" s="4">
        <f>Pracownicy!A188</f>
        <v>0</v>
      </c>
      <c r="B188" s="4">
        <f>Pracownicy!B188</f>
        <v>0</v>
      </c>
      <c r="C188" s="4" t="e">
        <f ca="1">IF(A188="","",_xludf.LET(emp,A188,e,Zaangażowanie!$A$2:$A$501,ms,Zaangażowanie!$C$2:$C$501,sh,Zaangażowanie!$E$2:$E$501,msst,_xludf.XLOOKUP(ms,Milestones!$A$2:$A$501,Milestones!$G$2:$G$501,""),act,(msst="W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88" s="4" t="e">
        <f t="shared" ca="1" si="2"/>
        <v>#NAME?</v>
      </c>
    </row>
    <row r="189" spans="1:4" x14ac:dyDescent="0.25">
      <c r="A189" s="4">
        <f>Pracownicy!A189</f>
        <v>0</v>
      </c>
      <c r="B189" s="4">
        <f>Pracownicy!B189</f>
        <v>0</v>
      </c>
      <c r="C189" s="4" t="e">
        <f ca="1">IF(A189="","",_xludf.LET(emp,A189,e,Zaangażowanie!$A$2:$A$501,ms,Zaangażowanie!$C$2:$C$501,sh,Zaangażowanie!$E$2:$E$501,msst,_xludf.XLOOKUP(ms,Milestones!$A$2:$A$501,Milestones!$G$2:$G$501,""),act,(msst="W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89" s="4" t="e">
        <f t="shared" ca="1" si="2"/>
        <v>#NAME?</v>
      </c>
    </row>
    <row r="190" spans="1:4" x14ac:dyDescent="0.25">
      <c r="A190" s="4">
        <f>Pracownicy!A190</f>
        <v>0</v>
      </c>
      <c r="B190" s="4">
        <f>Pracownicy!B190</f>
        <v>0</v>
      </c>
      <c r="C190" s="4" t="e">
        <f ca="1">IF(A190="","",_xludf.LET(emp,A190,e,Zaangażowanie!$A$2:$A$501,ms,Zaangażowanie!$C$2:$C$501,sh,Zaangażowanie!$E$2:$E$501,msst,_xludf.XLOOKUP(ms,Milestones!$A$2:$A$501,Milestones!$G$2:$G$501,""),act,(msst="W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90" s="4" t="e">
        <f t="shared" ca="1" si="2"/>
        <v>#NAME?</v>
      </c>
    </row>
    <row r="191" spans="1:4" x14ac:dyDescent="0.25">
      <c r="A191" s="4">
        <f>Pracownicy!A191</f>
        <v>0</v>
      </c>
      <c r="B191" s="4">
        <f>Pracownicy!B191</f>
        <v>0</v>
      </c>
      <c r="C191" s="4" t="e">
        <f ca="1">IF(A191="","",_xludf.LET(emp,A191,e,Zaangażowanie!$A$2:$A$501,ms,Zaangażowanie!$C$2:$C$501,sh,Zaangażowanie!$E$2:$E$501,msst,_xludf.XLOOKUP(ms,Milestones!$A$2:$A$501,Milestones!$G$2:$G$501,""),act,(msst="W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91" s="4" t="e">
        <f t="shared" ca="1" si="2"/>
        <v>#NAME?</v>
      </c>
    </row>
    <row r="192" spans="1:4" x14ac:dyDescent="0.25">
      <c r="A192" s="4">
        <f>Pracownicy!A192</f>
        <v>0</v>
      </c>
      <c r="B192" s="4">
        <f>Pracownicy!B192</f>
        <v>0</v>
      </c>
      <c r="C192" s="4" t="e">
        <f ca="1">IF(A192="","",_xludf.LET(emp,A192,e,Zaangażowanie!$A$2:$A$501,ms,Zaangażowanie!$C$2:$C$501,sh,Zaangażowanie!$E$2:$E$501,msst,_xludf.XLOOKUP(ms,Milestones!$A$2:$A$501,Milestones!$G$2:$G$501,""),act,(msst="W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92" s="4" t="e">
        <f t="shared" ca="1" si="2"/>
        <v>#NAME?</v>
      </c>
    </row>
    <row r="193" spans="1:4" x14ac:dyDescent="0.25">
      <c r="A193" s="4">
        <f>Pracownicy!A193</f>
        <v>0</v>
      </c>
      <c r="B193" s="4">
        <f>Pracownicy!B193</f>
        <v>0</v>
      </c>
      <c r="C193" s="4" t="e">
        <f ca="1">IF(A193="","",_xludf.LET(emp,A193,e,Zaangażowanie!$A$2:$A$501,ms,Zaangażowanie!$C$2:$C$501,sh,Zaangażowanie!$E$2:$E$501,msst,_xludf.XLOOKUP(ms,Milestones!$A$2:$A$501,Milestones!$G$2:$G$501,""),act,(msst="W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93" s="4" t="e">
        <f t="shared" ca="1" si="2"/>
        <v>#NAME?</v>
      </c>
    </row>
    <row r="194" spans="1:4" x14ac:dyDescent="0.25">
      <c r="A194" s="4">
        <f>Pracownicy!A194</f>
        <v>0</v>
      </c>
      <c r="B194" s="4">
        <f>Pracownicy!B194</f>
        <v>0</v>
      </c>
      <c r="C194" s="4" t="e">
        <f ca="1">IF(A194="","",_xludf.LET(emp,A194,e,Zaangażowanie!$A$2:$A$501,ms,Zaangażowanie!$C$2:$C$501,sh,Zaangażowanie!$E$2:$E$501,msst,_xludf.XLOOKUP(ms,Milestones!$A$2:$A$501,Milestones!$G$2:$G$501,""),act,(msst="W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94" s="4" t="e">
        <f t="shared" ref="D194:D257" ca="1" si="3">IF(A194="","",IF(C194&lt;=1,"OK","NIE"))</f>
        <v>#NAME?</v>
      </c>
    </row>
    <row r="195" spans="1:4" x14ac:dyDescent="0.25">
      <c r="A195" s="4">
        <f>Pracownicy!A195</f>
        <v>0</v>
      </c>
      <c r="B195" s="4">
        <f>Pracownicy!B195</f>
        <v>0</v>
      </c>
      <c r="C195" s="4" t="e">
        <f ca="1">IF(A195="","",_xludf.LET(emp,A195,e,Zaangażowanie!$A$2:$A$501,ms,Zaangażowanie!$C$2:$C$501,sh,Zaangażowanie!$E$2:$E$501,msst,_xludf.XLOOKUP(ms,Milestones!$A$2:$A$501,Milestones!$G$2:$G$501,""),act,(msst="W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95" s="4" t="e">
        <f t="shared" ca="1" si="3"/>
        <v>#NAME?</v>
      </c>
    </row>
    <row r="196" spans="1:4" x14ac:dyDescent="0.25">
      <c r="A196" s="4">
        <f>Pracownicy!A196</f>
        <v>0</v>
      </c>
      <c r="B196" s="4">
        <f>Pracownicy!B196</f>
        <v>0</v>
      </c>
      <c r="C196" s="4" t="e">
        <f ca="1">IF(A196="","",_xludf.LET(emp,A196,e,Zaangażowanie!$A$2:$A$501,ms,Zaangażowanie!$C$2:$C$501,sh,Zaangażowanie!$E$2:$E$501,msst,_xludf.XLOOKUP(ms,Milestones!$A$2:$A$501,Milestones!$G$2:$G$501,""),act,(msst="W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96" s="4" t="e">
        <f t="shared" ca="1" si="3"/>
        <v>#NAME?</v>
      </c>
    </row>
    <row r="197" spans="1:4" x14ac:dyDescent="0.25">
      <c r="A197" s="4">
        <f>Pracownicy!A197</f>
        <v>0</v>
      </c>
      <c r="B197" s="4">
        <f>Pracownicy!B197</f>
        <v>0</v>
      </c>
      <c r="C197" s="4" t="e">
        <f ca="1">IF(A197="","",_xludf.LET(emp,A197,e,Zaangażowanie!$A$2:$A$501,ms,Zaangażowanie!$C$2:$C$501,sh,Zaangażowanie!$E$2:$E$501,msst,_xludf.XLOOKUP(ms,Milestones!$A$2:$A$501,Milestones!$G$2:$G$501,""),act,(msst="W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97" s="4" t="e">
        <f t="shared" ca="1" si="3"/>
        <v>#NAME?</v>
      </c>
    </row>
    <row r="198" spans="1:4" x14ac:dyDescent="0.25">
      <c r="A198" s="4">
        <f>Pracownicy!A198</f>
        <v>0</v>
      </c>
      <c r="B198" s="4">
        <f>Pracownicy!B198</f>
        <v>0</v>
      </c>
      <c r="C198" s="4" t="e">
        <f ca="1">IF(A198="","",_xludf.LET(emp,A198,e,Zaangażowanie!$A$2:$A$501,ms,Zaangażowanie!$C$2:$C$501,sh,Zaangażowanie!$E$2:$E$501,msst,_xludf.XLOOKUP(ms,Milestones!$A$2:$A$501,Milestones!$G$2:$G$501,""),act,(msst="W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98" s="4" t="e">
        <f t="shared" ca="1" si="3"/>
        <v>#NAME?</v>
      </c>
    </row>
    <row r="199" spans="1:4" x14ac:dyDescent="0.25">
      <c r="A199" s="4">
        <f>Pracownicy!A199</f>
        <v>0</v>
      </c>
      <c r="B199" s="4">
        <f>Pracownicy!B199</f>
        <v>0</v>
      </c>
      <c r="C199" s="4" t="e">
        <f ca="1">IF(A199="","",_xludf.LET(emp,A199,e,Zaangażowanie!$A$2:$A$501,ms,Zaangażowanie!$C$2:$C$501,sh,Zaangażowanie!$E$2:$E$501,msst,_xludf.XLOOKUP(ms,Milestones!$A$2:$A$501,Milestones!$G$2:$G$501,""),act,(msst="W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199" s="4" t="e">
        <f t="shared" ca="1" si="3"/>
        <v>#NAME?</v>
      </c>
    </row>
    <row r="200" spans="1:4" x14ac:dyDescent="0.25">
      <c r="A200" s="4">
        <f>Pracownicy!A200</f>
        <v>0</v>
      </c>
      <c r="B200" s="4">
        <f>Pracownicy!B200</f>
        <v>0</v>
      </c>
      <c r="C200" s="4" t="e">
        <f ca="1">IF(A200="","",_xludf.LET(emp,A200,e,Zaangażowanie!$A$2:$A$501,ms,Zaangażowanie!$C$2:$C$501,sh,Zaangażowanie!$E$2:$E$501,msst,_xludf.XLOOKUP(ms,Milestones!$A$2:$A$501,Milestones!$G$2:$G$501,""),act,(msst="W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00" s="4" t="e">
        <f t="shared" ca="1" si="3"/>
        <v>#NAME?</v>
      </c>
    </row>
    <row r="201" spans="1:4" x14ac:dyDescent="0.25">
      <c r="A201" s="4">
        <f>Pracownicy!A201</f>
        <v>0</v>
      </c>
      <c r="B201" s="4">
        <f>Pracownicy!B201</f>
        <v>0</v>
      </c>
      <c r="C201" s="4" t="e">
        <f ca="1">IF(A201="","",_xludf.LET(emp,A201,e,Zaangażowanie!$A$2:$A$501,ms,Zaangażowanie!$C$2:$C$501,sh,Zaangażowanie!$E$2:$E$501,msst,_xludf.XLOOKUP(ms,Milestones!$A$2:$A$501,Milestones!$G$2:$G$501,""),act,(msst="W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01" s="4" t="e">
        <f t="shared" ca="1" si="3"/>
        <v>#NAME?</v>
      </c>
    </row>
    <row r="202" spans="1:4" x14ac:dyDescent="0.25">
      <c r="A202" s="4">
        <f>Pracownicy!A202</f>
        <v>0</v>
      </c>
      <c r="B202" s="4">
        <f>Pracownicy!B202</f>
        <v>0</v>
      </c>
      <c r="C202" s="4" t="e">
        <f ca="1">IF(A202="","",_xludf.LET(emp,A202,e,Zaangażowanie!$A$2:$A$501,ms,Zaangażowanie!$C$2:$C$501,sh,Zaangażowanie!$E$2:$E$501,msst,_xludf.XLOOKUP(ms,Milestones!$A$2:$A$501,Milestones!$G$2:$G$501,""),act,(msst="W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02" s="4" t="e">
        <f t="shared" ca="1" si="3"/>
        <v>#NAME?</v>
      </c>
    </row>
    <row r="203" spans="1:4" x14ac:dyDescent="0.25">
      <c r="A203" s="4">
        <f>Pracownicy!A203</f>
        <v>0</v>
      </c>
      <c r="B203" s="4">
        <f>Pracownicy!B203</f>
        <v>0</v>
      </c>
      <c r="C203" s="4" t="e">
        <f ca="1">IF(A203="","",_xludf.LET(emp,A203,e,Zaangażowanie!$A$2:$A$501,ms,Zaangażowanie!$C$2:$C$501,sh,Zaangażowanie!$E$2:$E$501,msst,_xludf.XLOOKUP(ms,Milestones!$A$2:$A$501,Milestones!$G$2:$G$501,""),act,(msst="W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03" s="4" t="e">
        <f t="shared" ca="1" si="3"/>
        <v>#NAME?</v>
      </c>
    </row>
    <row r="204" spans="1:4" x14ac:dyDescent="0.25">
      <c r="A204" s="4">
        <f>Pracownicy!A204</f>
        <v>0</v>
      </c>
      <c r="B204" s="4">
        <f>Pracownicy!B204</f>
        <v>0</v>
      </c>
      <c r="C204" s="4" t="e">
        <f ca="1">IF(A204="","",_xludf.LET(emp,A204,e,Zaangażowanie!$A$2:$A$501,ms,Zaangażowanie!$C$2:$C$501,sh,Zaangażowanie!$E$2:$E$501,msst,_xludf.XLOOKUP(ms,Milestones!$A$2:$A$501,Milestones!$G$2:$G$501,""),act,(msst="W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04" s="4" t="e">
        <f t="shared" ca="1" si="3"/>
        <v>#NAME?</v>
      </c>
    </row>
    <row r="205" spans="1:4" x14ac:dyDescent="0.25">
      <c r="A205" s="4">
        <f>Pracownicy!A205</f>
        <v>0</v>
      </c>
      <c r="B205" s="4">
        <f>Pracownicy!B205</f>
        <v>0</v>
      </c>
      <c r="C205" s="4" t="e">
        <f ca="1">IF(A205="","",_xludf.LET(emp,A205,e,Zaangażowanie!$A$2:$A$501,ms,Zaangażowanie!$C$2:$C$501,sh,Zaangażowanie!$E$2:$E$501,msst,_xludf.XLOOKUP(ms,Milestones!$A$2:$A$501,Milestones!$G$2:$G$501,""),act,(msst="W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05" s="4" t="e">
        <f t="shared" ca="1" si="3"/>
        <v>#NAME?</v>
      </c>
    </row>
    <row r="206" spans="1:4" x14ac:dyDescent="0.25">
      <c r="A206" s="4">
        <f>Pracownicy!A206</f>
        <v>0</v>
      </c>
      <c r="B206" s="4">
        <f>Pracownicy!B206</f>
        <v>0</v>
      </c>
      <c r="C206" s="4" t="e">
        <f ca="1">IF(A206="","",_xludf.LET(emp,A206,e,Zaangażowanie!$A$2:$A$501,ms,Zaangażowanie!$C$2:$C$501,sh,Zaangażowanie!$E$2:$E$501,msst,_xludf.XLOOKUP(ms,Milestones!$A$2:$A$501,Milestones!$G$2:$G$501,""),act,(msst="W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06" s="4" t="e">
        <f t="shared" ca="1" si="3"/>
        <v>#NAME?</v>
      </c>
    </row>
    <row r="207" spans="1:4" x14ac:dyDescent="0.25">
      <c r="A207" s="4">
        <f>Pracownicy!A207</f>
        <v>0</v>
      </c>
      <c r="B207" s="4">
        <f>Pracownicy!B207</f>
        <v>0</v>
      </c>
      <c r="C207" s="4" t="e">
        <f ca="1">IF(A207="","",_xludf.LET(emp,A207,e,Zaangażowanie!$A$2:$A$501,ms,Zaangażowanie!$C$2:$C$501,sh,Zaangażowanie!$E$2:$E$501,msst,_xludf.XLOOKUP(ms,Milestones!$A$2:$A$501,Milestones!$G$2:$G$501,""),act,(msst="W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07" s="4" t="e">
        <f t="shared" ca="1" si="3"/>
        <v>#NAME?</v>
      </c>
    </row>
    <row r="208" spans="1:4" x14ac:dyDescent="0.25">
      <c r="A208" s="4">
        <f>Pracownicy!A208</f>
        <v>0</v>
      </c>
      <c r="B208" s="4">
        <f>Pracownicy!B208</f>
        <v>0</v>
      </c>
      <c r="C208" s="4" t="e">
        <f ca="1">IF(A208="","",_xludf.LET(emp,A208,e,Zaangażowanie!$A$2:$A$501,ms,Zaangażowanie!$C$2:$C$501,sh,Zaangażowanie!$E$2:$E$501,msst,_xludf.XLOOKUP(ms,Milestones!$A$2:$A$501,Milestones!$G$2:$G$501,""),act,(msst="W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08" s="4" t="e">
        <f t="shared" ca="1" si="3"/>
        <v>#NAME?</v>
      </c>
    </row>
    <row r="209" spans="1:4" x14ac:dyDescent="0.25">
      <c r="A209" s="4">
        <f>Pracownicy!A209</f>
        <v>0</v>
      </c>
      <c r="B209" s="4">
        <f>Pracownicy!B209</f>
        <v>0</v>
      </c>
      <c r="C209" s="4" t="e">
        <f ca="1">IF(A209="","",_xludf.LET(emp,A209,e,Zaangażowanie!$A$2:$A$501,ms,Zaangażowanie!$C$2:$C$501,sh,Zaangażowanie!$E$2:$E$501,msst,_xludf.XLOOKUP(ms,Milestones!$A$2:$A$501,Milestones!$G$2:$G$501,""),act,(msst="W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09" s="4" t="e">
        <f t="shared" ca="1" si="3"/>
        <v>#NAME?</v>
      </c>
    </row>
    <row r="210" spans="1:4" x14ac:dyDescent="0.25">
      <c r="A210" s="4">
        <f>Pracownicy!A210</f>
        <v>0</v>
      </c>
      <c r="B210" s="4">
        <f>Pracownicy!B210</f>
        <v>0</v>
      </c>
      <c r="C210" s="4" t="e">
        <f ca="1">IF(A210="","",_xludf.LET(emp,A210,e,Zaangażowanie!$A$2:$A$501,ms,Zaangażowanie!$C$2:$C$501,sh,Zaangażowanie!$E$2:$E$501,msst,_xludf.XLOOKUP(ms,Milestones!$A$2:$A$501,Milestones!$G$2:$G$501,""),act,(msst="W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10" s="4" t="e">
        <f t="shared" ca="1" si="3"/>
        <v>#NAME?</v>
      </c>
    </row>
    <row r="211" spans="1:4" x14ac:dyDescent="0.25">
      <c r="A211" s="4">
        <f>Pracownicy!A211</f>
        <v>0</v>
      </c>
      <c r="B211" s="4">
        <f>Pracownicy!B211</f>
        <v>0</v>
      </c>
      <c r="C211" s="4" t="e">
        <f ca="1">IF(A211="","",_xludf.LET(emp,A211,e,Zaangażowanie!$A$2:$A$501,ms,Zaangażowanie!$C$2:$C$501,sh,Zaangażowanie!$E$2:$E$501,msst,_xludf.XLOOKUP(ms,Milestones!$A$2:$A$501,Milestones!$G$2:$G$501,""),act,(msst="W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11" s="4" t="e">
        <f t="shared" ca="1" si="3"/>
        <v>#NAME?</v>
      </c>
    </row>
    <row r="212" spans="1:4" x14ac:dyDescent="0.25">
      <c r="A212" s="4">
        <f>Pracownicy!A212</f>
        <v>0</v>
      </c>
      <c r="B212" s="4">
        <f>Pracownicy!B212</f>
        <v>0</v>
      </c>
      <c r="C212" s="4" t="e">
        <f ca="1">IF(A212="","",_xludf.LET(emp,A212,e,Zaangażowanie!$A$2:$A$501,ms,Zaangażowanie!$C$2:$C$501,sh,Zaangażowanie!$E$2:$E$501,msst,_xludf.XLOOKUP(ms,Milestones!$A$2:$A$501,Milestones!$G$2:$G$501,""),act,(msst="W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12" s="4" t="e">
        <f t="shared" ca="1" si="3"/>
        <v>#NAME?</v>
      </c>
    </row>
    <row r="213" spans="1:4" x14ac:dyDescent="0.25">
      <c r="A213" s="4">
        <f>Pracownicy!A213</f>
        <v>0</v>
      </c>
      <c r="B213" s="4">
        <f>Pracownicy!B213</f>
        <v>0</v>
      </c>
      <c r="C213" s="4" t="e">
        <f ca="1">IF(A213="","",_xludf.LET(emp,A213,e,Zaangażowanie!$A$2:$A$501,ms,Zaangażowanie!$C$2:$C$501,sh,Zaangażowanie!$E$2:$E$501,msst,_xludf.XLOOKUP(ms,Milestones!$A$2:$A$501,Milestones!$G$2:$G$501,""),act,(msst="W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13" s="4" t="e">
        <f t="shared" ca="1" si="3"/>
        <v>#NAME?</v>
      </c>
    </row>
    <row r="214" spans="1:4" x14ac:dyDescent="0.25">
      <c r="A214" s="4">
        <f>Pracownicy!A214</f>
        <v>0</v>
      </c>
      <c r="B214" s="4">
        <f>Pracownicy!B214</f>
        <v>0</v>
      </c>
      <c r="C214" s="4" t="e">
        <f ca="1">IF(A214="","",_xludf.LET(emp,A214,e,Zaangażowanie!$A$2:$A$501,ms,Zaangażowanie!$C$2:$C$501,sh,Zaangażowanie!$E$2:$E$501,msst,_xludf.XLOOKUP(ms,Milestones!$A$2:$A$501,Milestones!$G$2:$G$501,""),act,(msst="W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14" s="4" t="e">
        <f t="shared" ca="1" si="3"/>
        <v>#NAME?</v>
      </c>
    </row>
    <row r="215" spans="1:4" x14ac:dyDescent="0.25">
      <c r="A215" s="4">
        <f>Pracownicy!A215</f>
        <v>0</v>
      </c>
      <c r="B215" s="4">
        <f>Pracownicy!B215</f>
        <v>0</v>
      </c>
      <c r="C215" s="4" t="e">
        <f ca="1">IF(A215="","",_xludf.LET(emp,A215,e,Zaangażowanie!$A$2:$A$501,ms,Zaangażowanie!$C$2:$C$501,sh,Zaangażowanie!$E$2:$E$501,msst,_xludf.XLOOKUP(ms,Milestones!$A$2:$A$501,Milestones!$G$2:$G$501,""),act,(msst="W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15" s="4" t="e">
        <f t="shared" ca="1" si="3"/>
        <v>#NAME?</v>
      </c>
    </row>
    <row r="216" spans="1:4" x14ac:dyDescent="0.25">
      <c r="A216" s="4">
        <f>Pracownicy!A216</f>
        <v>0</v>
      </c>
      <c r="B216" s="4">
        <f>Pracownicy!B216</f>
        <v>0</v>
      </c>
      <c r="C216" s="4" t="e">
        <f ca="1">IF(A216="","",_xludf.LET(emp,A216,e,Zaangażowanie!$A$2:$A$501,ms,Zaangażowanie!$C$2:$C$501,sh,Zaangażowanie!$E$2:$E$501,msst,_xludf.XLOOKUP(ms,Milestones!$A$2:$A$501,Milestones!$G$2:$G$501,""),act,(msst="W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16" s="4" t="e">
        <f t="shared" ca="1" si="3"/>
        <v>#NAME?</v>
      </c>
    </row>
    <row r="217" spans="1:4" x14ac:dyDescent="0.25">
      <c r="A217" s="4">
        <f>Pracownicy!A217</f>
        <v>0</v>
      </c>
      <c r="B217" s="4">
        <f>Pracownicy!B217</f>
        <v>0</v>
      </c>
      <c r="C217" s="4" t="e">
        <f ca="1">IF(A217="","",_xludf.LET(emp,A217,e,Zaangażowanie!$A$2:$A$501,ms,Zaangażowanie!$C$2:$C$501,sh,Zaangażowanie!$E$2:$E$501,msst,_xludf.XLOOKUP(ms,Milestones!$A$2:$A$501,Milestones!$G$2:$G$501,""),act,(msst="W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17" s="4" t="e">
        <f t="shared" ca="1" si="3"/>
        <v>#NAME?</v>
      </c>
    </row>
    <row r="218" spans="1:4" x14ac:dyDescent="0.25">
      <c r="A218" s="4">
        <f>Pracownicy!A218</f>
        <v>0</v>
      </c>
      <c r="B218" s="4">
        <f>Pracownicy!B218</f>
        <v>0</v>
      </c>
      <c r="C218" s="4" t="e">
        <f ca="1">IF(A218="","",_xludf.LET(emp,A218,e,Zaangażowanie!$A$2:$A$501,ms,Zaangażowanie!$C$2:$C$501,sh,Zaangażowanie!$E$2:$E$501,msst,_xludf.XLOOKUP(ms,Milestones!$A$2:$A$501,Milestones!$G$2:$G$501,""),act,(msst="W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18" s="4" t="e">
        <f t="shared" ca="1" si="3"/>
        <v>#NAME?</v>
      </c>
    </row>
    <row r="219" spans="1:4" x14ac:dyDescent="0.25">
      <c r="A219" s="4">
        <f>Pracownicy!A219</f>
        <v>0</v>
      </c>
      <c r="B219" s="4">
        <f>Pracownicy!B219</f>
        <v>0</v>
      </c>
      <c r="C219" s="4" t="e">
        <f ca="1">IF(A219="","",_xludf.LET(emp,A219,e,Zaangażowanie!$A$2:$A$501,ms,Zaangażowanie!$C$2:$C$501,sh,Zaangażowanie!$E$2:$E$501,msst,_xludf.XLOOKUP(ms,Milestones!$A$2:$A$501,Milestones!$G$2:$G$501,""),act,(msst="W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19" s="4" t="e">
        <f t="shared" ca="1" si="3"/>
        <v>#NAME?</v>
      </c>
    </row>
    <row r="220" spans="1:4" x14ac:dyDescent="0.25">
      <c r="A220" s="4">
        <f>Pracownicy!A220</f>
        <v>0</v>
      </c>
      <c r="B220" s="4">
        <f>Pracownicy!B220</f>
        <v>0</v>
      </c>
      <c r="C220" s="4" t="e">
        <f ca="1">IF(A220="","",_xludf.LET(emp,A220,e,Zaangażowanie!$A$2:$A$501,ms,Zaangażowanie!$C$2:$C$501,sh,Zaangażowanie!$E$2:$E$501,msst,_xludf.XLOOKUP(ms,Milestones!$A$2:$A$501,Milestones!$G$2:$G$501,""),act,(msst="W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20" s="4" t="e">
        <f t="shared" ca="1" si="3"/>
        <v>#NAME?</v>
      </c>
    </row>
    <row r="221" spans="1:4" x14ac:dyDescent="0.25">
      <c r="A221" s="4">
        <f>Pracownicy!A221</f>
        <v>0</v>
      </c>
      <c r="B221" s="4">
        <f>Pracownicy!B221</f>
        <v>0</v>
      </c>
      <c r="C221" s="4" t="e">
        <f ca="1">IF(A221="","",_xludf.LET(emp,A221,e,Zaangażowanie!$A$2:$A$501,ms,Zaangażowanie!$C$2:$C$501,sh,Zaangażowanie!$E$2:$E$501,msst,_xludf.XLOOKUP(ms,Milestones!$A$2:$A$501,Milestones!$G$2:$G$501,""),act,(msst="W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21" s="4" t="e">
        <f t="shared" ca="1" si="3"/>
        <v>#NAME?</v>
      </c>
    </row>
    <row r="222" spans="1:4" x14ac:dyDescent="0.25">
      <c r="A222" s="4">
        <f>Pracownicy!A222</f>
        <v>0</v>
      </c>
      <c r="B222" s="4">
        <f>Pracownicy!B222</f>
        <v>0</v>
      </c>
      <c r="C222" s="4" t="e">
        <f ca="1">IF(A222="","",_xludf.LET(emp,A222,e,Zaangażowanie!$A$2:$A$501,ms,Zaangażowanie!$C$2:$C$501,sh,Zaangażowanie!$E$2:$E$501,msst,_xludf.XLOOKUP(ms,Milestones!$A$2:$A$501,Milestones!$G$2:$G$501,""),act,(msst="W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22" s="4" t="e">
        <f t="shared" ca="1" si="3"/>
        <v>#NAME?</v>
      </c>
    </row>
    <row r="223" spans="1:4" x14ac:dyDescent="0.25">
      <c r="A223" s="4">
        <f>Pracownicy!A223</f>
        <v>0</v>
      </c>
      <c r="B223" s="4">
        <f>Pracownicy!B223</f>
        <v>0</v>
      </c>
      <c r="C223" s="4" t="e">
        <f ca="1">IF(A223="","",_xludf.LET(emp,A223,e,Zaangażowanie!$A$2:$A$501,ms,Zaangażowanie!$C$2:$C$501,sh,Zaangażowanie!$E$2:$E$501,msst,_xludf.XLOOKUP(ms,Milestones!$A$2:$A$501,Milestones!$G$2:$G$501,""),act,(msst="W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23" s="4" t="e">
        <f t="shared" ca="1" si="3"/>
        <v>#NAME?</v>
      </c>
    </row>
    <row r="224" spans="1:4" x14ac:dyDescent="0.25">
      <c r="A224" s="4">
        <f>Pracownicy!A224</f>
        <v>0</v>
      </c>
      <c r="B224" s="4">
        <f>Pracownicy!B224</f>
        <v>0</v>
      </c>
      <c r="C224" s="4" t="e">
        <f ca="1">IF(A224="","",_xludf.LET(emp,A224,e,Zaangażowanie!$A$2:$A$501,ms,Zaangażowanie!$C$2:$C$501,sh,Zaangażowanie!$E$2:$E$501,msst,_xludf.XLOOKUP(ms,Milestones!$A$2:$A$501,Milestones!$G$2:$G$501,""),act,(msst="W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24" s="4" t="e">
        <f t="shared" ca="1" si="3"/>
        <v>#NAME?</v>
      </c>
    </row>
    <row r="225" spans="1:4" x14ac:dyDescent="0.25">
      <c r="A225" s="4">
        <f>Pracownicy!A225</f>
        <v>0</v>
      </c>
      <c r="B225" s="4">
        <f>Pracownicy!B225</f>
        <v>0</v>
      </c>
      <c r="C225" s="4" t="e">
        <f ca="1">IF(A225="","",_xludf.LET(emp,A225,e,Zaangażowanie!$A$2:$A$501,ms,Zaangażowanie!$C$2:$C$501,sh,Zaangażowanie!$E$2:$E$501,msst,_xludf.XLOOKUP(ms,Milestones!$A$2:$A$501,Milestones!$G$2:$G$501,""),act,(msst="W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25" s="4" t="e">
        <f t="shared" ca="1" si="3"/>
        <v>#NAME?</v>
      </c>
    </row>
    <row r="226" spans="1:4" x14ac:dyDescent="0.25">
      <c r="A226" s="4">
        <f>Pracownicy!A226</f>
        <v>0</v>
      </c>
      <c r="B226" s="4">
        <f>Pracownicy!B226</f>
        <v>0</v>
      </c>
      <c r="C226" s="4" t="e">
        <f ca="1">IF(A226="","",_xludf.LET(emp,A226,e,Zaangażowanie!$A$2:$A$501,ms,Zaangażowanie!$C$2:$C$501,sh,Zaangażowanie!$E$2:$E$501,msst,_xludf.XLOOKUP(ms,Milestones!$A$2:$A$501,Milestones!$G$2:$G$501,""),act,(msst="W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26" s="4" t="e">
        <f t="shared" ca="1" si="3"/>
        <v>#NAME?</v>
      </c>
    </row>
    <row r="227" spans="1:4" x14ac:dyDescent="0.25">
      <c r="A227" s="4">
        <f>Pracownicy!A227</f>
        <v>0</v>
      </c>
      <c r="B227" s="4">
        <f>Pracownicy!B227</f>
        <v>0</v>
      </c>
      <c r="C227" s="4" t="e">
        <f ca="1">IF(A227="","",_xludf.LET(emp,A227,e,Zaangażowanie!$A$2:$A$501,ms,Zaangażowanie!$C$2:$C$501,sh,Zaangażowanie!$E$2:$E$501,msst,_xludf.XLOOKUP(ms,Milestones!$A$2:$A$501,Milestones!$G$2:$G$501,""),act,(msst="W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27" s="4" t="e">
        <f t="shared" ca="1" si="3"/>
        <v>#NAME?</v>
      </c>
    </row>
    <row r="228" spans="1:4" x14ac:dyDescent="0.25">
      <c r="A228" s="4">
        <f>Pracownicy!A228</f>
        <v>0</v>
      </c>
      <c r="B228" s="4">
        <f>Pracownicy!B228</f>
        <v>0</v>
      </c>
      <c r="C228" s="4" t="e">
        <f ca="1">IF(A228="","",_xludf.LET(emp,A228,e,Zaangażowanie!$A$2:$A$501,ms,Zaangażowanie!$C$2:$C$501,sh,Zaangażowanie!$E$2:$E$501,msst,_xludf.XLOOKUP(ms,Milestones!$A$2:$A$501,Milestones!$G$2:$G$501,""),act,(msst="W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28" s="4" t="e">
        <f t="shared" ca="1" si="3"/>
        <v>#NAME?</v>
      </c>
    </row>
    <row r="229" spans="1:4" x14ac:dyDescent="0.25">
      <c r="A229" s="4">
        <f>Pracownicy!A229</f>
        <v>0</v>
      </c>
      <c r="B229" s="4">
        <f>Pracownicy!B229</f>
        <v>0</v>
      </c>
      <c r="C229" s="4" t="e">
        <f ca="1">IF(A229="","",_xludf.LET(emp,A229,e,Zaangażowanie!$A$2:$A$501,ms,Zaangażowanie!$C$2:$C$501,sh,Zaangażowanie!$E$2:$E$501,msst,_xludf.XLOOKUP(ms,Milestones!$A$2:$A$501,Milestones!$G$2:$G$501,""),act,(msst="W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29" s="4" t="e">
        <f t="shared" ca="1" si="3"/>
        <v>#NAME?</v>
      </c>
    </row>
    <row r="230" spans="1:4" x14ac:dyDescent="0.25">
      <c r="A230" s="4">
        <f>Pracownicy!A230</f>
        <v>0</v>
      </c>
      <c r="B230" s="4">
        <f>Pracownicy!B230</f>
        <v>0</v>
      </c>
      <c r="C230" s="4" t="e">
        <f ca="1">IF(A230="","",_xludf.LET(emp,A230,e,Zaangażowanie!$A$2:$A$501,ms,Zaangażowanie!$C$2:$C$501,sh,Zaangażowanie!$E$2:$E$501,msst,_xludf.XLOOKUP(ms,Milestones!$A$2:$A$501,Milestones!$G$2:$G$501,""),act,(msst="W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30" s="4" t="e">
        <f t="shared" ca="1" si="3"/>
        <v>#NAME?</v>
      </c>
    </row>
    <row r="231" spans="1:4" x14ac:dyDescent="0.25">
      <c r="A231" s="4">
        <f>Pracownicy!A231</f>
        <v>0</v>
      </c>
      <c r="B231" s="4">
        <f>Pracownicy!B231</f>
        <v>0</v>
      </c>
      <c r="C231" s="4" t="e">
        <f ca="1">IF(A231="","",_xludf.LET(emp,A231,e,Zaangażowanie!$A$2:$A$501,ms,Zaangażowanie!$C$2:$C$501,sh,Zaangażowanie!$E$2:$E$501,msst,_xludf.XLOOKUP(ms,Milestones!$A$2:$A$501,Milestones!$G$2:$G$501,""),act,(msst="W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31" s="4" t="e">
        <f t="shared" ca="1" si="3"/>
        <v>#NAME?</v>
      </c>
    </row>
    <row r="232" spans="1:4" x14ac:dyDescent="0.25">
      <c r="A232" s="4">
        <f>Pracownicy!A232</f>
        <v>0</v>
      </c>
      <c r="B232" s="4">
        <f>Pracownicy!B232</f>
        <v>0</v>
      </c>
      <c r="C232" s="4" t="e">
        <f ca="1">IF(A232="","",_xludf.LET(emp,A232,e,Zaangażowanie!$A$2:$A$501,ms,Zaangażowanie!$C$2:$C$501,sh,Zaangażowanie!$E$2:$E$501,msst,_xludf.XLOOKUP(ms,Milestones!$A$2:$A$501,Milestones!$G$2:$G$501,""),act,(msst="W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32" s="4" t="e">
        <f t="shared" ca="1" si="3"/>
        <v>#NAME?</v>
      </c>
    </row>
    <row r="233" spans="1:4" x14ac:dyDescent="0.25">
      <c r="A233" s="4">
        <f>Pracownicy!A233</f>
        <v>0</v>
      </c>
      <c r="B233" s="4">
        <f>Pracownicy!B233</f>
        <v>0</v>
      </c>
      <c r="C233" s="4" t="e">
        <f ca="1">IF(A233="","",_xludf.LET(emp,A233,e,Zaangażowanie!$A$2:$A$501,ms,Zaangażowanie!$C$2:$C$501,sh,Zaangażowanie!$E$2:$E$501,msst,_xludf.XLOOKUP(ms,Milestones!$A$2:$A$501,Milestones!$G$2:$G$501,""),act,(msst="W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33" s="4" t="e">
        <f t="shared" ca="1" si="3"/>
        <v>#NAME?</v>
      </c>
    </row>
    <row r="234" spans="1:4" x14ac:dyDescent="0.25">
      <c r="A234" s="4">
        <f>Pracownicy!A234</f>
        <v>0</v>
      </c>
      <c r="B234" s="4">
        <f>Pracownicy!B234</f>
        <v>0</v>
      </c>
      <c r="C234" s="4" t="e">
        <f ca="1">IF(A234="","",_xludf.LET(emp,A234,e,Zaangażowanie!$A$2:$A$501,ms,Zaangażowanie!$C$2:$C$501,sh,Zaangażowanie!$E$2:$E$501,msst,_xludf.XLOOKUP(ms,Milestones!$A$2:$A$501,Milestones!$G$2:$G$501,""),act,(msst="W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34" s="4" t="e">
        <f t="shared" ca="1" si="3"/>
        <v>#NAME?</v>
      </c>
    </row>
    <row r="235" spans="1:4" x14ac:dyDescent="0.25">
      <c r="A235" s="4">
        <f>Pracownicy!A235</f>
        <v>0</v>
      </c>
      <c r="B235" s="4">
        <f>Pracownicy!B235</f>
        <v>0</v>
      </c>
      <c r="C235" s="4" t="e">
        <f ca="1">IF(A235="","",_xludf.LET(emp,A235,e,Zaangażowanie!$A$2:$A$501,ms,Zaangażowanie!$C$2:$C$501,sh,Zaangażowanie!$E$2:$E$501,msst,_xludf.XLOOKUP(ms,Milestones!$A$2:$A$501,Milestones!$G$2:$G$501,""),act,(msst="W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35" s="4" t="e">
        <f t="shared" ca="1" si="3"/>
        <v>#NAME?</v>
      </c>
    </row>
    <row r="236" spans="1:4" x14ac:dyDescent="0.25">
      <c r="A236" s="4">
        <f>Pracownicy!A236</f>
        <v>0</v>
      </c>
      <c r="B236" s="4">
        <f>Pracownicy!B236</f>
        <v>0</v>
      </c>
      <c r="C236" s="4" t="e">
        <f ca="1">IF(A236="","",_xludf.LET(emp,A236,e,Zaangażowanie!$A$2:$A$501,ms,Zaangażowanie!$C$2:$C$501,sh,Zaangażowanie!$E$2:$E$501,msst,_xludf.XLOOKUP(ms,Milestones!$A$2:$A$501,Milestones!$G$2:$G$501,""),act,(msst="W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36" s="4" t="e">
        <f t="shared" ca="1" si="3"/>
        <v>#NAME?</v>
      </c>
    </row>
    <row r="237" spans="1:4" x14ac:dyDescent="0.25">
      <c r="A237" s="4">
        <f>Pracownicy!A237</f>
        <v>0</v>
      </c>
      <c r="B237" s="4">
        <f>Pracownicy!B237</f>
        <v>0</v>
      </c>
      <c r="C237" s="4" t="e">
        <f ca="1">IF(A237="","",_xludf.LET(emp,A237,e,Zaangażowanie!$A$2:$A$501,ms,Zaangażowanie!$C$2:$C$501,sh,Zaangażowanie!$E$2:$E$501,msst,_xludf.XLOOKUP(ms,Milestones!$A$2:$A$501,Milestones!$G$2:$G$501,""),act,(msst="W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37" s="4" t="e">
        <f t="shared" ca="1" si="3"/>
        <v>#NAME?</v>
      </c>
    </row>
    <row r="238" spans="1:4" x14ac:dyDescent="0.25">
      <c r="A238" s="4">
        <f>Pracownicy!A238</f>
        <v>0</v>
      </c>
      <c r="B238" s="4">
        <f>Pracownicy!B238</f>
        <v>0</v>
      </c>
      <c r="C238" s="4" t="e">
        <f ca="1">IF(A238="","",_xludf.LET(emp,A238,e,Zaangażowanie!$A$2:$A$501,ms,Zaangażowanie!$C$2:$C$501,sh,Zaangażowanie!$E$2:$E$501,msst,_xludf.XLOOKUP(ms,Milestones!$A$2:$A$501,Milestones!$G$2:$G$501,""),act,(msst="W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38" s="4" t="e">
        <f t="shared" ca="1" si="3"/>
        <v>#NAME?</v>
      </c>
    </row>
    <row r="239" spans="1:4" x14ac:dyDescent="0.25">
      <c r="A239" s="4">
        <f>Pracownicy!A239</f>
        <v>0</v>
      </c>
      <c r="B239" s="4">
        <f>Pracownicy!B239</f>
        <v>0</v>
      </c>
      <c r="C239" s="4" t="e">
        <f ca="1">IF(A239="","",_xludf.LET(emp,A239,e,Zaangażowanie!$A$2:$A$501,ms,Zaangażowanie!$C$2:$C$501,sh,Zaangażowanie!$E$2:$E$501,msst,_xludf.XLOOKUP(ms,Milestones!$A$2:$A$501,Milestones!$G$2:$G$501,""),act,(msst="W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39" s="4" t="e">
        <f t="shared" ca="1" si="3"/>
        <v>#NAME?</v>
      </c>
    </row>
    <row r="240" spans="1:4" x14ac:dyDescent="0.25">
      <c r="A240" s="4">
        <f>Pracownicy!A240</f>
        <v>0</v>
      </c>
      <c r="B240" s="4">
        <f>Pracownicy!B240</f>
        <v>0</v>
      </c>
      <c r="C240" s="4" t="e">
        <f ca="1">IF(A240="","",_xludf.LET(emp,A240,e,Zaangażowanie!$A$2:$A$501,ms,Zaangażowanie!$C$2:$C$501,sh,Zaangażowanie!$E$2:$E$501,msst,_xludf.XLOOKUP(ms,Milestones!$A$2:$A$501,Milestones!$G$2:$G$501,""),act,(msst="W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40" s="4" t="e">
        <f t="shared" ca="1" si="3"/>
        <v>#NAME?</v>
      </c>
    </row>
    <row r="241" spans="1:4" x14ac:dyDescent="0.25">
      <c r="A241" s="4">
        <f>Pracownicy!A241</f>
        <v>0</v>
      </c>
      <c r="B241" s="4">
        <f>Pracownicy!B241</f>
        <v>0</v>
      </c>
      <c r="C241" s="4" t="e">
        <f ca="1">IF(A241="","",_xludf.LET(emp,A241,e,Zaangażowanie!$A$2:$A$501,ms,Zaangażowanie!$C$2:$C$501,sh,Zaangażowanie!$E$2:$E$501,msst,_xludf.XLOOKUP(ms,Milestones!$A$2:$A$501,Milestones!$G$2:$G$501,""),act,(msst="W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41" s="4" t="e">
        <f t="shared" ca="1" si="3"/>
        <v>#NAME?</v>
      </c>
    </row>
    <row r="242" spans="1:4" x14ac:dyDescent="0.25">
      <c r="A242" s="4">
        <f>Pracownicy!A242</f>
        <v>0</v>
      </c>
      <c r="B242" s="4">
        <f>Pracownicy!B242</f>
        <v>0</v>
      </c>
      <c r="C242" s="4" t="e">
        <f ca="1">IF(A242="","",_xludf.LET(emp,A242,e,Zaangażowanie!$A$2:$A$501,ms,Zaangażowanie!$C$2:$C$501,sh,Zaangażowanie!$E$2:$E$501,msst,_xludf.XLOOKUP(ms,Milestones!$A$2:$A$501,Milestones!$G$2:$G$501,""),act,(msst="W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42" s="4" t="e">
        <f t="shared" ca="1" si="3"/>
        <v>#NAME?</v>
      </c>
    </row>
    <row r="243" spans="1:4" x14ac:dyDescent="0.25">
      <c r="A243" s="4">
        <f>Pracownicy!A243</f>
        <v>0</v>
      </c>
      <c r="B243" s="4">
        <f>Pracownicy!B243</f>
        <v>0</v>
      </c>
      <c r="C243" s="4" t="e">
        <f ca="1">IF(A243="","",_xludf.LET(emp,A243,e,Zaangażowanie!$A$2:$A$501,ms,Zaangażowanie!$C$2:$C$501,sh,Zaangażowanie!$E$2:$E$501,msst,_xludf.XLOOKUP(ms,Milestones!$A$2:$A$501,Milestones!$G$2:$G$501,""),act,(msst="W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43" s="4" t="e">
        <f t="shared" ca="1" si="3"/>
        <v>#NAME?</v>
      </c>
    </row>
    <row r="244" spans="1:4" x14ac:dyDescent="0.25">
      <c r="A244" s="4">
        <f>Pracownicy!A244</f>
        <v>0</v>
      </c>
      <c r="B244" s="4">
        <f>Pracownicy!B244</f>
        <v>0</v>
      </c>
      <c r="C244" s="4" t="e">
        <f ca="1">IF(A244="","",_xludf.LET(emp,A244,e,Zaangażowanie!$A$2:$A$501,ms,Zaangażowanie!$C$2:$C$501,sh,Zaangażowanie!$E$2:$E$501,msst,_xludf.XLOOKUP(ms,Milestones!$A$2:$A$501,Milestones!$G$2:$G$501,""),act,(msst="W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44" s="4" t="e">
        <f t="shared" ca="1" si="3"/>
        <v>#NAME?</v>
      </c>
    </row>
    <row r="245" spans="1:4" x14ac:dyDescent="0.25">
      <c r="A245" s="4">
        <f>Pracownicy!A245</f>
        <v>0</v>
      </c>
      <c r="B245" s="4">
        <f>Pracownicy!B245</f>
        <v>0</v>
      </c>
      <c r="C245" s="4" t="e">
        <f ca="1">IF(A245="","",_xludf.LET(emp,A245,e,Zaangażowanie!$A$2:$A$501,ms,Zaangażowanie!$C$2:$C$501,sh,Zaangażowanie!$E$2:$E$501,msst,_xludf.XLOOKUP(ms,Milestones!$A$2:$A$501,Milestones!$G$2:$G$501,""),act,(msst="W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45" s="4" t="e">
        <f t="shared" ca="1" si="3"/>
        <v>#NAME?</v>
      </c>
    </row>
    <row r="246" spans="1:4" x14ac:dyDescent="0.25">
      <c r="A246" s="4">
        <f>Pracownicy!A246</f>
        <v>0</v>
      </c>
      <c r="B246" s="4">
        <f>Pracownicy!B246</f>
        <v>0</v>
      </c>
      <c r="C246" s="4" t="e">
        <f ca="1">IF(A246="","",_xludf.LET(emp,A246,e,Zaangażowanie!$A$2:$A$501,ms,Zaangażowanie!$C$2:$C$501,sh,Zaangażowanie!$E$2:$E$501,msst,_xludf.XLOOKUP(ms,Milestones!$A$2:$A$501,Milestones!$G$2:$G$501,""),act,(msst="W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46" s="4" t="e">
        <f t="shared" ca="1" si="3"/>
        <v>#NAME?</v>
      </c>
    </row>
    <row r="247" spans="1:4" x14ac:dyDescent="0.25">
      <c r="A247" s="4">
        <f>Pracownicy!A247</f>
        <v>0</v>
      </c>
      <c r="B247" s="4">
        <f>Pracownicy!B247</f>
        <v>0</v>
      </c>
      <c r="C247" s="4" t="e">
        <f ca="1">IF(A247="","",_xludf.LET(emp,A247,e,Zaangażowanie!$A$2:$A$501,ms,Zaangażowanie!$C$2:$C$501,sh,Zaangażowanie!$E$2:$E$501,msst,_xludf.XLOOKUP(ms,Milestones!$A$2:$A$501,Milestones!$G$2:$G$501,""),act,(msst="W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47" s="4" t="e">
        <f t="shared" ca="1" si="3"/>
        <v>#NAME?</v>
      </c>
    </row>
    <row r="248" spans="1:4" x14ac:dyDescent="0.25">
      <c r="A248" s="4">
        <f>Pracownicy!A248</f>
        <v>0</v>
      </c>
      <c r="B248" s="4">
        <f>Pracownicy!B248</f>
        <v>0</v>
      </c>
      <c r="C248" s="4" t="e">
        <f ca="1">IF(A248="","",_xludf.LET(emp,A248,e,Zaangażowanie!$A$2:$A$501,ms,Zaangażowanie!$C$2:$C$501,sh,Zaangażowanie!$E$2:$E$501,msst,_xludf.XLOOKUP(ms,Milestones!$A$2:$A$501,Milestones!$G$2:$G$501,""),act,(msst="W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48" s="4" t="e">
        <f t="shared" ca="1" si="3"/>
        <v>#NAME?</v>
      </c>
    </row>
    <row r="249" spans="1:4" x14ac:dyDescent="0.25">
      <c r="A249" s="4">
        <f>Pracownicy!A249</f>
        <v>0</v>
      </c>
      <c r="B249" s="4">
        <f>Pracownicy!B249</f>
        <v>0</v>
      </c>
      <c r="C249" s="4" t="e">
        <f ca="1">IF(A249="","",_xludf.LET(emp,A249,e,Zaangażowanie!$A$2:$A$501,ms,Zaangażowanie!$C$2:$C$501,sh,Zaangażowanie!$E$2:$E$501,msst,_xludf.XLOOKUP(ms,Milestones!$A$2:$A$501,Milestones!$G$2:$G$501,""),act,(msst="W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49" s="4" t="e">
        <f t="shared" ca="1" si="3"/>
        <v>#NAME?</v>
      </c>
    </row>
    <row r="250" spans="1:4" x14ac:dyDescent="0.25">
      <c r="A250" s="4">
        <f>Pracownicy!A250</f>
        <v>0</v>
      </c>
      <c r="B250" s="4">
        <f>Pracownicy!B250</f>
        <v>0</v>
      </c>
      <c r="C250" s="4" t="e">
        <f ca="1">IF(A250="","",_xludf.LET(emp,A250,e,Zaangażowanie!$A$2:$A$501,ms,Zaangażowanie!$C$2:$C$501,sh,Zaangażowanie!$E$2:$E$501,msst,_xludf.XLOOKUP(ms,Milestones!$A$2:$A$501,Milestones!$G$2:$G$501,""),act,(msst="W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50" s="4" t="e">
        <f t="shared" ca="1" si="3"/>
        <v>#NAME?</v>
      </c>
    </row>
    <row r="251" spans="1:4" x14ac:dyDescent="0.25">
      <c r="A251" s="4">
        <f>Pracownicy!A251</f>
        <v>0</v>
      </c>
      <c r="B251" s="4">
        <f>Pracownicy!B251</f>
        <v>0</v>
      </c>
      <c r="C251" s="4" t="e">
        <f ca="1">IF(A251="","",_xludf.LET(emp,A251,e,Zaangażowanie!$A$2:$A$501,ms,Zaangażowanie!$C$2:$C$501,sh,Zaangażowanie!$E$2:$E$501,msst,_xludf.XLOOKUP(ms,Milestones!$A$2:$A$501,Milestones!$G$2:$G$501,""),act,(msst="W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51" s="4" t="e">
        <f t="shared" ca="1" si="3"/>
        <v>#NAME?</v>
      </c>
    </row>
    <row r="252" spans="1:4" x14ac:dyDescent="0.25">
      <c r="A252" s="4">
        <f>Pracownicy!A252</f>
        <v>0</v>
      </c>
      <c r="B252" s="4">
        <f>Pracownicy!B252</f>
        <v>0</v>
      </c>
      <c r="C252" s="4" t="e">
        <f ca="1">IF(A252="","",_xludf.LET(emp,A252,e,Zaangażowanie!$A$2:$A$501,ms,Zaangażowanie!$C$2:$C$501,sh,Zaangażowanie!$E$2:$E$501,msst,_xludf.XLOOKUP(ms,Milestones!$A$2:$A$501,Milestones!$G$2:$G$501,""),act,(msst="W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52" s="4" t="e">
        <f t="shared" ca="1" si="3"/>
        <v>#NAME?</v>
      </c>
    </row>
    <row r="253" spans="1:4" x14ac:dyDescent="0.25">
      <c r="A253" s="4">
        <f>Pracownicy!A253</f>
        <v>0</v>
      </c>
      <c r="B253" s="4">
        <f>Pracownicy!B253</f>
        <v>0</v>
      </c>
      <c r="C253" s="4" t="e">
        <f ca="1">IF(A253="","",_xludf.LET(emp,A253,e,Zaangażowanie!$A$2:$A$501,ms,Zaangażowanie!$C$2:$C$501,sh,Zaangażowanie!$E$2:$E$501,msst,_xludf.XLOOKUP(ms,Milestones!$A$2:$A$501,Milestones!$G$2:$G$501,""),act,(msst="W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53" s="4" t="e">
        <f t="shared" ca="1" si="3"/>
        <v>#NAME?</v>
      </c>
    </row>
    <row r="254" spans="1:4" x14ac:dyDescent="0.25">
      <c r="A254" s="4">
        <f>Pracownicy!A254</f>
        <v>0</v>
      </c>
      <c r="B254" s="4">
        <f>Pracownicy!B254</f>
        <v>0</v>
      </c>
      <c r="C254" s="4" t="e">
        <f ca="1">IF(A254="","",_xludf.LET(emp,A254,e,Zaangażowanie!$A$2:$A$501,ms,Zaangażowanie!$C$2:$C$501,sh,Zaangażowanie!$E$2:$E$501,msst,_xludf.XLOOKUP(ms,Milestones!$A$2:$A$501,Milestones!$G$2:$G$501,""),act,(msst="W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54" s="4" t="e">
        <f t="shared" ca="1" si="3"/>
        <v>#NAME?</v>
      </c>
    </row>
    <row r="255" spans="1:4" x14ac:dyDescent="0.25">
      <c r="A255" s="4">
        <f>Pracownicy!A255</f>
        <v>0</v>
      </c>
      <c r="B255" s="4">
        <f>Pracownicy!B255</f>
        <v>0</v>
      </c>
      <c r="C255" s="4" t="e">
        <f ca="1">IF(A255="","",_xludf.LET(emp,A255,e,Zaangażowanie!$A$2:$A$501,ms,Zaangażowanie!$C$2:$C$501,sh,Zaangażowanie!$E$2:$E$501,msst,_xludf.XLOOKUP(ms,Milestones!$A$2:$A$501,Milestones!$G$2:$G$501,""),act,(msst="W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55" s="4" t="e">
        <f t="shared" ca="1" si="3"/>
        <v>#NAME?</v>
      </c>
    </row>
    <row r="256" spans="1:4" x14ac:dyDescent="0.25">
      <c r="A256" s="4">
        <f>Pracownicy!A256</f>
        <v>0</v>
      </c>
      <c r="B256" s="4">
        <f>Pracownicy!B256</f>
        <v>0</v>
      </c>
      <c r="C256" s="4" t="e">
        <f ca="1">IF(A256="","",_xludf.LET(emp,A256,e,Zaangażowanie!$A$2:$A$501,ms,Zaangażowanie!$C$2:$C$501,sh,Zaangażowanie!$E$2:$E$501,msst,_xludf.XLOOKUP(ms,Milestones!$A$2:$A$501,Milestones!$G$2:$G$501,""),act,(msst="W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56" s="4" t="e">
        <f t="shared" ca="1" si="3"/>
        <v>#NAME?</v>
      </c>
    </row>
    <row r="257" spans="1:4" x14ac:dyDescent="0.25">
      <c r="A257" s="4">
        <f>Pracownicy!A257</f>
        <v>0</v>
      </c>
      <c r="B257" s="4">
        <f>Pracownicy!B257</f>
        <v>0</v>
      </c>
      <c r="C257" s="4" t="e">
        <f ca="1">IF(A257="","",_xludf.LET(emp,A257,e,Zaangażowanie!$A$2:$A$501,ms,Zaangażowanie!$C$2:$C$501,sh,Zaangażowanie!$E$2:$E$501,msst,_xludf.XLOOKUP(ms,Milestones!$A$2:$A$501,Milestones!$G$2:$G$501,""),act,(msst="W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57" s="4" t="e">
        <f t="shared" ca="1" si="3"/>
        <v>#NAME?</v>
      </c>
    </row>
    <row r="258" spans="1:4" x14ac:dyDescent="0.25">
      <c r="A258" s="4">
        <f>Pracownicy!A258</f>
        <v>0</v>
      </c>
      <c r="B258" s="4">
        <f>Pracownicy!B258</f>
        <v>0</v>
      </c>
      <c r="C258" s="4" t="e">
        <f ca="1">IF(A258="","",_xludf.LET(emp,A258,e,Zaangażowanie!$A$2:$A$501,ms,Zaangażowanie!$C$2:$C$501,sh,Zaangażowanie!$E$2:$E$501,msst,_xludf.XLOOKUP(ms,Milestones!$A$2:$A$501,Milestones!$G$2:$G$501,""),act,(msst="W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58" s="4" t="e">
        <f t="shared" ref="D258:D321" ca="1" si="4">IF(A258="","",IF(C258&lt;=1,"OK","NIE"))</f>
        <v>#NAME?</v>
      </c>
    </row>
    <row r="259" spans="1:4" x14ac:dyDescent="0.25">
      <c r="A259" s="4">
        <f>Pracownicy!A259</f>
        <v>0</v>
      </c>
      <c r="B259" s="4">
        <f>Pracownicy!B259</f>
        <v>0</v>
      </c>
      <c r="C259" s="4" t="e">
        <f ca="1">IF(A259="","",_xludf.LET(emp,A259,e,Zaangażowanie!$A$2:$A$501,ms,Zaangażowanie!$C$2:$C$501,sh,Zaangażowanie!$E$2:$E$501,msst,_xludf.XLOOKUP(ms,Milestones!$A$2:$A$501,Milestones!$G$2:$G$501,""),act,(msst="W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59" s="4" t="e">
        <f t="shared" ca="1" si="4"/>
        <v>#NAME?</v>
      </c>
    </row>
    <row r="260" spans="1:4" x14ac:dyDescent="0.25">
      <c r="A260" s="4">
        <f>Pracownicy!A260</f>
        <v>0</v>
      </c>
      <c r="B260" s="4">
        <f>Pracownicy!B260</f>
        <v>0</v>
      </c>
      <c r="C260" s="4" t="e">
        <f ca="1">IF(A260="","",_xludf.LET(emp,A260,e,Zaangażowanie!$A$2:$A$501,ms,Zaangażowanie!$C$2:$C$501,sh,Zaangażowanie!$E$2:$E$501,msst,_xludf.XLOOKUP(ms,Milestones!$A$2:$A$501,Milestones!$G$2:$G$501,""),act,(msst="W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60" s="4" t="e">
        <f t="shared" ca="1" si="4"/>
        <v>#NAME?</v>
      </c>
    </row>
    <row r="261" spans="1:4" x14ac:dyDescent="0.25">
      <c r="A261" s="4">
        <f>Pracownicy!A261</f>
        <v>0</v>
      </c>
      <c r="B261" s="4">
        <f>Pracownicy!B261</f>
        <v>0</v>
      </c>
      <c r="C261" s="4" t="e">
        <f ca="1">IF(A261="","",_xludf.LET(emp,A261,e,Zaangażowanie!$A$2:$A$501,ms,Zaangażowanie!$C$2:$C$501,sh,Zaangażowanie!$E$2:$E$501,msst,_xludf.XLOOKUP(ms,Milestones!$A$2:$A$501,Milestones!$G$2:$G$501,""),act,(msst="W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61" s="4" t="e">
        <f t="shared" ca="1" si="4"/>
        <v>#NAME?</v>
      </c>
    </row>
    <row r="262" spans="1:4" x14ac:dyDescent="0.25">
      <c r="A262" s="4">
        <f>Pracownicy!A262</f>
        <v>0</v>
      </c>
      <c r="B262" s="4">
        <f>Pracownicy!B262</f>
        <v>0</v>
      </c>
      <c r="C262" s="4" t="e">
        <f ca="1">IF(A262="","",_xludf.LET(emp,A262,e,Zaangażowanie!$A$2:$A$501,ms,Zaangażowanie!$C$2:$C$501,sh,Zaangażowanie!$E$2:$E$501,msst,_xludf.XLOOKUP(ms,Milestones!$A$2:$A$501,Milestones!$G$2:$G$501,""),act,(msst="W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62" s="4" t="e">
        <f t="shared" ca="1" si="4"/>
        <v>#NAME?</v>
      </c>
    </row>
    <row r="263" spans="1:4" x14ac:dyDescent="0.25">
      <c r="A263" s="4">
        <f>Pracownicy!A263</f>
        <v>0</v>
      </c>
      <c r="B263" s="4">
        <f>Pracownicy!B263</f>
        <v>0</v>
      </c>
      <c r="C263" s="4" t="e">
        <f ca="1">IF(A263="","",_xludf.LET(emp,A263,e,Zaangażowanie!$A$2:$A$501,ms,Zaangażowanie!$C$2:$C$501,sh,Zaangażowanie!$E$2:$E$501,msst,_xludf.XLOOKUP(ms,Milestones!$A$2:$A$501,Milestones!$G$2:$G$501,""),act,(msst="W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63" s="4" t="e">
        <f t="shared" ca="1" si="4"/>
        <v>#NAME?</v>
      </c>
    </row>
    <row r="264" spans="1:4" x14ac:dyDescent="0.25">
      <c r="A264" s="4">
        <f>Pracownicy!A264</f>
        <v>0</v>
      </c>
      <c r="B264" s="4">
        <f>Pracownicy!B264</f>
        <v>0</v>
      </c>
      <c r="C264" s="4" t="e">
        <f ca="1">IF(A264="","",_xludf.LET(emp,A264,e,Zaangażowanie!$A$2:$A$501,ms,Zaangażowanie!$C$2:$C$501,sh,Zaangażowanie!$E$2:$E$501,msst,_xludf.XLOOKUP(ms,Milestones!$A$2:$A$501,Milestones!$G$2:$G$501,""),act,(msst="W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64" s="4" t="e">
        <f t="shared" ca="1" si="4"/>
        <v>#NAME?</v>
      </c>
    </row>
    <row r="265" spans="1:4" x14ac:dyDescent="0.25">
      <c r="A265" s="4">
        <f>Pracownicy!A265</f>
        <v>0</v>
      </c>
      <c r="B265" s="4">
        <f>Pracownicy!B265</f>
        <v>0</v>
      </c>
      <c r="C265" s="4" t="e">
        <f ca="1">IF(A265="","",_xludf.LET(emp,A265,e,Zaangażowanie!$A$2:$A$501,ms,Zaangażowanie!$C$2:$C$501,sh,Zaangażowanie!$E$2:$E$501,msst,_xludf.XLOOKUP(ms,Milestones!$A$2:$A$501,Milestones!$G$2:$G$501,""),act,(msst="W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65" s="4" t="e">
        <f t="shared" ca="1" si="4"/>
        <v>#NAME?</v>
      </c>
    </row>
    <row r="266" spans="1:4" x14ac:dyDescent="0.25">
      <c r="A266" s="4">
        <f>Pracownicy!A266</f>
        <v>0</v>
      </c>
      <c r="B266" s="4">
        <f>Pracownicy!B266</f>
        <v>0</v>
      </c>
      <c r="C266" s="4" t="e">
        <f ca="1">IF(A266="","",_xludf.LET(emp,A266,e,Zaangażowanie!$A$2:$A$501,ms,Zaangażowanie!$C$2:$C$501,sh,Zaangażowanie!$E$2:$E$501,msst,_xludf.XLOOKUP(ms,Milestones!$A$2:$A$501,Milestones!$G$2:$G$501,""),act,(msst="W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66" s="4" t="e">
        <f t="shared" ca="1" si="4"/>
        <v>#NAME?</v>
      </c>
    </row>
    <row r="267" spans="1:4" x14ac:dyDescent="0.25">
      <c r="A267" s="4">
        <f>Pracownicy!A267</f>
        <v>0</v>
      </c>
      <c r="B267" s="4">
        <f>Pracownicy!B267</f>
        <v>0</v>
      </c>
      <c r="C267" s="4" t="e">
        <f ca="1">IF(A267="","",_xludf.LET(emp,A267,e,Zaangażowanie!$A$2:$A$501,ms,Zaangażowanie!$C$2:$C$501,sh,Zaangażowanie!$E$2:$E$501,msst,_xludf.XLOOKUP(ms,Milestones!$A$2:$A$501,Milestones!$G$2:$G$501,""),act,(msst="W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67" s="4" t="e">
        <f t="shared" ca="1" si="4"/>
        <v>#NAME?</v>
      </c>
    </row>
    <row r="268" spans="1:4" x14ac:dyDescent="0.25">
      <c r="A268" s="4">
        <f>Pracownicy!A268</f>
        <v>0</v>
      </c>
      <c r="B268" s="4">
        <f>Pracownicy!B268</f>
        <v>0</v>
      </c>
      <c r="C268" s="4" t="e">
        <f ca="1">IF(A268="","",_xludf.LET(emp,A268,e,Zaangażowanie!$A$2:$A$501,ms,Zaangażowanie!$C$2:$C$501,sh,Zaangażowanie!$E$2:$E$501,msst,_xludf.XLOOKUP(ms,Milestones!$A$2:$A$501,Milestones!$G$2:$G$501,""),act,(msst="W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68" s="4" t="e">
        <f t="shared" ca="1" si="4"/>
        <v>#NAME?</v>
      </c>
    </row>
    <row r="269" spans="1:4" x14ac:dyDescent="0.25">
      <c r="A269" s="4">
        <f>Pracownicy!A269</f>
        <v>0</v>
      </c>
      <c r="B269" s="4">
        <f>Pracownicy!B269</f>
        <v>0</v>
      </c>
      <c r="C269" s="4" t="e">
        <f ca="1">IF(A269="","",_xludf.LET(emp,A269,e,Zaangażowanie!$A$2:$A$501,ms,Zaangażowanie!$C$2:$C$501,sh,Zaangażowanie!$E$2:$E$501,msst,_xludf.XLOOKUP(ms,Milestones!$A$2:$A$501,Milestones!$G$2:$G$501,""),act,(msst="W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69" s="4" t="e">
        <f t="shared" ca="1" si="4"/>
        <v>#NAME?</v>
      </c>
    </row>
    <row r="270" spans="1:4" x14ac:dyDescent="0.25">
      <c r="A270" s="4">
        <f>Pracownicy!A270</f>
        <v>0</v>
      </c>
      <c r="B270" s="4">
        <f>Pracownicy!B270</f>
        <v>0</v>
      </c>
      <c r="C270" s="4" t="e">
        <f ca="1">IF(A270="","",_xludf.LET(emp,A270,e,Zaangażowanie!$A$2:$A$501,ms,Zaangażowanie!$C$2:$C$501,sh,Zaangażowanie!$E$2:$E$501,msst,_xludf.XLOOKUP(ms,Milestones!$A$2:$A$501,Milestones!$G$2:$G$501,""),act,(msst="W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70" s="4" t="e">
        <f t="shared" ca="1" si="4"/>
        <v>#NAME?</v>
      </c>
    </row>
    <row r="271" spans="1:4" x14ac:dyDescent="0.25">
      <c r="A271" s="4">
        <f>Pracownicy!A271</f>
        <v>0</v>
      </c>
      <c r="B271" s="4">
        <f>Pracownicy!B271</f>
        <v>0</v>
      </c>
      <c r="C271" s="4" t="e">
        <f ca="1">IF(A271="","",_xludf.LET(emp,A271,e,Zaangażowanie!$A$2:$A$501,ms,Zaangażowanie!$C$2:$C$501,sh,Zaangażowanie!$E$2:$E$501,msst,_xludf.XLOOKUP(ms,Milestones!$A$2:$A$501,Milestones!$G$2:$G$501,""),act,(msst="W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71" s="4" t="e">
        <f t="shared" ca="1" si="4"/>
        <v>#NAME?</v>
      </c>
    </row>
    <row r="272" spans="1:4" x14ac:dyDescent="0.25">
      <c r="A272" s="4">
        <f>Pracownicy!A272</f>
        <v>0</v>
      </c>
      <c r="B272" s="4">
        <f>Pracownicy!B272</f>
        <v>0</v>
      </c>
      <c r="C272" s="4" t="e">
        <f ca="1">IF(A272="","",_xludf.LET(emp,A272,e,Zaangażowanie!$A$2:$A$501,ms,Zaangażowanie!$C$2:$C$501,sh,Zaangażowanie!$E$2:$E$501,msst,_xludf.XLOOKUP(ms,Milestones!$A$2:$A$501,Milestones!$G$2:$G$501,""),act,(msst="W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72" s="4" t="e">
        <f t="shared" ca="1" si="4"/>
        <v>#NAME?</v>
      </c>
    </row>
    <row r="273" spans="1:4" x14ac:dyDescent="0.25">
      <c r="A273" s="4">
        <f>Pracownicy!A273</f>
        <v>0</v>
      </c>
      <c r="B273" s="4">
        <f>Pracownicy!B273</f>
        <v>0</v>
      </c>
      <c r="C273" s="4" t="e">
        <f ca="1">IF(A273="","",_xludf.LET(emp,A273,e,Zaangażowanie!$A$2:$A$501,ms,Zaangażowanie!$C$2:$C$501,sh,Zaangażowanie!$E$2:$E$501,msst,_xludf.XLOOKUP(ms,Milestones!$A$2:$A$501,Milestones!$G$2:$G$501,""),act,(msst="W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73" s="4" t="e">
        <f t="shared" ca="1" si="4"/>
        <v>#NAME?</v>
      </c>
    </row>
    <row r="274" spans="1:4" x14ac:dyDescent="0.25">
      <c r="A274" s="4">
        <f>Pracownicy!A274</f>
        <v>0</v>
      </c>
      <c r="B274" s="4">
        <f>Pracownicy!B274</f>
        <v>0</v>
      </c>
      <c r="C274" s="4" t="e">
        <f ca="1">IF(A274="","",_xludf.LET(emp,A274,e,Zaangażowanie!$A$2:$A$501,ms,Zaangażowanie!$C$2:$C$501,sh,Zaangażowanie!$E$2:$E$501,msst,_xludf.XLOOKUP(ms,Milestones!$A$2:$A$501,Milestones!$G$2:$G$501,""),act,(msst="W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74" s="4" t="e">
        <f t="shared" ca="1" si="4"/>
        <v>#NAME?</v>
      </c>
    </row>
    <row r="275" spans="1:4" x14ac:dyDescent="0.25">
      <c r="A275" s="4">
        <f>Pracownicy!A275</f>
        <v>0</v>
      </c>
      <c r="B275" s="4">
        <f>Pracownicy!B275</f>
        <v>0</v>
      </c>
      <c r="C275" s="4" t="e">
        <f ca="1">IF(A275="","",_xludf.LET(emp,A275,e,Zaangażowanie!$A$2:$A$501,ms,Zaangażowanie!$C$2:$C$501,sh,Zaangażowanie!$E$2:$E$501,msst,_xludf.XLOOKUP(ms,Milestones!$A$2:$A$501,Milestones!$G$2:$G$501,""),act,(msst="W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75" s="4" t="e">
        <f t="shared" ca="1" si="4"/>
        <v>#NAME?</v>
      </c>
    </row>
    <row r="276" spans="1:4" x14ac:dyDescent="0.25">
      <c r="A276" s="4">
        <f>Pracownicy!A276</f>
        <v>0</v>
      </c>
      <c r="B276" s="4">
        <f>Pracownicy!B276</f>
        <v>0</v>
      </c>
      <c r="C276" s="4" t="e">
        <f ca="1">IF(A276="","",_xludf.LET(emp,A276,e,Zaangażowanie!$A$2:$A$501,ms,Zaangażowanie!$C$2:$C$501,sh,Zaangażowanie!$E$2:$E$501,msst,_xludf.XLOOKUP(ms,Milestones!$A$2:$A$501,Milestones!$G$2:$G$501,""),act,(msst="W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76" s="4" t="e">
        <f t="shared" ca="1" si="4"/>
        <v>#NAME?</v>
      </c>
    </row>
    <row r="277" spans="1:4" x14ac:dyDescent="0.25">
      <c r="A277" s="4">
        <f>Pracownicy!A277</f>
        <v>0</v>
      </c>
      <c r="B277" s="4">
        <f>Pracownicy!B277</f>
        <v>0</v>
      </c>
      <c r="C277" s="4" t="e">
        <f ca="1">IF(A277="","",_xludf.LET(emp,A277,e,Zaangażowanie!$A$2:$A$501,ms,Zaangażowanie!$C$2:$C$501,sh,Zaangażowanie!$E$2:$E$501,msst,_xludf.XLOOKUP(ms,Milestones!$A$2:$A$501,Milestones!$G$2:$G$501,""),act,(msst="W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77" s="4" t="e">
        <f t="shared" ca="1" si="4"/>
        <v>#NAME?</v>
      </c>
    </row>
    <row r="278" spans="1:4" x14ac:dyDescent="0.25">
      <c r="A278" s="4">
        <f>Pracownicy!A278</f>
        <v>0</v>
      </c>
      <c r="B278" s="4">
        <f>Pracownicy!B278</f>
        <v>0</v>
      </c>
      <c r="C278" s="4" t="e">
        <f ca="1">IF(A278="","",_xludf.LET(emp,A278,e,Zaangażowanie!$A$2:$A$501,ms,Zaangażowanie!$C$2:$C$501,sh,Zaangażowanie!$E$2:$E$501,msst,_xludf.XLOOKUP(ms,Milestones!$A$2:$A$501,Milestones!$G$2:$G$501,""),act,(msst="W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78" s="4" t="e">
        <f t="shared" ca="1" si="4"/>
        <v>#NAME?</v>
      </c>
    </row>
    <row r="279" spans="1:4" x14ac:dyDescent="0.25">
      <c r="A279" s="4">
        <f>Pracownicy!A279</f>
        <v>0</v>
      </c>
      <c r="B279" s="4">
        <f>Pracownicy!B279</f>
        <v>0</v>
      </c>
      <c r="C279" s="4" t="e">
        <f ca="1">IF(A279="","",_xludf.LET(emp,A279,e,Zaangażowanie!$A$2:$A$501,ms,Zaangażowanie!$C$2:$C$501,sh,Zaangażowanie!$E$2:$E$501,msst,_xludf.XLOOKUP(ms,Milestones!$A$2:$A$501,Milestones!$G$2:$G$501,""),act,(msst="W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79" s="4" t="e">
        <f t="shared" ca="1" si="4"/>
        <v>#NAME?</v>
      </c>
    </row>
    <row r="280" spans="1:4" x14ac:dyDescent="0.25">
      <c r="A280" s="4">
        <f>Pracownicy!A280</f>
        <v>0</v>
      </c>
      <c r="B280" s="4">
        <f>Pracownicy!B280</f>
        <v>0</v>
      </c>
      <c r="C280" s="4" t="e">
        <f ca="1">IF(A280="","",_xludf.LET(emp,A280,e,Zaangażowanie!$A$2:$A$501,ms,Zaangażowanie!$C$2:$C$501,sh,Zaangażowanie!$E$2:$E$501,msst,_xludf.XLOOKUP(ms,Milestones!$A$2:$A$501,Milestones!$G$2:$G$501,""),act,(msst="W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80" s="4" t="e">
        <f t="shared" ca="1" si="4"/>
        <v>#NAME?</v>
      </c>
    </row>
    <row r="281" spans="1:4" x14ac:dyDescent="0.25">
      <c r="A281" s="4">
        <f>Pracownicy!A281</f>
        <v>0</v>
      </c>
      <c r="B281" s="4">
        <f>Pracownicy!B281</f>
        <v>0</v>
      </c>
      <c r="C281" s="4" t="e">
        <f ca="1">IF(A281="","",_xludf.LET(emp,A281,e,Zaangażowanie!$A$2:$A$501,ms,Zaangażowanie!$C$2:$C$501,sh,Zaangażowanie!$E$2:$E$501,msst,_xludf.XLOOKUP(ms,Milestones!$A$2:$A$501,Milestones!$G$2:$G$501,""),act,(msst="W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81" s="4" t="e">
        <f t="shared" ca="1" si="4"/>
        <v>#NAME?</v>
      </c>
    </row>
    <row r="282" spans="1:4" x14ac:dyDescent="0.25">
      <c r="A282" s="4">
        <f>Pracownicy!A282</f>
        <v>0</v>
      </c>
      <c r="B282" s="4">
        <f>Pracownicy!B282</f>
        <v>0</v>
      </c>
      <c r="C282" s="4" t="e">
        <f ca="1">IF(A282="","",_xludf.LET(emp,A282,e,Zaangażowanie!$A$2:$A$501,ms,Zaangażowanie!$C$2:$C$501,sh,Zaangażowanie!$E$2:$E$501,msst,_xludf.XLOOKUP(ms,Milestones!$A$2:$A$501,Milestones!$G$2:$G$501,""),act,(msst="W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82" s="4" t="e">
        <f t="shared" ca="1" si="4"/>
        <v>#NAME?</v>
      </c>
    </row>
    <row r="283" spans="1:4" x14ac:dyDescent="0.25">
      <c r="A283" s="4">
        <f>Pracownicy!A283</f>
        <v>0</v>
      </c>
      <c r="B283" s="4">
        <f>Pracownicy!B283</f>
        <v>0</v>
      </c>
      <c r="C283" s="4" t="e">
        <f ca="1">IF(A283="","",_xludf.LET(emp,A283,e,Zaangażowanie!$A$2:$A$501,ms,Zaangażowanie!$C$2:$C$501,sh,Zaangażowanie!$E$2:$E$501,msst,_xludf.XLOOKUP(ms,Milestones!$A$2:$A$501,Milestones!$G$2:$G$501,""),act,(msst="W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83" s="4" t="e">
        <f t="shared" ca="1" si="4"/>
        <v>#NAME?</v>
      </c>
    </row>
    <row r="284" spans="1:4" x14ac:dyDescent="0.25">
      <c r="A284" s="4">
        <f>Pracownicy!A284</f>
        <v>0</v>
      </c>
      <c r="B284" s="4">
        <f>Pracownicy!B284</f>
        <v>0</v>
      </c>
      <c r="C284" s="4" t="e">
        <f ca="1">IF(A284="","",_xludf.LET(emp,A284,e,Zaangażowanie!$A$2:$A$501,ms,Zaangażowanie!$C$2:$C$501,sh,Zaangażowanie!$E$2:$E$501,msst,_xludf.XLOOKUP(ms,Milestones!$A$2:$A$501,Milestones!$G$2:$G$501,""),act,(msst="W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84" s="4" t="e">
        <f t="shared" ca="1" si="4"/>
        <v>#NAME?</v>
      </c>
    </row>
    <row r="285" spans="1:4" x14ac:dyDescent="0.25">
      <c r="A285" s="4">
        <f>Pracownicy!A285</f>
        <v>0</v>
      </c>
      <c r="B285" s="4">
        <f>Pracownicy!B285</f>
        <v>0</v>
      </c>
      <c r="C285" s="4" t="e">
        <f ca="1">IF(A285="","",_xludf.LET(emp,A285,e,Zaangażowanie!$A$2:$A$501,ms,Zaangażowanie!$C$2:$C$501,sh,Zaangażowanie!$E$2:$E$501,msst,_xludf.XLOOKUP(ms,Milestones!$A$2:$A$501,Milestones!$G$2:$G$501,""),act,(msst="W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85" s="4" t="e">
        <f t="shared" ca="1" si="4"/>
        <v>#NAME?</v>
      </c>
    </row>
    <row r="286" spans="1:4" x14ac:dyDescent="0.25">
      <c r="A286" s="4">
        <f>Pracownicy!A286</f>
        <v>0</v>
      </c>
      <c r="B286" s="4">
        <f>Pracownicy!B286</f>
        <v>0</v>
      </c>
      <c r="C286" s="4" t="e">
        <f ca="1">IF(A286="","",_xludf.LET(emp,A286,e,Zaangażowanie!$A$2:$A$501,ms,Zaangażowanie!$C$2:$C$501,sh,Zaangażowanie!$E$2:$E$501,msst,_xludf.XLOOKUP(ms,Milestones!$A$2:$A$501,Milestones!$G$2:$G$501,""),act,(msst="W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86" s="4" t="e">
        <f t="shared" ca="1" si="4"/>
        <v>#NAME?</v>
      </c>
    </row>
    <row r="287" spans="1:4" x14ac:dyDescent="0.25">
      <c r="A287" s="4">
        <f>Pracownicy!A287</f>
        <v>0</v>
      </c>
      <c r="B287" s="4">
        <f>Pracownicy!B287</f>
        <v>0</v>
      </c>
      <c r="C287" s="4" t="e">
        <f ca="1">IF(A287="","",_xludf.LET(emp,A287,e,Zaangażowanie!$A$2:$A$501,ms,Zaangażowanie!$C$2:$C$501,sh,Zaangażowanie!$E$2:$E$501,msst,_xludf.XLOOKUP(ms,Milestones!$A$2:$A$501,Milestones!$G$2:$G$501,""),act,(msst="W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87" s="4" t="e">
        <f t="shared" ca="1" si="4"/>
        <v>#NAME?</v>
      </c>
    </row>
    <row r="288" spans="1:4" x14ac:dyDescent="0.25">
      <c r="A288" s="4">
        <f>Pracownicy!A288</f>
        <v>0</v>
      </c>
      <c r="B288" s="4">
        <f>Pracownicy!B288</f>
        <v>0</v>
      </c>
      <c r="C288" s="4" t="e">
        <f ca="1">IF(A288="","",_xludf.LET(emp,A288,e,Zaangażowanie!$A$2:$A$501,ms,Zaangażowanie!$C$2:$C$501,sh,Zaangażowanie!$E$2:$E$501,msst,_xludf.XLOOKUP(ms,Milestones!$A$2:$A$501,Milestones!$G$2:$G$501,""),act,(msst="W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88" s="4" t="e">
        <f t="shared" ca="1" si="4"/>
        <v>#NAME?</v>
      </c>
    </row>
    <row r="289" spans="1:4" x14ac:dyDescent="0.25">
      <c r="A289" s="4">
        <f>Pracownicy!A289</f>
        <v>0</v>
      </c>
      <c r="B289" s="4">
        <f>Pracownicy!B289</f>
        <v>0</v>
      </c>
      <c r="C289" s="4" t="e">
        <f ca="1">IF(A289="","",_xludf.LET(emp,A289,e,Zaangażowanie!$A$2:$A$501,ms,Zaangażowanie!$C$2:$C$501,sh,Zaangażowanie!$E$2:$E$501,msst,_xludf.XLOOKUP(ms,Milestones!$A$2:$A$501,Milestones!$G$2:$G$501,""),act,(msst="W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89" s="4" t="e">
        <f t="shared" ca="1" si="4"/>
        <v>#NAME?</v>
      </c>
    </row>
    <row r="290" spans="1:4" x14ac:dyDescent="0.25">
      <c r="A290" s="4">
        <f>Pracownicy!A290</f>
        <v>0</v>
      </c>
      <c r="B290" s="4">
        <f>Pracownicy!B290</f>
        <v>0</v>
      </c>
      <c r="C290" s="4" t="e">
        <f ca="1">IF(A290="","",_xludf.LET(emp,A290,e,Zaangażowanie!$A$2:$A$501,ms,Zaangażowanie!$C$2:$C$501,sh,Zaangażowanie!$E$2:$E$501,msst,_xludf.XLOOKUP(ms,Milestones!$A$2:$A$501,Milestones!$G$2:$G$501,""),act,(msst="W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90" s="4" t="e">
        <f t="shared" ca="1" si="4"/>
        <v>#NAME?</v>
      </c>
    </row>
    <row r="291" spans="1:4" x14ac:dyDescent="0.25">
      <c r="A291" s="4">
        <f>Pracownicy!A291</f>
        <v>0</v>
      </c>
      <c r="B291" s="4">
        <f>Pracownicy!B291</f>
        <v>0</v>
      </c>
      <c r="C291" s="4" t="e">
        <f ca="1">IF(A291="","",_xludf.LET(emp,A291,e,Zaangażowanie!$A$2:$A$501,ms,Zaangażowanie!$C$2:$C$501,sh,Zaangażowanie!$E$2:$E$501,msst,_xludf.XLOOKUP(ms,Milestones!$A$2:$A$501,Milestones!$G$2:$G$501,""),act,(msst="W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91" s="4" t="e">
        <f t="shared" ca="1" si="4"/>
        <v>#NAME?</v>
      </c>
    </row>
    <row r="292" spans="1:4" x14ac:dyDescent="0.25">
      <c r="A292" s="4">
        <f>Pracownicy!A292</f>
        <v>0</v>
      </c>
      <c r="B292" s="4">
        <f>Pracownicy!B292</f>
        <v>0</v>
      </c>
      <c r="C292" s="4" t="e">
        <f ca="1">IF(A292="","",_xludf.LET(emp,A292,e,Zaangażowanie!$A$2:$A$501,ms,Zaangażowanie!$C$2:$C$501,sh,Zaangażowanie!$E$2:$E$501,msst,_xludf.XLOOKUP(ms,Milestones!$A$2:$A$501,Milestones!$G$2:$G$501,""),act,(msst="W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92" s="4" t="e">
        <f t="shared" ca="1" si="4"/>
        <v>#NAME?</v>
      </c>
    </row>
    <row r="293" spans="1:4" x14ac:dyDescent="0.25">
      <c r="A293" s="4">
        <f>Pracownicy!A293</f>
        <v>0</v>
      </c>
      <c r="B293" s="4">
        <f>Pracownicy!B293</f>
        <v>0</v>
      </c>
      <c r="C293" s="4" t="e">
        <f ca="1">IF(A293="","",_xludf.LET(emp,A293,e,Zaangażowanie!$A$2:$A$501,ms,Zaangażowanie!$C$2:$C$501,sh,Zaangażowanie!$E$2:$E$501,msst,_xludf.XLOOKUP(ms,Milestones!$A$2:$A$501,Milestones!$G$2:$G$501,""),act,(msst="W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93" s="4" t="e">
        <f t="shared" ca="1" si="4"/>
        <v>#NAME?</v>
      </c>
    </row>
    <row r="294" spans="1:4" x14ac:dyDescent="0.25">
      <c r="A294" s="4">
        <f>Pracownicy!A294</f>
        <v>0</v>
      </c>
      <c r="B294" s="4">
        <f>Pracownicy!B294</f>
        <v>0</v>
      </c>
      <c r="C294" s="4" t="e">
        <f ca="1">IF(A294="","",_xludf.LET(emp,A294,e,Zaangażowanie!$A$2:$A$501,ms,Zaangażowanie!$C$2:$C$501,sh,Zaangażowanie!$E$2:$E$501,msst,_xludf.XLOOKUP(ms,Milestones!$A$2:$A$501,Milestones!$G$2:$G$501,""),act,(msst="W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94" s="4" t="e">
        <f t="shared" ca="1" si="4"/>
        <v>#NAME?</v>
      </c>
    </row>
    <row r="295" spans="1:4" x14ac:dyDescent="0.25">
      <c r="A295" s="4">
        <f>Pracownicy!A295</f>
        <v>0</v>
      </c>
      <c r="B295" s="4">
        <f>Pracownicy!B295</f>
        <v>0</v>
      </c>
      <c r="C295" s="4" t="e">
        <f ca="1">IF(A295="","",_xludf.LET(emp,A295,e,Zaangażowanie!$A$2:$A$501,ms,Zaangażowanie!$C$2:$C$501,sh,Zaangażowanie!$E$2:$E$501,msst,_xludf.XLOOKUP(ms,Milestones!$A$2:$A$501,Milestones!$G$2:$G$501,""),act,(msst="W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95" s="4" t="e">
        <f t="shared" ca="1" si="4"/>
        <v>#NAME?</v>
      </c>
    </row>
    <row r="296" spans="1:4" x14ac:dyDescent="0.25">
      <c r="A296" s="4">
        <f>Pracownicy!A296</f>
        <v>0</v>
      </c>
      <c r="B296" s="4">
        <f>Pracownicy!B296</f>
        <v>0</v>
      </c>
      <c r="C296" s="4" t="e">
        <f ca="1">IF(A296="","",_xludf.LET(emp,A296,e,Zaangażowanie!$A$2:$A$501,ms,Zaangażowanie!$C$2:$C$501,sh,Zaangażowanie!$E$2:$E$501,msst,_xludf.XLOOKUP(ms,Milestones!$A$2:$A$501,Milestones!$G$2:$G$501,""),act,(msst="W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96" s="4" t="e">
        <f t="shared" ca="1" si="4"/>
        <v>#NAME?</v>
      </c>
    </row>
    <row r="297" spans="1:4" x14ac:dyDescent="0.25">
      <c r="A297" s="4">
        <f>Pracownicy!A297</f>
        <v>0</v>
      </c>
      <c r="B297" s="4">
        <f>Pracownicy!B297</f>
        <v>0</v>
      </c>
      <c r="C297" s="4" t="e">
        <f ca="1">IF(A297="","",_xludf.LET(emp,A297,e,Zaangażowanie!$A$2:$A$501,ms,Zaangażowanie!$C$2:$C$501,sh,Zaangażowanie!$E$2:$E$501,msst,_xludf.XLOOKUP(ms,Milestones!$A$2:$A$501,Milestones!$G$2:$G$501,""),act,(msst="W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97" s="4" t="e">
        <f t="shared" ca="1" si="4"/>
        <v>#NAME?</v>
      </c>
    </row>
    <row r="298" spans="1:4" x14ac:dyDescent="0.25">
      <c r="A298" s="4">
        <f>Pracownicy!A298</f>
        <v>0</v>
      </c>
      <c r="B298" s="4">
        <f>Pracownicy!B298</f>
        <v>0</v>
      </c>
      <c r="C298" s="4" t="e">
        <f ca="1">IF(A298="","",_xludf.LET(emp,A298,e,Zaangażowanie!$A$2:$A$501,ms,Zaangażowanie!$C$2:$C$501,sh,Zaangażowanie!$E$2:$E$501,msst,_xludf.XLOOKUP(ms,Milestones!$A$2:$A$501,Milestones!$G$2:$G$501,""),act,(msst="W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98" s="4" t="e">
        <f t="shared" ca="1" si="4"/>
        <v>#NAME?</v>
      </c>
    </row>
    <row r="299" spans="1:4" x14ac:dyDescent="0.25">
      <c r="A299" s="4">
        <f>Pracownicy!A299</f>
        <v>0</v>
      </c>
      <c r="B299" s="4">
        <f>Pracownicy!B299</f>
        <v>0</v>
      </c>
      <c r="C299" s="4" t="e">
        <f ca="1">IF(A299="","",_xludf.LET(emp,A299,e,Zaangażowanie!$A$2:$A$501,ms,Zaangażowanie!$C$2:$C$501,sh,Zaangażowanie!$E$2:$E$501,msst,_xludf.XLOOKUP(ms,Milestones!$A$2:$A$501,Milestones!$G$2:$G$501,""),act,(msst="W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299" s="4" t="e">
        <f t="shared" ca="1" si="4"/>
        <v>#NAME?</v>
      </c>
    </row>
    <row r="300" spans="1:4" x14ac:dyDescent="0.25">
      <c r="A300" s="4">
        <f>Pracownicy!A300</f>
        <v>0</v>
      </c>
      <c r="B300" s="4">
        <f>Pracownicy!B300</f>
        <v>0</v>
      </c>
      <c r="C300" s="4" t="e">
        <f ca="1">IF(A300="","",_xludf.LET(emp,A300,e,Zaangażowanie!$A$2:$A$501,ms,Zaangażowanie!$C$2:$C$501,sh,Zaangażowanie!$E$2:$E$501,msst,_xludf.XLOOKUP(ms,Milestones!$A$2:$A$501,Milestones!$G$2:$G$501,""),act,(msst="W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00" s="4" t="e">
        <f t="shared" ca="1" si="4"/>
        <v>#NAME?</v>
      </c>
    </row>
    <row r="301" spans="1:4" x14ac:dyDescent="0.25">
      <c r="A301" s="4">
        <f>Pracownicy!A301</f>
        <v>0</v>
      </c>
      <c r="B301" s="4">
        <f>Pracownicy!B301</f>
        <v>0</v>
      </c>
      <c r="C301" s="4" t="e">
        <f ca="1">IF(A301="","",_xludf.LET(emp,A301,e,Zaangażowanie!$A$2:$A$501,ms,Zaangażowanie!$C$2:$C$501,sh,Zaangażowanie!$E$2:$E$501,msst,_xludf.XLOOKUP(ms,Milestones!$A$2:$A$501,Milestones!$G$2:$G$501,""),act,(msst="W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01" s="4" t="e">
        <f t="shared" ca="1" si="4"/>
        <v>#NAME?</v>
      </c>
    </row>
    <row r="302" spans="1:4" x14ac:dyDescent="0.25">
      <c r="A302" s="4">
        <f>Pracownicy!A302</f>
        <v>0</v>
      </c>
      <c r="B302" s="4">
        <f>Pracownicy!B302</f>
        <v>0</v>
      </c>
      <c r="C302" s="4" t="e">
        <f ca="1">IF(A302="","",_xludf.LET(emp,A302,e,Zaangażowanie!$A$2:$A$501,ms,Zaangażowanie!$C$2:$C$501,sh,Zaangażowanie!$E$2:$E$501,msst,_xludf.XLOOKUP(ms,Milestones!$A$2:$A$501,Milestones!$G$2:$G$501,""),act,(msst="W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02" s="4" t="e">
        <f t="shared" ca="1" si="4"/>
        <v>#NAME?</v>
      </c>
    </row>
    <row r="303" spans="1:4" x14ac:dyDescent="0.25">
      <c r="A303" s="4">
        <f>Pracownicy!A303</f>
        <v>0</v>
      </c>
      <c r="B303" s="4">
        <f>Pracownicy!B303</f>
        <v>0</v>
      </c>
      <c r="C303" s="4" t="e">
        <f ca="1">IF(A303="","",_xludf.LET(emp,A303,e,Zaangażowanie!$A$2:$A$501,ms,Zaangażowanie!$C$2:$C$501,sh,Zaangażowanie!$E$2:$E$501,msst,_xludf.XLOOKUP(ms,Milestones!$A$2:$A$501,Milestones!$G$2:$G$501,""),act,(msst="W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03" s="4" t="e">
        <f t="shared" ca="1" si="4"/>
        <v>#NAME?</v>
      </c>
    </row>
    <row r="304" spans="1:4" x14ac:dyDescent="0.25">
      <c r="A304" s="4">
        <f>Pracownicy!A304</f>
        <v>0</v>
      </c>
      <c r="B304" s="4">
        <f>Pracownicy!B304</f>
        <v>0</v>
      </c>
      <c r="C304" s="4" t="e">
        <f ca="1">IF(A304="","",_xludf.LET(emp,A304,e,Zaangażowanie!$A$2:$A$501,ms,Zaangażowanie!$C$2:$C$501,sh,Zaangażowanie!$E$2:$E$501,msst,_xludf.XLOOKUP(ms,Milestones!$A$2:$A$501,Milestones!$G$2:$G$501,""),act,(msst="W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04" s="4" t="e">
        <f t="shared" ca="1" si="4"/>
        <v>#NAME?</v>
      </c>
    </row>
    <row r="305" spans="1:4" x14ac:dyDescent="0.25">
      <c r="A305" s="4">
        <f>Pracownicy!A305</f>
        <v>0</v>
      </c>
      <c r="B305" s="4">
        <f>Pracownicy!B305</f>
        <v>0</v>
      </c>
      <c r="C305" s="4" t="e">
        <f ca="1">IF(A305="","",_xludf.LET(emp,A305,e,Zaangażowanie!$A$2:$A$501,ms,Zaangażowanie!$C$2:$C$501,sh,Zaangażowanie!$E$2:$E$501,msst,_xludf.XLOOKUP(ms,Milestones!$A$2:$A$501,Milestones!$G$2:$G$501,""),act,(msst="W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05" s="4" t="e">
        <f t="shared" ca="1" si="4"/>
        <v>#NAME?</v>
      </c>
    </row>
    <row r="306" spans="1:4" x14ac:dyDescent="0.25">
      <c r="A306" s="4">
        <f>Pracownicy!A306</f>
        <v>0</v>
      </c>
      <c r="B306" s="4">
        <f>Pracownicy!B306</f>
        <v>0</v>
      </c>
      <c r="C306" s="4" t="e">
        <f ca="1">IF(A306="","",_xludf.LET(emp,A306,e,Zaangażowanie!$A$2:$A$501,ms,Zaangażowanie!$C$2:$C$501,sh,Zaangażowanie!$E$2:$E$501,msst,_xludf.XLOOKUP(ms,Milestones!$A$2:$A$501,Milestones!$G$2:$G$501,""),act,(msst="W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06" s="4" t="e">
        <f t="shared" ca="1" si="4"/>
        <v>#NAME?</v>
      </c>
    </row>
    <row r="307" spans="1:4" x14ac:dyDescent="0.25">
      <c r="A307" s="4">
        <f>Pracownicy!A307</f>
        <v>0</v>
      </c>
      <c r="B307" s="4">
        <f>Pracownicy!B307</f>
        <v>0</v>
      </c>
      <c r="C307" s="4" t="e">
        <f ca="1">IF(A307="","",_xludf.LET(emp,A307,e,Zaangażowanie!$A$2:$A$501,ms,Zaangażowanie!$C$2:$C$501,sh,Zaangażowanie!$E$2:$E$501,msst,_xludf.XLOOKUP(ms,Milestones!$A$2:$A$501,Milestones!$G$2:$G$501,""),act,(msst="W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07" s="4" t="e">
        <f t="shared" ca="1" si="4"/>
        <v>#NAME?</v>
      </c>
    </row>
    <row r="308" spans="1:4" x14ac:dyDescent="0.25">
      <c r="A308" s="4">
        <f>Pracownicy!A308</f>
        <v>0</v>
      </c>
      <c r="B308" s="4">
        <f>Pracownicy!B308</f>
        <v>0</v>
      </c>
      <c r="C308" s="4" t="e">
        <f ca="1">IF(A308="","",_xludf.LET(emp,A308,e,Zaangażowanie!$A$2:$A$501,ms,Zaangażowanie!$C$2:$C$501,sh,Zaangażowanie!$E$2:$E$501,msst,_xludf.XLOOKUP(ms,Milestones!$A$2:$A$501,Milestones!$G$2:$G$501,""),act,(msst="W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08" s="4" t="e">
        <f t="shared" ca="1" si="4"/>
        <v>#NAME?</v>
      </c>
    </row>
    <row r="309" spans="1:4" x14ac:dyDescent="0.25">
      <c r="A309" s="4">
        <f>Pracownicy!A309</f>
        <v>0</v>
      </c>
      <c r="B309" s="4">
        <f>Pracownicy!B309</f>
        <v>0</v>
      </c>
      <c r="C309" s="4" t="e">
        <f ca="1">IF(A309="","",_xludf.LET(emp,A309,e,Zaangażowanie!$A$2:$A$501,ms,Zaangażowanie!$C$2:$C$501,sh,Zaangażowanie!$E$2:$E$501,msst,_xludf.XLOOKUP(ms,Milestones!$A$2:$A$501,Milestones!$G$2:$G$501,""),act,(msst="W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09" s="4" t="e">
        <f t="shared" ca="1" si="4"/>
        <v>#NAME?</v>
      </c>
    </row>
    <row r="310" spans="1:4" x14ac:dyDescent="0.25">
      <c r="A310" s="4">
        <f>Pracownicy!A310</f>
        <v>0</v>
      </c>
      <c r="B310" s="4">
        <f>Pracownicy!B310</f>
        <v>0</v>
      </c>
      <c r="C310" s="4" t="e">
        <f ca="1">IF(A310="","",_xludf.LET(emp,A310,e,Zaangażowanie!$A$2:$A$501,ms,Zaangażowanie!$C$2:$C$501,sh,Zaangażowanie!$E$2:$E$501,msst,_xludf.XLOOKUP(ms,Milestones!$A$2:$A$501,Milestones!$G$2:$G$501,""),act,(msst="W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10" s="4" t="e">
        <f t="shared" ca="1" si="4"/>
        <v>#NAME?</v>
      </c>
    </row>
    <row r="311" spans="1:4" x14ac:dyDescent="0.25">
      <c r="A311" s="4">
        <f>Pracownicy!A311</f>
        <v>0</v>
      </c>
      <c r="B311" s="4">
        <f>Pracownicy!B311</f>
        <v>0</v>
      </c>
      <c r="C311" s="4" t="e">
        <f ca="1">IF(A311="","",_xludf.LET(emp,A311,e,Zaangażowanie!$A$2:$A$501,ms,Zaangażowanie!$C$2:$C$501,sh,Zaangażowanie!$E$2:$E$501,msst,_xludf.XLOOKUP(ms,Milestones!$A$2:$A$501,Milestones!$G$2:$G$501,""),act,(msst="W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11" s="4" t="e">
        <f t="shared" ca="1" si="4"/>
        <v>#NAME?</v>
      </c>
    </row>
    <row r="312" spans="1:4" x14ac:dyDescent="0.25">
      <c r="A312" s="4">
        <f>Pracownicy!A312</f>
        <v>0</v>
      </c>
      <c r="B312" s="4">
        <f>Pracownicy!B312</f>
        <v>0</v>
      </c>
      <c r="C312" s="4" t="e">
        <f ca="1">IF(A312="","",_xludf.LET(emp,A312,e,Zaangażowanie!$A$2:$A$501,ms,Zaangażowanie!$C$2:$C$501,sh,Zaangażowanie!$E$2:$E$501,msst,_xludf.XLOOKUP(ms,Milestones!$A$2:$A$501,Milestones!$G$2:$G$501,""),act,(msst="W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12" s="4" t="e">
        <f t="shared" ca="1" si="4"/>
        <v>#NAME?</v>
      </c>
    </row>
    <row r="313" spans="1:4" x14ac:dyDescent="0.25">
      <c r="A313" s="4">
        <f>Pracownicy!A313</f>
        <v>0</v>
      </c>
      <c r="B313" s="4">
        <f>Pracownicy!B313</f>
        <v>0</v>
      </c>
      <c r="C313" s="4" t="e">
        <f ca="1">IF(A313="","",_xludf.LET(emp,A313,e,Zaangażowanie!$A$2:$A$501,ms,Zaangażowanie!$C$2:$C$501,sh,Zaangażowanie!$E$2:$E$501,msst,_xludf.XLOOKUP(ms,Milestones!$A$2:$A$501,Milestones!$G$2:$G$501,""),act,(msst="W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13" s="4" t="e">
        <f t="shared" ca="1" si="4"/>
        <v>#NAME?</v>
      </c>
    </row>
    <row r="314" spans="1:4" x14ac:dyDescent="0.25">
      <c r="A314" s="4">
        <f>Pracownicy!A314</f>
        <v>0</v>
      </c>
      <c r="B314" s="4">
        <f>Pracownicy!B314</f>
        <v>0</v>
      </c>
      <c r="C314" s="4" t="e">
        <f ca="1">IF(A314="","",_xludf.LET(emp,A314,e,Zaangażowanie!$A$2:$A$501,ms,Zaangażowanie!$C$2:$C$501,sh,Zaangażowanie!$E$2:$E$501,msst,_xludf.XLOOKUP(ms,Milestones!$A$2:$A$501,Milestones!$G$2:$G$501,""),act,(msst="W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14" s="4" t="e">
        <f t="shared" ca="1" si="4"/>
        <v>#NAME?</v>
      </c>
    </row>
    <row r="315" spans="1:4" x14ac:dyDescent="0.25">
      <c r="A315" s="4">
        <f>Pracownicy!A315</f>
        <v>0</v>
      </c>
      <c r="B315" s="4">
        <f>Pracownicy!B315</f>
        <v>0</v>
      </c>
      <c r="C315" s="4" t="e">
        <f ca="1">IF(A315="","",_xludf.LET(emp,A315,e,Zaangażowanie!$A$2:$A$501,ms,Zaangażowanie!$C$2:$C$501,sh,Zaangażowanie!$E$2:$E$501,msst,_xludf.XLOOKUP(ms,Milestones!$A$2:$A$501,Milestones!$G$2:$G$501,""),act,(msst="W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15" s="4" t="e">
        <f t="shared" ca="1" si="4"/>
        <v>#NAME?</v>
      </c>
    </row>
    <row r="316" spans="1:4" x14ac:dyDescent="0.25">
      <c r="A316" s="4">
        <f>Pracownicy!A316</f>
        <v>0</v>
      </c>
      <c r="B316" s="4">
        <f>Pracownicy!B316</f>
        <v>0</v>
      </c>
      <c r="C316" s="4" t="e">
        <f ca="1">IF(A316="","",_xludf.LET(emp,A316,e,Zaangażowanie!$A$2:$A$501,ms,Zaangażowanie!$C$2:$C$501,sh,Zaangażowanie!$E$2:$E$501,msst,_xludf.XLOOKUP(ms,Milestones!$A$2:$A$501,Milestones!$G$2:$G$501,""),act,(msst="W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16" s="4" t="e">
        <f t="shared" ca="1" si="4"/>
        <v>#NAME?</v>
      </c>
    </row>
    <row r="317" spans="1:4" x14ac:dyDescent="0.25">
      <c r="A317" s="4">
        <f>Pracownicy!A317</f>
        <v>0</v>
      </c>
      <c r="B317" s="4">
        <f>Pracownicy!B317</f>
        <v>0</v>
      </c>
      <c r="C317" s="4" t="e">
        <f ca="1">IF(A317="","",_xludf.LET(emp,A317,e,Zaangażowanie!$A$2:$A$501,ms,Zaangażowanie!$C$2:$C$501,sh,Zaangażowanie!$E$2:$E$501,msst,_xludf.XLOOKUP(ms,Milestones!$A$2:$A$501,Milestones!$G$2:$G$501,""),act,(msst="W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17" s="4" t="e">
        <f t="shared" ca="1" si="4"/>
        <v>#NAME?</v>
      </c>
    </row>
    <row r="318" spans="1:4" x14ac:dyDescent="0.25">
      <c r="A318" s="4">
        <f>Pracownicy!A318</f>
        <v>0</v>
      </c>
      <c r="B318" s="4">
        <f>Pracownicy!B318</f>
        <v>0</v>
      </c>
      <c r="C318" s="4" t="e">
        <f ca="1">IF(A318="","",_xludf.LET(emp,A318,e,Zaangażowanie!$A$2:$A$501,ms,Zaangażowanie!$C$2:$C$501,sh,Zaangażowanie!$E$2:$E$501,msst,_xludf.XLOOKUP(ms,Milestones!$A$2:$A$501,Milestones!$G$2:$G$501,""),act,(msst="W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18" s="4" t="e">
        <f t="shared" ca="1" si="4"/>
        <v>#NAME?</v>
      </c>
    </row>
    <row r="319" spans="1:4" x14ac:dyDescent="0.25">
      <c r="A319" s="4">
        <f>Pracownicy!A319</f>
        <v>0</v>
      </c>
      <c r="B319" s="4">
        <f>Pracownicy!B319</f>
        <v>0</v>
      </c>
      <c r="C319" s="4" t="e">
        <f ca="1">IF(A319="","",_xludf.LET(emp,A319,e,Zaangażowanie!$A$2:$A$501,ms,Zaangażowanie!$C$2:$C$501,sh,Zaangażowanie!$E$2:$E$501,msst,_xludf.XLOOKUP(ms,Milestones!$A$2:$A$501,Milestones!$G$2:$G$501,""),act,(msst="W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19" s="4" t="e">
        <f t="shared" ca="1" si="4"/>
        <v>#NAME?</v>
      </c>
    </row>
    <row r="320" spans="1:4" x14ac:dyDescent="0.25">
      <c r="A320" s="4">
        <f>Pracownicy!A320</f>
        <v>0</v>
      </c>
      <c r="B320" s="4">
        <f>Pracownicy!B320</f>
        <v>0</v>
      </c>
      <c r="C320" s="4" t="e">
        <f ca="1">IF(A320="","",_xludf.LET(emp,A320,e,Zaangażowanie!$A$2:$A$501,ms,Zaangażowanie!$C$2:$C$501,sh,Zaangażowanie!$E$2:$E$501,msst,_xludf.XLOOKUP(ms,Milestones!$A$2:$A$501,Milestones!$G$2:$G$501,""),act,(msst="W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20" s="4" t="e">
        <f t="shared" ca="1" si="4"/>
        <v>#NAME?</v>
      </c>
    </row>
    <row r="321" spans="1:4" x14ac:dyDescent="0.25">
      <c r="A321" s="4">
        <f>Pracownicy!A321</f>
        <v>0</v>
      </c>
      <c r="B321" s="4">
        <f>Pracownicy!B321</f>
        <v>0</v>
      </c>
      <c r="C321" s="4" t="e">
        <f ca="1">IF(A321="","",_xludf.LET(emp,A321,e,Zaangażowanie!$A$2:$A$501,ms,Zaangażowanie!$C$2:$C$501,sh,Zaangażowanie!$E$2:$E$501,msst,_xludf.XLOOKUP(ms,Milestones!$A$2:$A$501,Milestones!$G$2:$G$501,""),act,(msst="W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21" s="4" t="e">
        <f t="shared" ca="1" si="4"/>
        <v>#NAME?</v>
      </c>
    </row>
    <row r="322" spans="1:4" x14ac:dyDescent="0.25">
      <c r="A322" s="4">
        <f>Pracownicy!A322</f>
        <v>0</v>
      </c>
      <c r="B322" s="4">
        <f>Pracownicy!B322</f>
        <v>0</v>
      </c>
      <c r="C322" s="4" t="e">
        <f ca="1">IF(A322="","",_xludf.LET(emp,A322,e,Zaangażowanie!$A$2:$A$501,ms,Zaangażowanie!$C$2:$C$501,sh,Zaangażowanie!$E$2:$E$501,msst,_xludf.XLOOKUP(ms,Milestones!$A$2:$A$501,Milestones!$G$2:$G$501,""),act,(msst="W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22" s="4" t="e">
        <f t="shared" ref="D322:D385" ca="1" si="5">IF(A322="","",IF(C322&lt;=1,"OK","NIE"))</f>
        <v>#NAME?</v>
      </c>
    </row>
    <row r="323" spans="1:4" x14ac:dyDescent="0.25">
      <c r="A323" s="4">
        <f>Pracownicy!A323</f>
        <v>0</v>
      </c>
      <c r="B323" s="4">
        <f>Pracownicy!B323</f>
        <v>0</v>
      </c>
      <c r="C323" s="4" t="e">
        <f ca="1">IF(A323="","",_xludf.LET(emp,A323,e,Zaangażowanie!$A$2:$A$501,ms,Zaangażowanie!$C$2:$C$501,sh,Zaangażowanie!$E$2:$E$501,msst,_xludf.XLOOKUP(ms,Milestones!$A$2:$A$501,Milestones!$G$2:$G$501,""),act,(msst="W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23" s="4" t="e">
        <f t="shared" ca="1" si="5"/>
        <v>#NAME?</v>
      </c>
    </row>
    <row r="324" spans="1:4" x14ac:dyDescent="0.25">
      <c r="A324" s="4">
        <f>Pracownicy!A324</f>
        <v>0</v>
      </c>
      <c r="B324" s="4">
        <f>Pracownicy!B324</f>
        <v>0</v>
      </c>
      <c r="C324" s="4" t="e">
        <f ca="1">IF(A324="","",_xludf.LET(emp,A324,e,Zaangażowanie!$A$2:$A$501,ms,Zaangażowanie!$C$2:$C$501,sh,Zaangażowanie!$E$2:$E$501,msst,_xludf.XLOOKUP(ms,Milestones!$A$2:$A$501,Milestones!$G$2:$G$501,""),act,(msst="W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24" s="4" t="e">
        <f t="shared" ca="1" si="5"/>
        <v>#NAME?</v>
      </c>
    </row>
    <row r="325" spans="1:4" x14ac:dyDescent="0.25">
      <c r="A325" s="4">
        <f>Pracownicy!A325</f>
        <v>0</v>
      </c>
      <c r="B325" s="4">
        <f>Pracownicy!B325</f>
        <v>0</v>
      </c>
      <c r="C325" s="4" t="e">
        <f ca="1">IF(A325="","",_xludf.LET(emp,A325,e,Zaangażowanie!$A$2:$A$501,ms,Zaangażowanie!$C$2:$C$501,sh,Zaangażowanie!$E$2:$E$501,msst,_xludf.XLOOKUP(ms,Milestones!$A$2:$A$501,Milestones!$G$2:$G$501,""),act,(msst="W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25" s="4" t="e">
        <f t="shared" ca="1" si="5"/>
        <v>#NAME?</v>
      </c>
    </row>
    <row r="326" spans="1:4" x14ac:dyDescent="0.25">
      <c r="A326" s="4">
        <f>Pracownicy!A326</f>
        <v>0</v>
      </c>
      <c r="B326" s="4">
        <f>Pracownicy!B326</f>
        <v>0</v>
      </c>
      <c r="C326" s="4" t="e">
        <f ca="1">IF(A326="","",_xludf.LET(emp,A326,e,Zaangażowanie!$A$2:$A$501,ms,Zaangażowanie!$C$2:$C$501,sh,Zaangażowanie!$E$2:$E$501,msst,_xludf.XLOOKUP(ms,Milestones!$A$2:$A$501,Milestones!$G$2:$G$501,""),act,(msst="W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26" s="4" t="e">
        <f t="shared" ca="1" si="5"/>
        <v>#NAME?</v>
      </c>
    </row>
    <row r="327" spans="1:4" x14ac:dyDescent="0.25">
      <c r="A327" s="4">
        <f>Pracownicy!A327</f>
        <v>0</v>
      </c>
      <c r="B327" s="4">
        <f>Pracownicy!B327</f>
        <v>0</v>
      </c>
      <c r="C327" s="4" t="e">
        <f ca="1">IF(A327="","",_xludf.LET(emp,A327,e,Zaangażowanie!$A$2:$A$501,ms,Zaangażowanie!$C$2:$C$501,sh,Zaangażowanie!$E$2:$E$501,msst,_xludf.XLOOKUP(ms,Milestones!$A$2:$A$501,Milestones!$G$2:$G$501,""),act,(msst="W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27" s="4" t="e">
        <f t="shared" ca="1" si="5"/>
        <v>#NAME?</v>
      </c>
    </row>
    <row r="328" spans="1:4" x14ac:dyDescent="0.25">
      <c r="A328" s="4">
        <f>Pracownicy!A328</f>
        <v>0</v>
      </c>
      <c r="B328" s="4">
        <f>Pracownicy!B328</f>
        <v>0</v>
      </c>
      <c r="C328" s="4" t="e">
        <f ca="1">IF(A328="","",_xludf.LET(emp,A328,e,Zaangażowanie!$A$2:$A$501,ms,Zaangażowanie!$C$2:$C$501,sh,Zaangażowanie!$E$2:$E$501,msst,_xludf.XLOOKUP(ms,Milestones!$A$2:$A$501,Milestones!$G$2:$G$501,""),act,(msst="W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28" s="4" t="e">
        <f t="shared" ca="1" si="5"/>
        <v>#NAME?</v>
      </c>
    </row>
    <row r="329" spans="1:4" x14ac:dyDescent="0.25">
      <c r="A329" s="4">
        <f>Pracownicy!A329</f>
        <v>0</v>
      </c>
      <c r="B329" s="4">
        <f>Pracownicy!B329</f>
        <v>0</v>
      </c>
      <c r="C329" s="4" t="e">
        <f ca="1">IF(A329="","",_xludf.LET(emp,A329,e,Zaangażowanie!$A$2:$A$501,ms,Zaangażowanie!$C$2:$C$501,sh,Zaangażowanie!$E$2:$E$501,msst,_xludf.XLOOKUP(ms,Milestones!$A$2:$A$501,Milestones!$G$2:$G$501,""),act,(msst="W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29" s="4" t="e">
        <f t="shared" ca="1" si="5"/>
        <v>#NAME?</v>
      </c>
    </row>
    <row r="330" spans="1:4" x14ac:dyDescent="0.25">
      <c r="A330" s="4">
        <f>Pracownicy!A330</f>
        <v>0</v>
      </c>
      <c r="B330" s="4">
        <f>Pracownicy!B330</f>
        <v>0</v>
      </c>
      <c r="C330" s="4" t="e">
        <f ca="1">IF(A330="","",_xludf.LET(emp,A330,e,Zaangażowanie!$A$2:$A$501,ms,Zaangażowanie!$C$2:$C$501,sh,Zaangażowanie!$E$2:$E$501,msst,_xludf.XLOOKUP(ms,Milestones!$A$2:$A$501,Milestones!$G$2:$G$501,""),act,(msst="W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30" s="4" t="e">
        <f t="shared" ca="1" si="5"/>
        <v>#NAME?</v>
      </c>
    </row>
    <row r="331" spans="1:4" x14ac:dyDescent="0.25">
      <c r="A331" s="4">
        <f>Pracownicy!A331</f>
        <v>0</v>
      </c>
      <c r="B331" s="4">
        <f>Pracownicy!B331</f>
        <v>0</v>
      </c>
      <c r="C331" s="4" t="e">
        <f ca="1">IF(A331="","",_xludf.LET(emp,A331,e,Zaangażowanie!$A$2:$A$501,ms,Zaangażowanie!$C$2:$C$501,sh,Zaangażowanie!$E$2:$E$501,msst,_xludf.XLOOKUP(ms,Milestones!$A$2:$A$501,Milestones!$G$2:$G$501,""),act,(msst="W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31" s="4" t="e">
        <f t="shared" ca="1" si="5"/>
        <v>#NAME?</v>
      </c>
    </row>
    <row r="332" spans="1:4" x14ac:dyDescent="0.25">
      <c r="A332" s="4">
        <f>Pracownicy!A332</f>
        <v>0</v>
      </c>
      <c r="B332" s="4">
        <f>Pracownicy!B332</f>
        <v>0</v>
      </c>
      <c r="C332" s="4" t="e">
        <f ca="1">IF(A332="","",_xludf.LET(emp,A332,e,Zaangażowanie!$A$2:$A$501,ms,Zaangażowanie!$C$2:$C$501,sh,Zaangażowanie!$E$2:$E$501,msst,_xludf.XLOOKUP(ms,Milestones!$A$2:$A$501,Milestones!$G$2:$G$501,""),act,(msst="W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32" s="4" t="e">
        <f t="shared" ca="1" si="5"/>
        <v>#NAME?</v>
      </c>
    </row>
    <row r="333" spans="1:4" x14ac:dyDescent="0.25">
      <c r="A333" s="4">
        <f>Pracownicy!A333</f>
        <v>0</v>
      </c>
      <c r="B333" s="4">
        <f>Pracownicy!B333</f>
        <v>0</v>
      </c>
      <c r="C333" s="4" t="e">
        <f ca="1">IF(A333="","",_xludf.LET(emp,A333,e,Zaangażowanie!$A$2:$A$501,ms,Zaangażowanie!$C$2:$C$501,sh,Zaangażowanie!$E$2:$E$501,msst,_xludf.XLOOKUP(ms,Milestones!$A$2:$A$501,Milestones!$G$2:$G$501,""),act,(msst="W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33" s="4" t="e">
        <f t="shared" ca="1" si="5"/>
        <v>#NAME?</v>
      </c>
    </row>
    <row r="334" spans="1:4" x14ac:dyDescent="0.25">
      <c r="A334" s="4">
        <f>Pracownicy!A334</f>
        <v>0</v>
      </c>
      <c r="B334" s="4">
        <f>Pracownicy!B334</f>
        <v>0</v>
      </c>
      <c r="C334" s="4" t="e">
        <f ca="1">IF(A334="","",_xludf.LET(emp,A334,e,Zaangażowanie!$A$2:$A$501,ms,Zaangażowanie!$C$2:$C$501,sh,Zaangażowanie!$E$2:$E$501,msst,_xludf.XLOOKUP(ms,Milestones!$A$2:$A$501,Milestones!$G$2:$G$501,""),act,(msst="W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34" s="4" t="e">
        <f t="shared" ca="1" si="5"/>
        <v>#NAME?</v>
      </c>
    </row>
    <row r="335" spans="1:4" x14ac:dyDescent="0.25">
      <c r="A335" s="4">
        <f>Pracownicy!A335</f>
        <v>0</v>
      </c>
      <c r="B335" s="4">
        <f>Pracownicy!B335</f>
        <v>0</v>
      </c>
      <c r="C335" s="4" t="e">
        <f ca="1">IF(A335="","",_xludf.LET(emp,A335,e,Zaangażowanie!$A$2:$A$501,ms,Zaangażowanie!$C$2:$C$501,sh,Zaangażowanie!$E$2:$E$501,msst,_xludf.XLOOKUP(ms,Milestones!$A$2:$A$501,Milestones!$G$2:$G$501,""),act,(msst="W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35" s="4" t="e">
        <f t="shared" ca="1" si="5"/>
        <v>#NAME?</v>
      </c>
    </row>
    <row r="336" spans="1:4" x14ac:dyDescent="0.25">
      <c r="A336" s="4">
        <f>Pracownicy!A336</f>
        <v>0</v>
      </c>
      <c r="B336" s="4">
        <f>Pracownicy!B336</f>
        <v>0</v>
      </c>
      <c r="C336" s="4" t="e">
        <f ca="1">IF(A336="","",_xludf.LET(emp,A336,e,Zaangażowanie!$A$2:$A$501,ms,Zaangażowanie!$C$2:$C$501,sh,Zaangażowanie!$E$2:$E$501,msst,_xludf.XLOOKUP(ms,Milestones!$A$2:$A$501,Milestones!$G$2:$G$501,""),act,(msst="W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36" s="4" t="e">
        <f t="shared" ca="1" si="5"/>
        <v>#NAME?</v>
      </c>
    </row>
    <row r="337" spans="1:4" x14ac:dyDescent="0.25">
      <c r="A337" s="4">
        <f>Pracownicy!A337</f>
        <v>0</v>
      </c>
      <c r="B337" s="4">
        <f>Pracownicy!B337</f>
        <v>0</v>
      </c>
      <c r="C337" s="4" t="e">
        <f ca="1">IF(A337="","",_xludf.LET(emp,A337,e,Zaangażowanie!$A$2:$A$501,ms,Zaangażowanie!$C$2:$C$501,sh,Zaangażowanie!$E$2:$E$501,msst,_xludf.XLOOKUP(ms,Milestones!$A$2:$A$501,Milestones!$G$2:$G$501,""),act,(msst="W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37" s="4" t="e">
        <f t="shared" ca="1" si="5"/>
        <v>#NAME?</v>
      </c>
    </row>
    <row r="338" spans="1:4" x14ac:dyDescent="0.25">
      <c r="A338" s="4">
        <f>Pracownicy!A338</f>
        <v>0</v>
      </c>
      <c r="B338" s="4">
        <f>Pracownicy!B338</f>
        <v>0</v>
      </c>
      <c r="C338" s="4" t="e">
        <f ca="1">IF(A338="","",_xludf.LET(emp,A338,e,Zaangażowanie!$A$2:$A$501,ms,Zaangażowanie!$C$2:$C$501,sh,Zaangażowanie!$E$2:$E$501,msst,_xludf.XLOOKUP(ms,Milestones!$A$2:$A$501,Milestones!$G$2:$G$501,""),act,(msst="W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38" s="4" t="e">
        <f t="shared" ca="1" si="5"/>
        <v>#NAME?</v>
      </c>
    </row>
    <row r="339" spans="1:4" x14ac:dyDescent="0.25">
      <c r="A339" s="4">
        <f>Pracownicy!A339</f>
        <v>0</v>
      </c>
      <c r="B339" s="4">
        <f>Pracownicy!B339</f>
        <v>0</v>
      </c>
      <c r="C339" s="4" t="e">
        <f ca="1">IF(A339="","",_xludf.LET(emp,A339,e,Zaangażowanie!$A$2:$A$501,ms,Zaangażowanie!$C$2:$C$501,sh,Zaangażowanie!$E$2:$E$501,msst,_xludf.XLOOKUP(ms,Milestones!$A$2:$A$501,Milestones!$G$2:$G$501,""),act,(msst="W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39" s="4" t="e">
        <f t="shared" ca="1" si="5"/>
        <v>#NAME?</v>
      </c>
    </row>
    <row r="340" spans="1:4" x14ac:dyDescent="0.25">
      <c r="A340" s="4">
        <f>Pracownicy!A340</f>
        <v>0</v>
      </c>
      <c r="B340" s="4">
        <f>Pracownicy!B340</f>
        <v>0</v>
      </c>
      <c r="C340" s="4" t="e">
        <f ca="1">IF(A340="","",_xludf.LET(emp,A340,e,Zaangażowanie!$A$2:$A$501,ms,Zaangażowanie!$C$2:$C$501,sh,Zaangażowanie!$E$2:$E$501,msst,_xludf.XLOOKUP(ms,Milestones!$A$2:$A$501,Milestones!$G$2:$G$501,""),act,(msst="W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40" s="4" t="e">
        <f t="shared" ca="1" si="5"/>
        <v>#NAME?</v>
      </c>
    </row>
    <row r="341" spans="1:4" x14ac:dyDescent="0.25">
      <c r="A341" s="4">
        <f>Pracownicy!A341</f>
        <v>0</v>
      </c>
      <c r="B341" s="4">
        <f>Pracownicy!B341</f>
        <v>0</v>
      </c>
      <c r="C341" s="4" t="e">
        <f ca="1">IF(A341="","",_xludf.LET(emp,A341,e,Zaangażowanie!$A$2:$A$501,ms,Zaangażowanie!$C$2:$C$501,sh,Zaangażowanie!$E$2:$E$501,msst,_xludf.XLOOKUP(ms,Milestones!$A$2:$A$501,Milestones!$G$2:$G$501,""),act,(msst="W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41" s="4" t="e">
        <f t="shared" ca="1" si="5"/>
        <v>#NAME?</v>
      </c>
    </row>
    <row r="342" spans="1:4" x14ac:dyDescent="0.25">
      <c r="A342" s="4">
        <f>Pracownicy!A342</f>
        <v>0</v>
      </c>
      <c r="B342" s="4">
        <f>Pracownicy!B342</f>
        <v>0</v>
      </c>
      <c r="C342" s="4" t="e">
        <f ca="1">IF(A342="","",_xludf.LET(emp,A342,e,Zaangażowanie!$A$2:$A$501,ms,Zaangażowanie!$C$2:$C$501,sh,Zaangażowanie!$E$2:$E$501,msst,_xludf.XLOOKUP(ms,Milestones!$A$2:$A$501,Milestones!$G$2:$G$501,""),act,(msst="W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42" s="4" t="e">
        <f t="shared" ca="1" si="5"/>
        <v>#NAME?</v>
      </c>
    </row>
    <row r="343" spans="1:4" x14ac:dyDescent="0.25">
      <c r="A343" s="4">
        <f>Pracownicy!A343</f>
        <v>0</v>
      </c>
      <c r="B343" s="4">
        <f>Pracownicy!B343</f>
        <v>0</v>
      </c>
      <c r="C343" s="4" t="e">
        <f ca="1">IF(A343="","",_xludf.LET(emp,A343,e,Zaangażowanie!$A$2:$A$501,ms,Zaangażowanie!$C$2:$C$501,sh,Zaangażowanie!$E$2:$E$501,msst,_xludf.XLOOKUP(ms,Milestones!$A$2:$A$501,Milestones!$G$2:$G$501,""),act,(msst="W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43" s="4" t="e">
        <f t="shared" ca="1" si="5"/>
        <v>#NAME?</v>
      </c>
    </row>
    <row r="344" spans="1:4" x14ac:dyDescent="0.25">
      <c r="A344" s="4">
        <f>Pracownicy!A344</f>
        <v>0</v>
      </c>
      <c r="B344" s="4">
        <f>Pracownicy!B344</f>
        <v>0</v>
      </c>
      <c r="C344" s="4" t="e">
        <f ca="1">IF(A344="","",_xludf.LET(emp,A344,e,Zaangażowanie!$A$2:$A$501,ms,Zaangażowanie!$C$2:$C$501,sh,Zaangażowanie!$E$2:$E$501,msst,_xludf.XLOOKUP(ms,Milestones!$A$2:$A$501,Milestones!$G$2:$G$501,""),act,(msst="W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44" s="4" t="e">
        <f t="shared" ca="1" si="5"/>
        <v>#NAME?</v>
      </c>
    </row>
    <row r="345" spans="1:4" x14ac:dyDescent="0.25">
      <c r="A345" s="4">
        <f>Pracownicy!A345</f>
        <v>0</v>
      </c>
      <c r="B345" s="4">
        <f>Pracownicy!B345</f>
        <v>0</v>
      </c>
      <c r="C345" s="4" t="e">
        <f ca="1">IF(A345="","",_xludf.LET(emp,A345,e,Zaangażowanie!$A$2:$A$501,ms,Zaangażowanie!$C$2:$C$501,sh,Zaangażowanie!$E$2:$E$501,msst,_xludf.XLOOKUP(ms,Milestones!$A$2:$A$501,Milestones!$G$2:$G$501,""),act,(msst="W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45" s="4" t="e">
        <f t="shared" ca="1" si="5"/>
        <v>#NAME?</v>
      </c>
    </row>
    <row r="346" spans="1:4" x14ac:dyDescent="0.25">
      <c r="A346" s="4">
        <f>Pracownicy!A346</f>
        <v>0</v>
      </c>
      <c r="B346" s="4">
        <f>Pracownicy!B346</f>
        <v>0</v>
      </c>
      <c r="C346" s="4" t="e">
        <f ca="1">IF(A346="","",_xludf.LET(emp,A346,e,Zaangażowanie!$A$2:$A$501,ms,Zaangażowanie!$C$2:$C$501,sh,Zaangażowanie!$E$2:$E$501,msst,_xludf.XLOOKUP(ms,Milestones!$A$2:$A$501,Milestones!$G$2:$G$501,""),act,(msst="W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46" s="4" t="e">
        <f t="shared" ca="1" si="5"/>
        <v>#NAME?</v>
      </c>
    </row>
    <row r="347" spans="1:4" x14ac:dyDescent="0.25">
      <c r="A347" s="4">
        <f>Pracownicy!A347</f>
        <v>0</v>
      </c>
      <c r="B347" s="4">
        <f>Pracownicy!B347</f>
        <v>0</v>
      </c>
      <c r="C347" s="4" t="e">
        <f ca="1">IF(A347="","",_xludf.LET(emp,A347,e,Zaangażowanie!$A$2:$A$501,ms,Zaangażowanie!$C$2:$C$501,sh,Zaangażowanie!$E$2:$E$501,msst,_xludf.XLOOKUP(ms,Milestones!$A$2:$A$501,Milestones!$G$2:$G$501,""),act,(msst="W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47" s="4" t="e">
        <f t="shared" ca="1" si="5"/>
        <v>#NAME?</v>
      </c>
    </row>
    <row r="348" spans="1:4" x14ac:dyDescent="0.25">
      <c r="A348" s="4">
        <f>Pracownicy!A348</f>
        <v>0</v>
      </c>
      <c r="B348" s="4">
        <f>Pracownicy!B348</f>
        <v>0</v>
      </c>
      <c r="C348" s="4" t="e">
        <f ca="1">IF(A348="","",_xludf.LET(emp,A348,e,Zaangażowanie!$A$2:$A$501,ms,Zaangażowanie!$C$2:$C$501,sh,Zaangażowanie!$E$2:$E$501,msst,_xludf.XLOOKUP(ms,Milestones!$A$2:$A$501,Milestones!$G$2:$G$501,""),act,(msst="W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48" s="4" t="e">
        <f t="shared" ca="1" si="5"/>
        <v>#NAME?</v>
      </c>
    </row>
    <row r="349" spans="1:4" x14ac:dyDescent="0.25">
      <c r="A349" s="4">
        <f>Pracownicy!A349</f>
        <v>0</v>
      </c>
      <c r="B349" s="4">
        <f>Pracownicy!B349</f>
        <v>0</v>
      </c>
      <c r="C349" s="4" t="e">
        <f ca="1">IF(A349="","",_xludf.LET(emp,A349,e,Zaangażowanie!$A$2:$A$501,ms,Zaangażowanie!$C$2:$C$501,sh,Zaangażowanie!$E$2:$E$501,msst,_xludf.XLOOKUP(ms,Milestones!$A$2:$A$501,Milestones!$G$2:$G$501,""),act,(msst="W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49" s="4" t="e">
        <f t="shared" ca="1" si="5"/>
        <v>#NAME?</v>
      </c>
    </row>
    <row r="350" spans="1:4" x14ac:dyDescent="0.25">
      <c r="A350" s="4">
        <f>Pracownicy!A350</f>
        <v>0</v>
      </c>
      <c r="B350" s="4">
        <f>Pracownicy!B350</f>
        <v>0</v>
      </c>
      <c r="C350" s="4" t="e">
        <f ca="1">IF(A350="","",_xludf.LET(emp,A350,e,Zaangażowanie!$A$2:$A$501,ms,Zaangażowanie!$C$2:$C$501,sh,Zaangażowanie!$E$2:$E$501,msst,_xludf.XLOOKUP(ms,Milestones!$A$2:$A$501,Milestones!$G$2:$G$501,""),act,(msst="W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50" s="4" t="e">
        <f t="shared" ca="1" si="5"/>
        <v>#NAME?</v>
      </c>
    </row>
    <row r="351" spans="1:4" x14ac:dyDescent="0.25">
      <c r="A351" s="4">
        <f>Pracownicy!A351</f>
        <v>0</v>
      </c>
      <c r="B351" s="4">
        <f>Pracownicy!B351</f>
        <v>0</v>
      </c>
      <c r="C351" s="4" t="e">
        <f ca="1">IF(A351="","",_xludf.LET(emp,A351,e,Zaangażowanie!$A$2:$A$501,ms,Zaangażowanie!$C$2:$C$501,sh,Zaangażowanie!$E$2:$E$501,msst,_xludf.XLOOKUP(ms,Milestones!$A$2:$A$501,Milestones!$G$2:$G$501,""),act,(msst="W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51" s="4" t="e">
        <f t="shared" ca="1" si="5"/>
        <v>#NAME?</v>
      </c>
    </row>
    <row r="352" spans="1:4" x14ac:dyDescent="0.25">
      <c r="A352" s="4">
        <f>Pracownicy!A352</f>
        <v>0</v>
      </c>
      <c r="B352" s="4">
        <f>Pracownicy!B352</f>
        <v>0</v>
      </c>
      <c r="C352" s="4" t="e">
        <f ca="1">IF(A352="","",_xludf.LET(emp,A352,e,Zaangażowanie!$A$2:$A$501,ms,Zaangażowanie!$C$2:$C$501,sh,Zaangażowanie!$E$2:$E$501,msst,_xludf.XLOOKUP(ms,Milestones!$A$2:$A$501,Milestones!$G$2:$G$501,""),act,(msst="W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52" s="4" t="e">
        <f t="shared" ca="1" si="5"/>
        <v>#NAME?</v>
      </c>
    </row>
    <row r="353" spans="1:4" x14ac:dyDescent="0.25">
      <c r="A353" s="4">
        <f>Pracownicy!A353</f>
        <v>0</v>
      </c>
      <c r="B353" s="4">
        <f>Pracownicy!B353</f>
        <v>0</v>
      </c>
      <c r="C353" s="4" t="e">
        <f ca="1">IF(A353="","",_xludf.LET(emp,A353,e,Zaangażowanie!$A$2:$A$501,ms,Zaangażowanie!$C$2:$C$501,sh,Zaangażowanie!$E$2:$E$501,msst,_xludf.XLOOKUP(ms,Milestones!$A$2:$A$501,Milestones!$G$2:$G$501,""),act,(msst="W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53" s="4" t="e">
        <f t="shared" ca="1" si="5"/>
        <v>#NAME?</v>
      </c>
    </row>
    <row r="354" spans="1:4" x14ac:dyDescent="0.25">
      <c r="A354" s="4">
        <f>Pracownicy!A354</f>
        <v>0</v>
      </c>
      <c r="B354" s="4">
        <f>Pracownicy!B354</f>
        <v>0</v>
      </c>
      <c r="C354" s="4" t="e">
        <f ca="1">IF(A354="","",_xludf.LET(emp,A354,e,Zaangażowanie!$A$2:$A$501,ms,Zaangażowanie!$C$2:$C$501,sh,Zaangażowanie!$E$2:$E$501,msst,_xludf.XLOOKUP(ms,Milestones!$A$2:$A$501,Milestones!$G$2:$G$501,""),act,(msst="W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54" s="4" t="e">
        <f t="shared" ca="1" si="5"/>
        <v>#NAME?</v>
      </c>
    </row>
    <row r="355" spans="1:4" x14ac:dyDescent="0.25">
      <c r="A355" s="4">
        <f>Pracownicy!A355</f>
        <v>0</v>
      </c>
      <c r="B355" s="4">
        <f>Pracownicy!B355</f>
        <v>0</v>
      </c>
      <c r="C355" s="4" t="e">
        <f ca="1">IF(A355="","",_xludf.LET(emp,A355,e,Zaangażowanie!$A$2:$A$501,ms,Zaangażowanie!$C$2:$C$501,sh,Zaangażowanie!$E$2:$E$501,msst,_xludf.XLOOKUP(ms,Milestones!$A$2:$A$501,Milestones!$G$2:$G$501,""),act,(msst="W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55" s="4" t="e">
        <f t="shared" ca="1" si="5"/>
        <v>#NAME?</v>
      </c>
    </row>
    <row r="356" spans="1:4" x14ac:dyDescent="0.25">
      <c r="A356" s="4">
        <f>Pracownicy!A356</f>
        <v>0</v>
      </c>
      <c r="B356" s="4">
        <f>Pracownicy!B356</f>
        <v>0</v>
      </c>
      <c r="C356" s="4" t="e">
        <f ca="1">IF(A356="","",_xludf.LET(emp,A356,e,Zaangażowanie!$A$2:$A$501,ms,Zaangażowanie!$C$2:$C$501,sh,Zaangażowanie!$E$2:$E$501,msst,_xludf.XLOOKUP(ms,Milestones!$A$2:$A$501,Milestones!$G$2:$G$501,""),act,(msst="W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56" s="4" t="e">
        <f t="shared" ca="1" si="5"/>
        <v>#NAME?</v>
      </c>
    </row>
    <row r="357" spans="1:4" x14ac:dyDescent="0.25">
      <c r="A357" s="4">
        <f>Pracownicy!A357</f>
        <v>0</v>
      </c>
      <c r="B357" s="4">
        <f>Pracownicy!B357</f>
        <v>0</v>
      </c>
      <c r="C357" s="4" t="e">
        <f ca="1">IF(A357="","",_xludf.LET(emp,A357,e,Zaangażowanie!$A$2:$A$501,ms,Zaangażowanie!$C$2:$C$501,sh,Zaangażowanie!$E$2:$E$501,msst,_xludf.XLOOKUP(ms,Milestones!$A$2:$A$501,Milestones!$G$2:$G$501,""),act,(msst="W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57" s="4" t="e">
        <f t="shared" ca="1" si="5"/>
        <v>#NAME?</v>
      </c>
    </row>
    <row r="358" spans="1:4" x14ac:dyDescent="0.25">
      <c r="A358" s="4">
        <f>Pracownicy!A358</f>
        <v>0</v>
      </c>
      <c r="B358" s="4">
        <f>Pracownicy!B358</f>
        <v>0</v>
      </c>
      <c r="C358" s="4" t="e">
        <f ca="1">IF(A358="","",_xludf.LET(emp,A358,e,Zaangażowanie!$A$2:$A$501,ms,Zaangażowanie!$C$2:$C$501,sh,Zaangażowanie!$E$2:$E$501,msst,_xludf.XLOOKUP(ms,Milestones!$A$2:$A$501,Milestones!$G$2:$G$501,""),act,(msst="W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58" s="4" t="e">
        <f t="shared" ca="1" si="5"/>
        <v>#NAME?</v>
      </c>
    </row>
    <row r="359" spans="1:4" x14ac:dyDescent="0.25">
      <c r="A359" s="4">
        <f>Pracownicy!A359</f>
        <v>0</v>
      </c>
      <c r="B359" s="4">
        <f>Pracownicy!B359</f>
        <v>0</v>
      </c>
      <c r="C359" s="4" t="e">
        <f ca="1">IF(A359="","",_xludf.LET(emp,A359,e,Zaangażowanie!$A$2:$A$501,ms,Zaangażowanie!$C$2:$C$501,sh,Zaangażowanie!$E$2:$E$501,msst,_xludf.XLOOKUP(ms,Milestones!$A$2:$A$501,Milestones!$G$2:$G$501,""),act,(msst="W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59" s="4" t="e">
        <f t="shared" ca="1" si="5"/>
        <v>#NAME?</v>
      </c>
    </row>
    <row r="360" spans="1:4" x14ac:dyDescent="0.25">
      <c r="A360" s="4">
        <f>Pracownicy!A360</f>
        <v>0</v>
      </c>
      <c r="B360" s="4">
        <f>Pracownicy!B360</f>
        <v>0</v>
      </c>
      <c r="C360" s="4" t="e">
        <f ca="1">IF(A360="","",_xludf.LET(emp,A360,e,Zaangażowanie!$A$2:$A$501,ms,Zaangażowanie!$C$2:$C$501,sh,Zaangażowanie!$E$2:$E$501,msst,_xludf.XLOOKUP(ms,Milestones!$A$2:$A$501,Milestones!$G$2:$G$501,""),act,(msst="W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60" s="4" t="e">
        <f t="shared" ca="1" si="5"/>
        <v>#NAME?</v>
      </c>
    </row>
    <row r="361" spans="1:4" x14ac:dyDescent="0.25">
      <c r="A361" s="4">
        <f>Pracownicy!A361</f>
        <v>0</v>
      </c>
      <c r="B361" s="4">
        <f>Pracownicy!B361</f>
        <v>0</v>
      </c>
      <c r="C361" s="4" t="e">
        <f ca="1">IF(A361="","",_xludf.LET(emp,A361,e,Zaangażowanie!$A$2:$A$501,ms,Zaangażowanie!$C$2:$C$501,sh,Zaangażowanie!$E$2:$E$501,msst,_xludf.XLOOKUP(ms,Milestones!$A$2:$A$501,Milestones!$G$2:$G$501,""),act,(msst="W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61" s="4" t="e">
        <f t="shared" ca="1" si="5"/>
        <v>#NAME?</v>
      </c>
    </row>
    <row r="362" spans="1:4" x14ac:dyDescent="0.25">
      <c r="A362" s="4">
        <f>Pracownicy!A362</f>
        <v>0</v>
      </c>
      <c r="B362" s="4">
        <f>Pracownicy!B362</f>
        <v>0</v>
      </c>
      <c r="C362" s="4" t="e">
        <f ca="1">IF(A362="","",_xludf.LET(emp,A362,e,Zaangażowanie!$A$2:$A$501,ms,Zaangażowanie!$C$2:$C$501,sh,Zaangażowanie!$E$2:$E$501,msst,_xludf.XLOOKUP(ms,Milestones!$A$2:$A$501,Milestones!$G$2:$G$501,""),act,(msst="W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62" s="4" t="e">
        <f t="shared" ca="1" si="5"/>
        <v>#NAME?</v>
      </c>
    </row>
    <row r="363" spans="1:4" x14ac:dyDescent="0.25">
      <c r="A363" s="4">
        <f>Pracownicy!A363</f>
        <v>0</v>
      </c>
      <c r="B363" s="4">
        <f>Pracownicy!B363</f>
        <v>0</v>
      </c>
      <c r="C363" s="4" t="e">
        <f ca="1">IF(A363="","",_xludf.LET(emp,A363,e,Zaangażowanie!$A$2:$A$501,ms,Zaangażowanie!$C$2:$C$501,sh,Zaangażowanie!$E$2:$E$501,msst,_xludf.XLOOKUP(ms,Milestones!$A$2:$A$501,Milestones!$G$2:$G$501,""),act,(msst="W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63" s="4" t="e">
        <f t="shared" ca="1" si="5"/>
        <v>#NAME?</v>
      </c>
    </row>
    <row r="364" spans="1:4" x14ac:dyDescent="0.25">
      <c r="A364" s="4">
        <f>Pracownicy!A364</f>
        <v>0</v>
      </c>
      <c r="B364" s="4">
        <f>Pracownicy!B364</f>
        <v>0</v>
      </c>
      <c r="C364" s="4" t="e">
        <f ca="1">IF(A364="","",_xludf.LET(emp,A364,e,Zaangażowanie!$A$2:$A$501,ms,Zaangażowanie!$C$2:$C$501,sh,Zaangażowanie!$E$2:$E$501,msst,_xludf.XLOOKUP(ms,Milestones!$A$2:$A$501,Milestones!$G$2:$G$501,""),act,(msst="W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64" s="4" t="e">
        <f t="shared" ca="1" si="5"/>
        <v>#NAME?</v>
      </c>
    </row>
    <row r="365" spans="1:4" x14ac:dyDescent="0.25">
      <c r="A365" s="4">
        <f>Pracownicy!A365</f>
        <v>0</v>
      </c>
      <c r="B365" s="4">
        <f>Pracownicy!B365</f>
        <v>0</v>
      </c>
      <c r="C365" s="4" t="e">
        <f ca="1">IF(A365="","",_xludf.LET(emp,A365,e,Zaangażowanie!$A$2:$A$501,ms,Zaangażowanie!$C$2:$C$501,sh,Zaangażowanie!$E$2:$E$501,msst,_xludf.XLOOKUP(ms,Milestones!$A$2:$A$501,Milestones!$G$2:$G$501,""),act,(msst="W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65" s="4" t="e">
        <f t="shared" ca="1" si="5"/>
        <v>#NAME?</v>
      </c>
    </row>
    <row r="366" spans="1:4" x14ac:dyDescent="0.25">
      <c r="A366" s="4">
        <f>Pracownicy!A366</f>
        <v>0</v>
      </c>
      <c r="B366" s="4">
        <f>Pracownicy!B366</f>
        <v>0</v>
      </c>
      <c r="C366" s="4" t="e">
        <f ca="1">IF(A366="","",_xludf.LET(emp,A366,e,Zaangażowanie!$A$2:$A$501,ms,Zaangażowanie!$C$2:$C$501,sh,Zaangażowanie!$E$2:$E$501,msst,_xludf.XLOOKUP(ms,Milestones!$A$2:$A$501,Milestones!$G$2:$G$501,""),act,(msst="W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66" s="4" t="e">
        <f t="shared" ca="1" si="5"/>
        <v>#NAME?</v>
      </c>
    </row>
    <row r="367" spans="1:4" x14ac:dyDescent="0.25">
      <c r="A367" s="4">
        <f>Pracownicy!A367</f>
        <v>0</v>
      </c>
      <c r="B367" s="4">
        <f>Pracownicy!B367</f>
        <v>0</v>
      </c>
      <c r="C367" s="4" t="e">
        <f ca="1">IF(A367="","",_xludf.LET(emp,A367,e,Zaangażowanie!$A$2:$A$501,ms,Zaangażowanie!$C$2:$C$501,sh,Zaangażowanie!$E$2:$E$501,msst,_xludf.XLOOKUP(ms,Milestones!$A$2:$A$501,Milestones!$G$2:$G$501,""),act,(msst="W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67" s="4" t="e">
        <f t="shared" ca="1" si="5"/>
        <v>#NAME?</v>
      </c>
    </row>
    <row r="368" spans="1:4" x14ac:dyDescent="0.25">
      <c r="A368" s="4">
        <f>Pracownicy!A368</f>
        <v>0</v>
      </c>
      <c r="B368" s="4">
        <f>Pracownicy!B368</f>
        <v>0</v>
      </c>
      <c r="C368" s="4" t="e">
        <f ca="1">IF(A368="","",_xludf.LET(emp,A368,e,Zaangażowanie!$A$2:$A$501,ms,Zaangażowanie!$C$2:$C$501,sh,Zaangażowanie!$E$2:$E$501,msst,_xludf.XLOOKUP(ms,Milestones!$A$2:$A$501,Milestones!$G$2:$G$501,""),act,(msst="W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68" s="4" t="e">
        <f t="shared" ca="1" si="5"/>
        <v>#NAME?</v>
      </c>
    </row>
    <row r="369" spans="1:4" x14ac:dyDescent="0.25">
      <c r="A369" s="4">
        <f>Pracownicy!A369</f>
        <v>0</v>
      </c>
      <c r="B369" s="4">
        <f>Pracownicy!B369</f>
        <v>0</v>
      </c>
      <c r="C369" s="4" t="e">
        <f ca="1">IF(A369="","",_xludf.LET(emp,A369,e,Zaangażowanie!$A$2:$A$501,ms,Zaangażowanie!$C$2:$C$501,sh,Zaangażowanie!$E$2:$E$501,msst,_xludf.XLOOKUP(ms,Milestones!$A$2:$A$501,Milestones!$G$2:$G$501,""),act,(msst="W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69" s="4" t="e">
        <f t="shared" ca="1" si="5"/>
        <v>#NAME?</v>
      </c>
    </row>
    <row r="370" spans="1:4" x14ac:dyDescent="0.25">
      <c r="A370" s="4">
        <f>Pracownicy!A370</f>
        <v>0</v>
      </c>
      <c r="B370" s="4">
        <f>Pracownicy!B370</f>
        <v>0</v>
      </c>
      <c r="C370" s="4" t="e">
        <f ca="1">IF(A370="","",_xludf.LET(emp,A370,e,Zaangażowanie!$A$2:$A$501,ms,Zaangażowanie!$C$2:$C$501,sh,Zaangażowanie!$E$2:$E$501,msst,_xludf.XLOOKUP(ms,Milestones!$A$2:$A$501,Milestones!$G$2:$G$501,""),act,(msst="W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70" s="4" t="e">
        <f t="shared" ca="1" si="5"/>
        <v>#NAME?</v>
      </c>
    </row>
    <row r="371" spans="1:4" x14ac:dyDescent="0.25">
      <c r="A371" s="4">
        <f>Pracownicy!A371</f>
        <v>0</v>
      </c>
      <c r="B371" s="4">
        <f>Pracownicy!B371</f>
        <v>0</v>
      </c>
      <c r="C371" s="4" t="e">
        <f ca="1">IF(A371="","",_xludf.LET(emp,A371,e,Zaangażowanie!$A$2:$A$501,ms,Zaangażowanie!$C$2:$C$501,sh,Zaangażowanie!$E$2:$E$501,msst,_xludf.XLOOKUP(ms,Milestones!$A$2:$A$501,Milestones!$G$2:$G$501,""),act,(msst="W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71" s="4" t="e">
        <f t="shared" ca="1" si="5"/>
        <v>#NAME?</v>
      </c>
    </row>
    <row r="372" spans="1:4" x14ac:dyDescent="0.25">
      <c r="A372" s="4">
        <f>Pracownicy!A372</f>
        <v>0</v>
      </c>
      <c r="B372" s="4">
        <f>Pracownicy!B372</f>
        <v>0</v>
      </c>
      <c r="C372" s="4" t="e">
        <f ca="1">IF(A372="","",_xludf.LET(emp,A372,e,Zaangażowanie!$A$2:$A$501,ms,Zaangażowanie!$C$2:$C$501,sh,Zaangażowanie!$E$2:$E$501,msst,_xludf.XLOOKUP(ms,Milestones!$A$2:$A$501,Milestones!$G$2:$G$501,""),act,(msst="W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72" s="4" t="e">
        <f t="shared" ca="1" si="5"/>
        <v>#NAME?</v>
      </c>
    </row>
    <row r="373" spans="1:4" x14ac:dyDescent="0.25">
      <c r="A373" s="4">
        <f>Pracownicy!A373</f>
        <v>0</v>
      </c>
      <c r="B373" s="4">
        <f>Pracownicy!B373</f>
        <v>0</v>
      </c>
      <c r="C373" s="4" t="e">
        <f ca="1">IF(A373="","",_xludf.LET(emp,A373,e,Zaangażowanie!$A$2:$A$501,ms,Zaangażowanie!$C$2:$C$501,sh,Zaangażowanie!$E$2:$E$501,msst,_xludf.XLOOKUP(ms,Milestones!$A$2:$A$501,Milestones!$G$2:$G$501,""),act,(msst="W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73" s="4" t="e">
        <f t="shared" ca="1" si="5"/>
        <v>#NAME?</v>
      </c>
    </row>
    <row r="374" spans="1:4" x14ac:dyDescent="0.25">
      <c r="A374" s="4">
        <f>Pracownicy!A374</f>
        <v>0</v>
      </c>
      <c r="B374" s="4">
        <f>Pracownicy!B374</f>
        <v>0</v>
      </c>
      <c r="C374" s="4" t="e">
        <f ca="1">IF(A374="","",_xludf.LET(emp,A374,e,Zaangażowanie!$A$2:$A$501,ms,Zaangażowanie!$C$2:$C$501,sh,Zaangażowanie!$E$2:$E$501,msst,_xludf.XLOOKUP(ms,Milestones!$A$2:$A$501,Milestones!$G$2:$G$501,""),act,(msst="W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74" s="4" t="e">
        <f t="shared" ca="1" si="5"/>
        <v>#NAME?</v>
      </c>
    </row>
    <row r="375" spans="1:4" x14ac:dyDescent="0.25">
      <c r="A375" s="4">
        <f>Pracownicy!A375</f>
        <v>0</v>
      </c>
      <c r="B375" s="4">
        <f>Pracownicy!B375</f>
        <v>0</v>
      </c>
      <c r="C375" s="4" t="e">
        <f ca="1">IF(A375="","",_xludf.LET(emp,A375,e,Zaangażowanie!$A$2:$A$501,ms,Zaangażowanie!$C$2:$C$501,sh,Zaangażowanie!$E$2:$E$501,msst,_xludf.XLOOKUP(ms,Milestones!$A$2:$A$501,Milestones!$G$2:$G$501,""),act,(msst="W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75" s="4" t="e">
        <f t="shared" ca="1" si="5"/>
        <v>#NAME?</v>
      </c>
    </row>
    <row r="376" spans="1:4" x14ac:dyDescent="0.25">
      <c r="A376" s="4">
        <f>Pracownicy!A376</f>
        <v>0</v>
      </c>
      <c r="B376" s="4">
        <f>Pracownicy!B376</f>
        <v>0</v>
      </c>
      <c r="C376" s="4" t="e">
        <f ca="1">IF(A376="","",_xludf.LET(emp,A376,e,Zaangażowanie!$A$2:$A$501,ms,Zaangażowanie!$C$2:$C$501,sh,Zaangażowanie!$E$2:$E$501,msst,_xludf.XLOOKUP(ms,Milestones!$A$2:$A$501,Milestones!$G$2:$G$501,""),act,(msst="W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76" s="4" t="e">
        <f t="shared" ca="1" si="5"/>
        <v>#NAME?</v>
      </c>
    </row>
    <row r="377" spans="1:4" x14ac:dyDescent="0.25">
      <c r="A377" s="4">
        <f>Pracownicy!A377</f>
        <v>0</v>
      </c>
      <c r="B377" s="4">
        <f>Pracownicy!B377</f>
        <v>0</v>
      </c>
      <c r="C377" s="4" t="e">
        <f ca="1">IF(A377="","",_xludf.LET(emp,A377,e,Zaangażowanie!$A$2:$A$501,ms,Zaangażowanie!$C$2:$C$501,sh,Zaangażowanie!$E$2:$E$501,msst,_xludf.XLOOKUP(ms,Milestones!$A$2:$A$501,Milestones!$G$2:$G$501,""),act,(msst="W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77" s="4" t="e">
        <f t="shared" ca="1" si="5"/>
        <v>#NAME?</v>
      </c>
    </row>
    <row r="378" spans="1:4" x14ac:dyDescent="0.25">
      <c r="A378" s="4">
        <f>Pracownicy!A378</f>
        <v>0</v>
      </c>
      <c r="B378" s="4">
        <f>Pracownicy!B378</f>
        <v>0</v>
      </c>
      <c r="C378" s="4" t="e">
        <f ca="1">IF(A378="","",_xludf.LET(emp,A378,e,Zaangażowanie!$A$2:$A$501,ms,Zaangażowanie!$C$2:$C$501,sh,Zaangażowanie!$E$2:$E$501,msst,_xludf.XLOOKUP(ms,Milestones!$A$2:$A$501,Milestones!$G$2:$G$501,""),act,(msst="W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78" s="4" t="e">
        <f t="shared" ca="1" si="5"/>
        <v>#NAME?</v>
      </c>
    </row>
    <row r="379" spans="1:4" x14ac:dyDescent="0.25">
      <c r="A379" s="4">
        <f>Pracownicy!A379</f>
        <v>0</v>
      </c>
      <c r="B379" s="4">
        <f>Pracownicy!B379</f>
        <v>0</v>
      </c>
      <c r="C379" s="4" t="e">
        <f ca="1">IF(A379="","",_xludf.LET(emp,A379,e,Zaangażowanie!$A$2:$A$501,ms,Zaangażowanie!$C$2:$C$501,sh,Zaangażowanie!$E$2:$E$501,msst,_xludf.XLOOKUP(ms,Milestones!$A$2:$A$501,Milestones!$G$2:$G$501,""),act,(msst="W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79" s="4" t="e">
        <f t="shared" ca="1" si="5"/>
        <v>#NAME?</v>
      </c>
    </row>
    <row r="380" spans="1:4" x14ac:dyDescent="0.25">
      <c r="A380" s="4">
        <f>Pracownicy!A380</f>
        <v>0</v>
      </c>
      <c r="B380" s="4">
        <f>Pracownicy!B380</f>
        <v>0</v>
      </c>
      <c r="C380" s="4" t="e">
        <f ca="1">IF(A380="","",_xludf.LET(emp,A380,e,Zaangażowanie!$A$2:$A$501,ms,Zaangażowanie!$C$2:$C$501,sh,Zaangażowanie!$E$2:$E$501,msst,_xludf.XLOOKUP(ms,Milestones!$A$2:$A$501,Milestones!$G$2:$G$501,""),act,(msst="W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80" s="4" t="e">
        <f t="shared" ca="1" si="5"/>
        <v>#NAME?</v>
      </c>
    </row>
    <row r="381" spans="1:4" x14ac:dyDescent="0.25">
      <c r="A381" s="4">
        <f>Pracownicy!A381</f>
        <v>0</v>
      </c>
      <c r="B381" s="4">
        <f>Pracownicy!B381</f>
        <v>0</v>
      </c>
      <c r="C381" s="4" t="e">
        <f ca="1">IF(A381="","",_xludf.LET(emp,A381,e,Zaangażowanie!$A$2:$A$501,ms,Zaangażowanie!$C$2:$C$501,sh,Zaangażowanie!$E$2:$E$501,msst,_xludf.XLOOKUP(ms,Milestones!$A$2:$A$501,Milestones!$G$2:$G$501,""),act,(msst="W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81" s="4" t="e">
        <f t="shared" ca="1" si="5"/>
        <v>#NAME?</v>
      </c>
    </row>
    <row r="382" spans="1:4" x14ac:dyDescent="0.25">
      <c r="A382" s="4">
        <f>Pracownicy!A382</f>
        <v>0</v>
      </c>
      <c r="B382" s="4">
        <f>Pracownicy!B382</f>
        <v>0</v>
      </c>
      <c r="C382" s="4" t="e">
        <f ca="1">IF(A382="","",_xludf.LET(emp,A382,e,Zaangażowanie!$A$2:$A$501,ms,Zaangażowanie!$C$2:$C$501,sh,Zaangażowanie!$E$2:$E$501,msst,_xludf.XLOOKUP(ms,Milestones!$A$2:$A$501,Milestones!$G$2:$G$501,""),act,(msst="W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82" s="4" t="e">
        <f t="shared" ca="1" si="5"/>
        <v>#NAME?</v>
      </c>
    </row>
    <row r="383" spans="1:4" x14ac:dyDescent="0.25">
      <c r="A383" s="4">
        <f>Pracownicy!A383</f>
        <v>0</v>
      </c>
      <c r="B383" s="4">
        <f>Pracownicy!B383</f>
        <v>0</v>
      </c>
      <c r="C383" s="4" t="e">
        <f ca="1">IF(A383="","",_xludf.LET(emp,A383,e,Zaangażowanie!$A$2:$A$501,ms,Zaangażowanie!$C$2:$C$501,sh,Zaangażowanie!$E$2:$E$501,msst,_xludf.XLOOKUP(ms,Milestones!$A$2:$A$501,Milestones!$G$2:$G$501,""),act,(msst="W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83" s="4" t="e">
        <f t="shared" ca="1" si="5"/>
        <v>#NAME?</v>
      </c>
    </row>
    <row r="384" spans="1:4" x14ac:dyDescent="0.25">
      <c r="A384" s="4">
        <f>Pracownicy!A384</f>
        <v>0</v>
      </c>
      <c r="B384" s="4">
        <f>Pracownicy!B384</f>
        <v>0</v>
      </c>
      <c r="C384" s="4" t="e">
        <f ca="1">IF(A384="","",_xludf.LET(emp,A384,e,Zaangażowanie!$A$2:$A$501,ms,Zaangażowanie!$C$2:$C$501,sh,Zaangażowanie!$E$2:$E$501,msst,_xludf.XLOOKUP(ms,Milestones!$A$2:$A$501,Milestones!$G$2:$G$501,""),act,(msst="W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84" s="4" t="e">
        <f t="shared" ca="1" si="5"/>
        <v>#NAME?</v>
      </c>
    </row>
    <row r="385" spans="1:4" x14ac:dyDescent="0.25">
      <c r="A385" s="4">
        <f>Pracownicy!A385</f>
        <v>0</v>
      </c>
      <c r="B385" s="4">
        <f>Pracownicy!B385</f>
        <v>0</v>
      </c>
      <c r="C385" s="4" t="e">
        <f ca="1">IF(A385="","",_xludf.LET(emp,A385,e,Zaangażowanie!$A$2:$A$501,ms,Zaangażowanie!$C$2:$C$501,sh,Zaangażowanie!$E$2:$E$501,msst,_xludf.XLOOKUP(ms,Milestones!$A$2:$A$501,Milestones!$G$2:$G$501,""),act,(msst="W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85" s="4" t="e">
        <f t="shared" ca="1" si="5"/>
        <v>#NAME?</v>
      </c>
    </row>
    <row r="386" spans="1:4" x14ac:dyDescent="0.25">
      <c r="A386" s="4">
        <f>Pracownicy!A386</f>
        <v>0</v>
      </c>
      <c r="B386" s="4">
        <f>Pracownicy!B386</f>
        <v>0</v>
      </c>
      <c r="C386" s="4" t="e">
        <f ca="1">IF(A386="","",_xludf.LET(emp,A386,e,Zaangażowanie!$A$2:$A$501,ms,Zaangażowanie!$C$2:$C$501,sh,Zaangażowanie!$E$2:$E$501,msst,_xludf.XLOOKUP(ms,Milestones!$A$2:$A$501,Milestones!$G$2:$G$501,""),act,(msst="W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86" s="4" t="e">
        <f t="shared" ref="D386:D449" ca="1" si="6">IF(A386="","",IF(C386&lt;=1,"OK","NIE"))</f>
        <v>#NAME?</v>
      </c>
    </row>
    <row r="387" spans="1:4" x14ac:dyDescent="0.25">
      <c r="A387" s="4">
        <f>Pracownicy!A387</f>
        <v>0</v>
      </c>
      <c r="B387" s="4">
        <f>Pracownicy!B387</f>
        <v>0</v>
      </c>
      <c r="C387" s="4" t="e">
        <f ca="1">IF(A387="","",_xludf.LET(emp,A387,e,Zaangażowanie!$A$2:$A$501,ms,Zaangażowanie!$C$2:$C$501,sh,Zaangażowanie!$E$2:$E$501,msst,_xludf.XLOOKUP(ms,Milestones!$A$2:$A$501,Milestones!$G$2:$G$501,""),act,(msst="W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87" s="4" t="e">
        <f t="shared" ca="1" si="6"/>
        <v>#NAME?</v>
      </c>
    </row>
    <row r="388" spans="1:4" x14ac:dyDescent="0.25">
      <c r="A388" s="4">
        <f>Pracownicy!A388</f>
        <v>0</v>
      </c>
      <c r="B388" s="4">
        <f>Pracownicy!B388</f>
        <v>0</v>
      </c>
      <c r="C388" s="4" t="e">
        <f ca="1">IF(A388="","",_xludf.LET(emp,A388,e,Zaangażowanie!$A$2:$A$501,ms,Zaangażowanie!$C$2:$C$501,sh,Zaangażowanie!$E$2:$E$501,msst,_xludf.XLOOKUP(ms,Milestones!$A$2:$A$501,Milestones!$G$2:$G$501,""),act,(msst="W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88" s="4" t="e">
        <f t="shared" ca="1" si="6"/>
        <v>#NAME?</v>
      </c>
    </row>
    <row r="389" spans="1:4" x14ac:dyDescent="0.25">
      <c r="A389" s="4">
        <f>Pracownicy!A389</f>
        <v>0</v>
      </c>
      <c r="B389" s="4">
        <f>Pracownicy!B389</f>
        <v>0</v>
      </c>
      <c r="C389" s="4" t="e">
        <f ca="1">IF(A389="","",_xludf.LET(emp,A389,e,Zaangażowanie!$A$2:$A$501,ms,Zaangażowanie!$C$2:$C$501,sh,Zaangażowanie!$E$2:$E$501,msst,_xludf.XLOOKUP(ms,Milestones!$A$2:$A$501,Milestones!$G$2:$G$501,""),act,(msst="W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89" s="4" t="e">
        <f t="shared" ca="1" si="6"/>
        <v>#NAME?</v>
      </c>
    </row>
    <row r="390" spans="1:4" x14ac:dyDescent="0.25">
      <c r="A390" s="4">
        <f>Pracownicy!A390</f>
        <v>0</v>
      </c>
      <c r="B390" s="4">
        <f>Pracownicy!B390</f>
        <v>0</v>
      </c>
      <c r="C390" s="4" t="e">
        <f ca="1">IF(A390="","",_xludf.LET(emp,A390,e,Zaangażowanie!$A$2:$A$501,ms,Zaangażowanie!$C$2:$C$501,sh,Zaangażowanie!$E$2:$E$501,msst,_xludf.XLOOKUP(ms,Milestones!$A$2:$A$501,Milestones!$G$2:$G$501,""),act,(msst="W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90" s="4" t="e">
        <f t="shared" ca="1" si="6"/>
        <v>#NAME?</v>
      </c>
    </row>
    <row r="391" spans="1:4" x14ac:dyDescent="0.25">
      <c r="A391" s="4">
        <f>Pracownicy!A391</f>
        <v>0</v>
      </c>
      <c r="B391" s="4">
        <f>Pracownicy!B391</f>
        <v>0</v>
      </c>
      <c r="C391" s="4" t="e">
        <f ca="1">IF(A391="","",_xludf.LET(emp,A391,e,Zaangażowanie!$A$2:$A$501,ms,Zaangażowanie!$C$2:$C$501,sh,Zaangażowanie!$E$2:$E$501,msst,_xludf.XLOOKUP(ms,Milestones!$A$2:$A$501,Milestones!$G$2:$G$501,""),act,(msst="W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91" s="4" t="e">
        <f t="shared" ca="1" si="6"/>
        <v>#NAME?</v>
      </c>
    </row>
    <row r="392" spans="1:4" x14ac:dyDescent="0.25">
      <c r="A392" s="4">
        <f>Pracownicy!A392</f>
        <v>0</v>
      </c>
      <c r="B392" s="4">
        <f>Pracownicy!B392</f>
        <v>0</v>
      </c>
      <c r="C392" s="4" t="e">
        <f ca="1">IF(A392="","",_xludf.LET(emp,A392,e,Zaangażowanie!$A$2:$A$501,ms,Zaangażowanie!$C$2:$C$501,sh,Zaangażowanie!$E$2:$E$501,msst,_xludf.XLOOKUP(ms,Milestones!$A$2:$A$501,Milestones!$G$2:$G$501,""),act,(msst="W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92" s="4" t="e">
        <f t="shared" ca="1" si="6"/>
        <v>#NAME?</v>
      </c>
    </row>
    <row r="393" spans="1:4" x14ac:dyDescent="0.25">
      <c r="A393" s="4">
        <f>Pracownicy!A393</f>
        <v>0</v>
      </c>
      <c r="B393" s="4">
        <f>Pracownicy!B393</f>
        <v>0</v>
      </c>
      <c r="C393" s="4" t="e">
        <f ca="1">IF(A393="","",_xludf.LET(emp,A393,e,Zaangażowanie!$A$2:$A$501,ms,Zaangażowanie!$C$2:$C$501,sh,Zaangażowanie!$E$2:$E$501,msst,_xludf.XLOOKUP(ms,Milestones!$A$2:$A$501,Milestones!$G$2:$G$501,""),act,(msst="W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93" s="4" t="e">
        <f t="shared" ca="1" si="6"/>
        <v>#NAME?</v>
      </c>
    </row>
    <row r="394" spans="1:4" x14ac:dyDescent="0.25">
      <c r="A394" s="4">
        <f>Pracownicy!A394</f>
        <v>0</v>
      </c>
      <c r="B394" s="4">
        <f>Pracownicy!B394</f>
        <v>0</v>
      </c>
      <c r="C394" s="4" t="e">
        <f ca="1">IF(A394="","",_xludf.LET(emp,A394,e,Zaangażowanie!$A$2:$A$501,ms,Zaangażowanie!$C$2:$C$501,sh,Zaangażowanie!$E$2:$E$501,msst,_xludf.XLOOKUP(ms,Milestones!$A$2:$A$501,Milestones!$G$2:$G$501,""),act,(msst="W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94" s="4" t="e">
        <f t="shared" ca="1" si="6"/>
        <v>#NAME?</v>
      </c>
    </row>
    <row r="395" spans="1:4" x14ac:dyDescent="0.25">
      <c r="A395" s="4">
        <f>Pracownicy!A395</f>
        <v>0</v>
      </c>
      <c r="B395" s="4">
        <f>Pracownicy!B395</f>
        <v>0</v>
      </c>
      <c r="C395" s="4" t="e">
        <f ca="1">IF(A395="","",_xludf.LET(emp,A395,e,Zaangażowanie!$A$2:$A$501,ms,Zaangażowanie!$C$2:$C$501,sh,Zaangażowanie!$E$2:$E$501,msst,_xludf.XLOOKUP(ms,Milestones!$A$2:$A$501,Milestones!$G$2:$G$501,""),act,(msst="W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95" s="4" t="e">
        <f t="shared" ca="1" si="6"/>
        <v>#NAME?</v>
      </c>
    </row>
    <row r="396" spans="1:4" x14ac:dyDescent="0.25">
      <c r="A396" s="4">
        <f>Pracownicy!A396</f>
        <v>0</v>
      </c>
      <c r="B396" s="4">
        <f>Pracownicy!B396</f>
        <v>0</v>
      </c>
      <c r="C396" s="4" t="e">
        <f ca="1">IF(A396="","",_xludf.LET(emp,A396,e,Zaangażowanie!$A$2:$A$501,ms,Zaangażowanie!$C$2:$C$501,sh,Zaangażowanie!$E$2:$E$501,msst,_xludf.XLOOKUP(ms,Milestones!$A$2:$A$501,Milestones!$G$2:$G$501,""),act,(msst="W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96" s="4" t="e">
        <f t="shared" ca="1" si="6"/>
        <v>#NAME?</v>
      </c>
    </row>
    <row r="397" spans="1:4" x14ac:dyDescent="0.25">
      <c r="A397" s="4">
        <f>Pracownicy!A397</f>
        <v>0</v>
      </c>
      <c r="B397" s="4">
        <f>Pracownicy!B397</f>
        <v>0</v>
      </c>
      <c r="C397" s="4" t="e">
        <f ca="1">IF(A397="","",_xludf.LET(emp,A397,e,Zaangażowanie!$A$2:$A$501,ms,Zaangażowanie!$C$2:$C$501,sh,Zaangażowanie!$E$2:$E$501,msst,_xludf.XLOOKUP(ms,Milestones!$A$2:$A$501,Milestones!$G$2:$G$501,""),act,(msst="W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97" s="4" t="e">
        <f t="shared" ca="1" si="6"/>
        <v>#NAME?</v>
      </c>
    </row>
    <row r="398" spans="1:4" x14ac:dyDescent="0.25">
      <c r="A398" s="4">
        <f>Pracownicy!A398</f>
        <v>0</v>
      </c>
      <c r="B398" s="4">
        <f>Pracownicy!B398</f>
        <v>0</v>
      </c>
      <c r="C398" s="4" t="e">
        <f ca="1">IF(A398="","",_xludf.LET(emp,A398,e,Zaangażowanie!$A$2:$A$501,ms,Zaangażowanie!$C$2:$C$501,sh,Zaangażowanie!$E$2:$E$501,msst,_xludf.XLOOKUP(ms,Milestones!$A$2:$A$501,Milestones!$G$2:$G$501,""),act,(msst="W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98" s="4" t="e">
        <f t="shared" ca="1" si="6"/>
        <v>#NAME?</v>
      </c>
    </row>
    <row r="399" spans="1:4" x14ac:dyDescent="0.25">
      <c r="A399" s="4">
        <f>Pracownicy!A399</f>
        <v>0</v>
      </c>
      <c r="B399" s="4">
        <f>Pracownicy!B399</f>
        <v>0</v>
      </c>
      <c r="C399" s="4" t="e">
        <f ca="1">IF(A399="","",_xludf.LET(emp,A399,e,Zaangażowanie!$A$2:$A$501,ms,Zaangażowanie!$C$2:$C$501,sh,Zaangażowanie!$E$2:$E$501,msst,_xludf.XLOOKUP(ms,Milestones!$A$2:$A$501,Milestones!$G$2:$G$501,""),act,(msst="W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399" s="4" t="e">
        <f t="shared" ca="1" si="6"/>
        <v>#NAME?</v>
      </c>
    </row>
    <row r="400" spans="1:4" x14ac:dyDescent="0.25">
      <c r="A400" s="4">
        <f>Pracownicy!A400</f>
        <v>0</v>
      </c>
      <c r="B400" s="4">
        <f>Pracownicy!B400</f>
        <v>0</v>
      </c>
      <c r="C400" s="4" t="e">
        <f ca="1">IF(A400="","",_xludf.LET(emp,A400,e,Zaangażowanie!$A$2:$A$501,ms,Zaangażowanie!$C$2:$C$501,sh,Zaangażowanie!$E$2:$E$501,msst,_xludf.XLOOKUP(ms,Milestones!$A$2:$A$501,Milestones!$G$2:$G$501,""),act,(msst="W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00" s="4" t="e">
        <f t="shared" ca="1" si="6"/>
        <v>#NAME?</v>
      </c>
    </row>
    <row r="401" spans="1:4" x14ac:dyDescent="0.25">
      <c r="A401" s="4">
        <f>Pracownicy!A401</f>
        <v>0</v>
      </c>
      <c r="B401" s="4">
        <f>Pracownicy!B401</f>
        <v>0</v>
      </c>
      <c r="C401" s="4" t="e">
        <f ca="1">IF(A401="","",_xludf.LET(emp,A401,e,Zaangażowanie!$A$2:$A$501,ms,Zaangażowanie!$C$2:$C$501,sh,Zaangażowanie!$E$2:$E$501,msst,_xludf.XLOOKUP(ms,Milestones!$A$2:$A$501,Milestones!$G$2:$G$501,""),act,(msst="W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01" s="4" t="e">
        <f t="shared" ca="1" si="6"/>
        <v>#NAME?</v>
      </c>
    </row>
    <row r="402" spans="1:4" x14ac:dyDescent="0.25">
      <c r="A402" s="4">
        <f>Pracownicy!A402</f>
        <v>0</v>
      </c>
      <c r="B402" s="4">
        <f>Pracownicy!B402</f>
        <v>0</v>
      </c>
      <c r="C402" s="4" t="e">
        <f ca="1">IF(A402="","",_xludf.LET(emp,A402,e,Zaangażowanie!$A$2:$A$501,ms,Zaangażowanie!$C$2:$C$501,sh,Zaangażowanie!$E$2:$E$501,msst,_xludf.XLOOKUP(ms,Milestones!$A$2:$A$501,Milestones!$G$2:$G$501,""),act,(msst="W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02" s="4" t="e">
        <f t="shared" ca="1" si="6"/>
        <v>#NAME?</v>
      </c>
    </row>
    <row r="403" spans="1:4" x14ac:dyDescent="0.25">
      <c r="A403" s="4">
        <f>Pracownicy!A403</f>
        <v>0</v>
      </c>
      <c r="B403" s="4">
        <f>Pracownicy!B403</f>
        <v>0</v>
      </c>
      <c r="C403" s="4" t="e">
        <f ca="1">IF(A403="","",_xludf.LET(emp,A403,e,Zaangażowanie!$A$2:$A$501,ms,Zaangażowanie!$C$2:$C$501,sh,Zaangażowanie!$E$2:$E$501,msst,_xludf.XLOOKUP(ms,Milestones!$A$2:$A$501,Milestones!$G$2:$G$501,""),act,(msst="W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03" s="4" t="e">
        <f t="shared" ca="1" si="6"/>
        <v>#NAME?</v>
      </c>
    </row>
    <row r="404" spans="1:4" x14ac:dyDescent="0.25">
      <c r="A404" s="4">
        <f>Pracownicy!A404</f>
        <v>0</v>
      </c>
      <c r="B404" s="4">
        <f>Pracownicy!B404</f>
        <v>0</v>
      </c>
      <c r="C404" s="4" t="e">
        <f ca="1">IF(A404="","",_xludf.LET(emp,A404,e,Zaangażowanie!$A$2:$A$501,ms,Zaangażowanie!$C$2:$C$501,sh,Zaangażowanie!$E$2:$E$501,msst,_xludf.XLOOKUP(ms,Milestones!$A$2:$A$501,Milestones!$G$2:$G$501,""),act,(msst="W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04" s="4" t="e">
        <f t="shared" ca="1" si="6"/>
        <v>#NAME?</v>
      </c>
    </row>
    <row r="405" spans="1:4" x14ac:dyDescent="0.25">
      <c r="A405" s="4">
        <f>Pracownicy!A405</f>
        <v>0</v>
      </c>
      <c r="B405" s="4">
        <f>Pracownicy!B405</f>
        <v>0</v>
      </c>
      <c r="C405" s="4" t="e">
        <f ca="1">IF(A405="","",_xludf.LET(emp,A405,e,Zaangażowanie!$A$2:$A$501,ms,Zaangażowanie!$C$2:$C$501,sh,Zaangażowanie!$E$2:$E$501,msst,_xludf.XLOOKUP(ms,Milestones!$A$2:$A$501,Milestones!$G$2:$G$501,""),act,(msst="W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05" s="4" t="e">
        <f t="shared" ca="1" si="6"/>
        <v>#NAME?</v>
      </c>
    </row>
    <row r="406" spans="1:4" x14ac:dyDescent="0.25">
      <c r="A406" s="4">
        <f>Pracownicy!A406</f>
        <v>0</v>
      </c>
      <c r="B406" s="4">
        <f>Pracownicy!B406</f>
        <v>0</v>
      </c>
      <c r="C406" s="4" t="e">
        <f ca="1">IF(A406="","",_xludf.LET(emp,A406,e,Zaangażowanie!$A$2:$A$501,ms,Zaangażowanie!$C$2:$C$501,sh,Zaangażowanie!$E$2:$E$501,msst,_xludf.XLOOKUP(ms,Milestones!$A$2:$A$501,Milestones!$G$2:$G$501,""),act,(msst="W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06" s="4" t="e">
        <f t="shared" ca="1" si="6"/>
        <v>#NAME?</v>
      </c>
    </row>
    <row r="407" spans="1:4" x14ac:dyDescent="0.25">
      <c r="A407" s="4">
        <f>Pracownicy!A407</f>
        <v>0</v>
      </c>
      <c r="B407" s="4">
        <f>Pracownicy!B407</f>
        <v>0</v>
      </c>
      <c r="C407" s="4" t="e">
        <f ca="1">IF(A407="","",_xludf.LET(emp,A407,e,Zaangażowanie!$A$2:$A$501,ms,Zaangażowanie!$C$2:$C$501,sh,Zaangażowanie!$E$2:$E$501,msst,_xludf.XLOOKUP(ms,Milestones!$A$2:$A$501,Milestones!$G$2:$G$501,""),act,(msst="W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07" s="4" t="e">
        <f t="shared" ca="1" si="6"/>
        <v>#NAME?</v>
      </c>
    </row>
    <row r="408" spans="1:4" x14ac:dyDescent="0.25">
      <c r="A408" s="4">
        <f>Pracownicy!A408</f>
        <v>0</v>
      </c>
      <c r="B408" s="4">
        <f>Pracownicy!B408</f>
        <v>0</v>
      </c>
      <c r="C408" s="4" t="e">
        <f ca="1">IF(A408="","",_xludf.LET(emp,A408,e,Zaangażowanie!$A$2:$A$501,ms,Zaangażowanie!$C$2:$C$501,sh,Zaangażowanie!$E$2:$E$501,msst,_xludf.XLOOKUP(ms,Milestones!$A$2:$A$501,Milestones!$G$2:$G$501,""),act,(msst="W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08" s="4" t="e">
        <f t="shared" ca="1" si="6"/>
        <v>#NAME?</v>
      </c>
    </row>
    <row r="409" spans="1:4" x14ac:dyDescent="0.25">
      <c r="A409" s="4">
        <f>Pracownicy!A409</f>
        <v>0</v>
      </c>
      <c r="B409" s="4">
        <f>Pracownicy!B409</f>
        <v>0</v>
      </c>
      <c r="C409" s="4" t="e">
        <f ca="1">IF(A409="","",_xludf.LET(emp,A409,e,Zaangażowanie!$A$2:$A$501,ms,Zaangażowanie!$C$2:$C$501,sh,Zaangażowanie!$E$2:$E$501,msst,_xludf.XLOOKUP(ms,Milestones!$A$2:$A$501,Milestones!$G$2:$G$501,""),act,(msst="W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09" s="4" t="e">
        <f t="shared" ca="1" si="6"/>
        <v>#NAME?</v>
      </c>
    </row>
    <row r="410" spans="1:4" x14ac:dyDescent="0.25">
      <c r="A410" s="4">
        <f>Pracownicy!A410</f>
        <v>0</v>
      </c>
      <c r="B410" s="4">
        <f>Pracownicy!B410</f>
        <v>0</v>
      </c>
      <c r="C410" s="4" t="e">
        <f ca="1">IF(A410="","",_xludf.LET(emp,A410,e,Zaangażowanie!$A$2:$A$501,ms,Zaangażowanie!$C$2:$C$501,sh,Zaangażowanie!$E$2:$E$501,msst,_xludf.XLOOKUP(ms,Milestones!$A$2:$A$501,Milestones!$G$2:$G$501,""),act,(msst="W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10" s="4" t="e">
        <f t="shared" ca="1" si="6"/>
        <v>#NAME?</v>
      </c>
    </row>
    <row r="411" spans="1:4" x14ac:dyDescent="0.25">
      <c r="A411" s="4">
        <f>Pracownicy!A411</f>
        <v>0</v>
      </c>
      <c r="B411" s="4">
        <f>Pracownicy!B411</f>
        <v>0</v>
      </c>
      <c r="C411" s="4" t="e">
        <f ca="1">IF(A411="","",_xludf.LET(emp,A411,e,Zaangażowanie!$A$2:$A$501,ms,Zaangażowanie!$C$2:$C$501,sh,Zaangażowanie!$E$2:$E$501,msst,_xludf.XLOOKUP(ms,Milestones!$A$2:$A$501,Milestones!$G$2:$G$501,""),act,(msst="W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11" s="4" t="e">
        <f t="shared" ca="1" si="6"/>
        <v>#NAME?</v>
      </c>
    </row>
    <row r="412" spans="1:4" x14ac:dyDescent="0.25">
      <c r="A412" s="4">
        <f>Pracownicy!A412</f>
        <v>0</v>
      </c>
      <c r="B412" s="4">
        <f>Pracownicy!B412</f>
        <v>0</v>
      </c>
      <c r="C412" s="4" t="e">
        <f ca="1">IF(A412="","",_xludf.LET(emp,A412,e,Zaangażowanie!$A$2:$A$501,ms,Zaangażowanie!$C$2:$C$501,sh,Zaangażowanie!$E$2:$E$501,msst,_xludf.XLOOKUP(ms,Milestones!$A$2:$A$501,Milestones!$G$2:$G$501,""),act,(msst="W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12" s="4" t="e">
        <f t="shared" ca="1" si="6"/>
        <v>#NAME?</v>
      </c>
    </row>
    <row r="413" spans="1:4" x14ac:dyDescent="0.25">
      <c r="A413" s="4">
        <f>Pracownicy!A413</f>
        <v>0</v>
      </c>
      <c r="B413" s="4">
        <f>Pracownicy!B413</f>
        <v>0</v>
      </c>
      <c r="C413" s="4" t="e">
        <f ca="1">IF(A413="","",_xludf.LET(emp,A413,e,Zaangażowanie!$A$2:$A$501,ms,Zaangażowanie!$C$2:$C$501,sh,Zaangażowanie!$E$2:$E$501,msst,_xludf.XLOOKUP(ms,Milestones!$A$2:$A$501,Milestones!$G$2:$G$501,""),act,(msst="W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13" s="4" t="e">
        <f t="shared" ca="1" si="6"/>
        <v>#NAME?</v>
      </c>
    </row>
    <row r="414" spans="1:4" x14ac:dyDescent="0.25">
      <c r="A414" s="4">
        <f>Pracownicy!A414</f>
        <v>0</v>
      </c>
      <c r="B414" s="4">
        <f>Pracownicy!B414</f>
        <v>0</v>
      </c>
      <c r="C414" s="4" t="e">
        <f ca="1">IF(A414="","",_xludf.LET(emp,A414,e,Zaangażowanie!$A$2:$A$501,ms,Zaangażowanie!$C$2:$C$501,sh,Zaangażowanie!$E$2:$E$501,msst,_xludf.XLOOKUP(ms,Milestones!$A$2:$A$501,Milestones!$G$2:$G$501,""),act,(msst="W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14" s="4" t="e">
        <f t="shared" ca="1" si="6"/>
        <v>#NAME?</v>
      </c>
    </row>
    <row r="415" spans="1:4" x14ac:dyDescent="0.25">
      <c r="A415" s="4">
        <f>Pracownicy!A415</f>
        <v>0</v>
      </c>
      <c r="B415" s="4">
        <f>Pracownicy!B415</f>
        <v>0</v>
      </c>
      <c r="C415" s="4" t="e">
        <f ca="1">IF(A415="","",_xludf.LET(emp,A415,e,Zaangażowanie!$A$2:$A$501,ms,Zaangażowanie!$C$2:$C$501,sh,Zaangażowanie!$E$2:$E$501,msst,_xludf.XLOOKUP(ms,Milestones!$A$2:$A$501,Milestones!$G$2:$G$501,""),act,(msst="W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15" s="4" t="e">
        <f t="shared" ca="1" si="6"/>
        <v>#NAME?</v>
      </c>
    </row>
    <row r="416" spans="1:4" x14ac:dyDescent="0.25">
      <c r="A416" s="4">
        <f>Pracownicy!A416</f>
        <v>0</v>
      </c>
      <c r="B416" s="4">
        <f>Pracownicy!B416</f>
        <v>0</v>
      </c>
      <c r="C416" s="4" t="e">
        <f ca="1">IF(A416="","",_xludf.LET(emp,A416,e,Zaangażowanie!$A$2:$A$501,ms,Zaangażowanie!$C$2:$C$501,sh,Zaangażowanie!$E$2:$E$501,msst,_xludf.XLOOKUP(ms,Milestones!$A$2:$A$501,Milestones!$G$2:$G$501,""),act,(msst="W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16" s="4" t="e">
        <f t="shared" ca="1" si="6"/>
        <v>#NAME?</v>
      </c>
    </row>
    <row r="417" spans="1:4" x14ac:dyDescent="0.25">
      <c r="A417" s="4">
        <f>Pracownicy!A417</f>
        <v>0</v>
      </c>
      <c r="B417" s="4">
        <f>Pracownicy!B417</f>
        <v>0</v>
      </c>
      <c r="C417" s="4" t="e">
        <f ca="1">IF(A417="","",_xludf.LET(emp,A417,e,Zaangażowanie!$A$2:$A$501,ms,Zaangażowanie!$C$2:$C$501,sh,Zaangażowanie!$E$2:$E$501,msst,_xludf.XLOOKUP(ms,Milestones!$A$2:$A$501,Milestones!$G$2:$G$501,""),act,(msst="W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17" s="4" t="e">
        <f t="shared" ca="1" si="6"/>
        <v>#NAME?</v>
      </c>
    </row>
    <row r="418" spans="1:4" x14ac:dyDescent="0.25">
      <c r="A418" s="4">
        <f>Pracownicy!A418</f>
        <v>0</v>
      </c>
      <c r="B418" s="4">
        <f>Pracownicy!B418</f>
        <v>0</v>
      </c>
      <c r="C418" s="4" t="e">
        <f ca="1">IF(A418="","",_xludf.LET(emp,A418,e,Zaangażowanie!$A$2:$A$501,ms,Zaangażowanie!$C$2:$C$501,sh,Zaangażowanie!$E$2:$E$501,msst,_xludf.XLOOKUP(ms,Milestones!$A$2:$A$501,Milestones!$G$2:$G$501,""),act,(msst="W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18" s="4" t="e">
        <f t="shared" ca="1" si="6"/>
        <v>#NAME?</v>
      </c>
    </row>
    <row r="419" spans="1:4" x14ac:dyDescent="0.25">
      <c r="A419" s="4">
        <f>Pracownicy!A419</f>
        <v>0</v>
      </c>
      <c r="B419" s="4">
        <f>Pracownicy!B419</f>
        <v>0</v>
      </c>
      <c r="C419" s="4" t="e">
        <f ca="1">IF(A419="","",_xludf.LET(emp,A419,e,Zaangażowanie!$A$2:$A$501,ms,Zaangażowanie!$C$2:$C$501,sh,Zaangażowanie!$E$2:$E$501,msst,_xludf.XLOOKUP(ms,Milestones!$A$2:$A$501,Milestones!$G$2:$G$501,""),act,(msst="W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19" s="4" t="e">
        <f t="shared" ca="1" si="6"/>
        <v>#NAME?</v>
      </c>
    </row>
    <row r="420" spans="1:4" x14ac:dyDescent="0.25">
      <c r="A420" s="4">
        <f>Pracownicy!A420</f>
        <v>0</v>
      </c>
      <c r="B420" s="4">
        <f>Pracownicy!B420</f>
        <v>0</v>
      </c>
      <c r="C420" s="4" t="e">
        <f ca="1">IF(A420="","",_xludf.LET(emp,A420,e,Zaangażowanie!$A$2:$A$501,ms,Zaangażowanie!$C$2:$C$501,sh,Zaangażowanie!$E$2:$E$501,msst,_xludf.XLOOKUP(ms,Milestones!$A$2:$A$501,Milestones!$G$2:$G$501,""),act,(msst="W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20" s="4" t="e">
        <f t="shared" ca="1" si="6"/>
        <v>#NAME?</v>
      </c>
    </row>
    <row r="421" spans="1:4" x14ac:dyDescent="0.25">
      <c r="A421" s="4">
        <f>Pracownicy!A421</f>
        <v>0</v>
      </c>
      <c r="B421" s="4">
        <f>Pracownicy!B421</f>
        <v>0</v>
      </c>
      <c r="C421" s="4" t="e">
        <f ca="1">IF(A421="","",_xludf.LET(emp,A421,e,Zaangażowanie!$A$2:$A$501,ms,Zaangażowanie!$C$2:$C$501,sh,Zaangażowanie!$E$2:$E$501,msst,_xludf.XLOOKUP(ms,Milestones!$A$2:$A$501,Milestones!$G$2:$G$501,""),act,(msst="W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21" s="4" t="e">
        <f t="shared" ca="1" si="6"/>
        <v>#NAME?</v>
      </c>
    </row>
    <row r="422" spans="1:4" x14ac:dyDescent="0.25">
      <c r="A422" s="4">
        <f>Pracownicy!A422</f>
        <v>0</v>
      </c>
      <c r="B422" s="4">
        <f>Pracownicy!B422</f>
        <v>0</v>
      </c>
      <c r="C422" s="4" t="e">
        <f ca="1">IF(A422="","",_xludf.LET(emp,A422,e,Zaangażowanie!$A$2:$A$501,ms,Zaangażowanie!$C$2:$C$501,sh,Zaangażowanie!$E$2:$E$501,msst,_xludf.XLOOKUP(ms,Milestones!$A$2:$A$501,Milestones!$G$2:$G$501,""),act,(msst="W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22" s="4" t="e">
        <f t="shared" ca="1" si="6"/>
        <v>#NAME?</v>
      </c>
    </row>
    <row r="423" spans="1:4" x14ac:dyDescent="0.25">
      <c r="A423" s="4">
        <f>Pracownicy!A423</f>
        <v>0</v>
      </c>
      <c r="B423" s="4">
        <f>Pracownicy!B423</f>
        <v>0</v>
      </c>
      <c r="C423" s="4" t="e">
        <f ca="1">IF(A423="","",_xludf.LET(emp,A423,e,Zaangażowanie!$A$2:$A$501,ms,Zaangażowanie!$C$2:$C$501,sh,Zaangażowanie!$E$2:$E$501,msst,_xludf.XLOOKUP(ms,Milestones!$A$2:$A$501,Milestones!$G$2:$G$501,""),act,(msst="W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23" s="4" t="e">
        <f t="shared" ca="1" si="6"/>
        <v>#NAME?</v>
      </c>
    </row>
    <row r="424" spans="1:4" x14ac:dyDescent="0.25">
      <c r="A424" s="4">
        <f>Pracownicy!A424</f>
        <v>0</v>
      </c>
      <c r="B424" s="4">
        <f>Pracownicy!B424</f>
        <v>0</v>
      </c>
      <c r="C424" s="4" t="e">
        <f ca="1">IF(A424="","",_xludf.LET(emp,A424,e,Zaangażowanie!$A$2:$A$501,ms,Zaangażowanie!$C$2:$C$501,sh,Zaangażowanie!$E$2:$E$501,msst,_xludf.XLOOKUP(ms,Milestones!$A$2:$A$501,Milestones!$G$2:$G$501,""),act,(msst="W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24" s="4" t="e">
        <f t="shared" ca="1" si="6"/>
        <v>#NAME?</v>
      </c>
    </row>
    <row r="425" spans="1:4" x14ac:dyDescent="0.25">
      <c r="A425" s="4">
        <f>Pracownicy!A425</f>
        <v>0</v>
      </c>
      <c r="B425" s="4">
        <f>Pracownicy!B425</f>
        <v>0</v>
      </c>
      <c r="C425" s="4" t="e">
        <f ca="1">IF(A425="","",_xludf.LET(emp,A425,e,Zaangażowanie!$A$2:$A$501,ms,Zaangażowanie!$C$2:$C$501,sh,Zaangażowanie!$E$2:$E$501,msst,_xludf.XLOOKUP(ms,Milestones!$A$2:$A$501,Milestones!$G$2:$G$501,""),act,(msst="W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25" s="4" t="e">
        <f t="shared" ca="1" si="6"/>
        <v>#NAME?</v>
      </c>
    </row>
    <row r="426" spans="1:4" x14ac:dyDescent="0.25">
      <c r="A426" s="4">
        <f>Pracownicy!A426</f>
        <v>0</v>
      </c>
      <c r="B426" s="4">
        <f>Pracownicy!B426</f>
        <v>0</v>
      </c>
      <c r="C426" s="4" t="e">
        <f ca="1">IF(A426="","",_xludf.LET(emp,A426,e,Zaangażowanie!$A$2:$A$501,ms,Zaangażowanie!$C$2:$C$501,sh,Zaangażowanie!$E$2:$E$501,msst,_xludf.XLOOKUP(ms,Milestones!$A$2:$A$501,Milestones!$G$2:$G$501,""),act,(msst="W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26" s="4" t="e">
        <f t="shared" ca="1" si="6"/>
        <v>#NAME?</v>
      </c>
    </row>
    <row r="427" spans="1:4" x14ac:dyDescent="0.25">
      <c r="A427" s="4">
        <f>Pracownicy!A427</f>
        <v>0</v>
      </c>
      <c r="B427" s="4">
        <f>Pracownicy!B427</f>
        <v>0</v>
      </c>
      <c r="C427" s="4" t="e">
        <f ca="1">IF(A427="","",_xludf.LET(emp,A427,e,Zaangażowanie!$A$2:$A$501,ms,Zaangażowanie!$C$2:$C$501,sh,Zaangażowanie!$E$2:$E$501,msst,_xludf.XLOOKUP(ms,Milestones!$A$2:$A$501,Milestones!$G$2:$G$501,""),act,(msst="W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27" s="4" t="e">
        <f t="shared" ca="1" si="6"/>
        <v>#NAME?</v>
      </c>
    </row>
    <row r="428" spans="1:4" x14ac:dyDescent="0.25">
      <c r="A428" s="4">
        <f>Pracownicy!A428</f>
        <v>0</v>
      </c>
      <c r="B428" s="4">
        <f>Pracownicy!B428</f>
        <v>0</v>
      </c>
      <c r="C428" s="4" t="e">
        <f ca="1">IF(A428="","",_xludf.LET(emp,A428,e,Zaangażowanie!$A$2:$A$501,ms,Zaangażowanie!$C$2:$C$501,sh,Zaangażowanie!$E$2:$E$501,msst,_xludf.XLOOKUP(ms,Milestones!$A$2:$A$501,Milestones!$G$2:$G$501,""),act,(msst="W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28" s="4" t="e">
        <f t="shared" ca="1" si="6"/>
        <v>#NAME?</v>
      </c>
    </row>
    <row r="429" spans="1:4" x14ac:dyDescent="0.25">
      <c r="A429" s="4">
        <f>Pracownicy!A429</f>
        <v>0</v>
      </c>
      <c r="B429" s="4">
        <f>Pracownicy!B429</f>
        <v>0</v>
      </c>
      <c r="C429" s="4" t="e">
        <f ca="1">IF(A429="","",_xludf.LET(emp,A429,e,Zaangażowanie!$A$2:$A$501,ms,Zaangażowanie!$C$2:$C$501,sh,Zaangażowanie!$E$2:$E$501,msst,_xludf.XLOOKUP(ms,Milestones!$A$2:$A$501,Milestones!$G$2:$G$501,""),act,(msst="W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29" s="4" t="e">
        <f t="shared" ca="1" si="6"/>
        <v>#NAME?</v>
      </c>
    </row>
    <row r="430" spans="1:4" x14ac:dyDescent="0.25">
      <c r="A430" s="4">
        <f>Pracownicy!A430</f>
        <v>0</v>
      </c>
      <c r="B430" s="4">
        <f>Pracownicy!B430</f>
        <v>0</v>
      </c>
      <c r="C430" s="4" t="e">
        <f ca="1">IF(A430="","",_xludf.LET(emp,A430,e,Zaangażowanie!$A$2:$A$501,ms,Zaangażowanie!$C$2:$C$501,sh,Zaangażowanie!$E$2:$E$501,msst,_xludf.XLOOKUP(ms,Milestones!$A$2:$A$501,Milestones!$G$2:$G$501,""),act,(msst="W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30" s="4" t="e">
        <f t="shared" ca="1" si="6"/>
        <v>#NAME?</v>
      </c>
    </row>
    <row r="431" spans="1:4" x14ac:dyDescent="0.25">
      <c r="A431" s="4">
        <f>Pracownicy!A431</f>
        <v>0</v>
      </c>
      <c r="B431" s="4">
        <f>Pracownicy!B431</f>
        <v>0</v>
      </c>
      <c r="C431" s="4" t="e">
        <f ca="1">IF(A431="","",_xludf.LET(emp,A431,e,Zaangażowanie!$A$2:$A$501,ms,Zaangażowanie!$C$2:$C$501,sh,Zaangażowanie!$E$2:$E$501,msst,_xludf.XLOOKUP(ms,Milestones!$A$2:$A$501,Milestones!$G$2:$G$501,""),act,(msst="W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31" s="4" t="e">
        <f t="shared" ca="1" si="6"/>
        <v>#NAME?</v>
      </c>
    </row>
    <row r="432" spans="1:4" x14ac:dyDescent="0.25">
      <c r="A432" s="4">
        <f>Pracownicy!A432</f>
        <v>0</v>
      </c>
      <c r="B432" s="4">
        <f>Pracownicy!B432</f>
        <v>0</v>
      </c>
      <c r="C432" s="4" t="e">
        <f ca="1">IF(A432="","",_xludf.LET(emp,A432,e,Zaangażowanie!$A$2:$A$501,ms,Zaangażowanie!$C$2:$C$501,sh,Zaangażowanie!$E$2:$E$501,msst,_xludf.XLOOKUP(ms,Milestones!$A$2:$A$501,Milestones!$G$2:$G$501,""),act,(msst="W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32" s="4" t="e">
        <f t="shared" ca="1" si="6"/>
        <v>#NAME?</v>
      </c>
    </row>
    <row r="433" spans="1:4" x14ac:dyDescent="0.25">
      <c r="A433" s="4">
        <f>Pracownicy!A433</f>
        <v>0</v>
      </c>
      <c r="B433" s="4">
        <f>Pracownicy!B433</f>
        <v>0</v>
      </c>
      <c r="C433" s="4" t="e">
        <f ca="1">IF(A433="","",_xludf.LET(emp,A433,e,Zaangażowanie!$A$2:$A$501,ms,Zaangażowanie!$C$2:$C$501,sh,Zaangażowanie!$E$2:$E$501,msst,_xludf.XLOOKUP(ms,Milestones!$A$2:$A$501,Milestones!$G$2:$G$501,""),act,(msst="W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33" s="4" t="e">
        <f t="shared" ca="1" si="6"/>
        <v>#NAME?</v>
      </c>
    </row>
    <row r="434" spans="1:4" x14ac:dyDescent="0.25">
      <c r="A434" s="4">
        <f>Pracownicy!A434</f>
        <v>0</v>
      </c>
      <c r="B434" s="4">
        <f>Pracownicy!B434</f>
        <v>0</v>
      </c>
      <c r="C434" s="4" t="e">
        <f ca="1">IF(A434="","",_xludf.LET(emp,A434,e,Zaangażowanie!$A$2:$A$501,ms,Zaangażowanie!$C$2:$C$501,sh,Zaangażowanie!$E$2:$E$501,msst,_xludf.XLOOKUP(ms,Milestones!$A$2:$A$501,Milestones!$G$2:$G$501,""),act,(msst="W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34" s="4" t="e">
        <f t="shared" ca="1" si="6"/>
        <v>#NAME?</v>
      </c>
    </row>
    <row r="435" spans="1:4" x14ac:dyDescent="0.25">
      <c r="A435" s="4">
        <f>Pracownicy!A435</f>
        <v>0</v>
      </c>
      <c r="B435" s="4">
        <f>Pracownicy!B435</f>
        <v>0</v>
      </c>
      <c r="C435" s="4" t="e">
        <f ca="1">IF(A435="","",_xludf.LET(emp,A435,e,Zaangażowanie!$A$2:$A$501,ms,Zaangażowanie!$C$2:$C$501,sh,Zaangażowanie!$E$2:$E$501,msst,_xludf.XLOOKUP(ms,Milestones!$A$2:$A$501,Milestones!$G$2:$G$501,""),act,(msst="W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35" s="4" t="e">
        <f t="shared" ca="1" si="6"/>
        <v>#NAME?</v>
      </c>
    </row>
    <row r="436" spans="1:4" x14ac:dyDescent="0.25">
      <c r="A436" s="4">
        <f>Pracownicy!A436</f>
        <v>0</v>
      </c>
      <c r="B436" s="4">
        <f>Pracownicy!B436</f>
        <v>0</v>
      </c>
      <c r="C436" s="4" t="e">
        <f ca="1">IF(A436="","",_xludf.LET(emp,A436,e,Zaangażowanie!$A$2:$A$501,ms,Zaangażowanie!$C$2:$C$501,sh,Zaangażowanie!$E$2:$E$501,msst,_xludf.XLOOKUP(ms,Milestones!$A$2:$A$501,Milestones!$G$2:$G$501,""),act,(msst="W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36" s="4" t="e">
        <f t="shared" ca="1" si="6"/>
        <v>#NAME?</v>
      </c>
    </row>
    <row r="437" spans="1:4" x14ac:dyDescent="0.25">
      <c r="A437" s="4">
        <f>Pracownicy!A437</f>
        <v>0</v>
      </c>
      <c r="B437" s="4">
        <f>Pracownicy!B437</f>
        <v>0</v>
      </c>
      <c r="C437" s="4" t="e">
        <f ca="1">IF(A437="","",_xludf.LET(emp,A437,e,Zaangażowanie!$A$2:$A$501,ms,Zaangażowanie!$C$2:$C$501,sh,Zaangażowanie!$E$2:$E$501,msst,_xludf.XLOOKUP(ms,Milestones!$A$2:$A$501,Milestones!$G$2:$G$501,""),act,(msst="W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37" s="4" t="e">
        <f t="shared" ca="1" si="6"/>
        <v>#NAME?</v>
      </c>
    </row>
    <row r="438" spans="1:4" x14ac:dyDescent="0.25">
      <c r="A438" s="4">
        <f>Pracownicy!A438</f>
        <v>0</v>
      </c>
      <c r="B438" s="4">
        <f>Pracownicy!B438</f>
        <v>0</v>
      </c>
      <c r="C438" s="4" t="e">
        <f ca="1">IF(A438="","",_xludf.LET(emp,A438,e,Zaangażowanie!$A$2:$A$501,ms,Zaangażowanie!$C$2:$C$501,sh,Zaangażowanie!$E$2:$E$501,msst,_xludf.XLOOKUP(ms,Milestones!$A$2:$A$501,Milestones!$G$2:$G$501,""),act,(msst="W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38" s="4" t="e">
        <f t="shared" ca="1" si="6"/>
        <v>#NAME?</v>
      </c>
    </row>
    <row r="439" spans="1:4" x14ac:dyDescent="0.25">
      <c r="A439" s="4">
        <f>Pracownicy!A439</f>
        <v>0</v>
      </c>
      <c r="B439" s="4">
        <f>Pracownicy!B439</f>
        <v>0</v>
      </c>
      <c r="C439" s="4" t="e">
        <f ca="1">IF(A439="","",_xludf.LET(emp,A439,e,Zaangażowanie!$A$2:$A$501,ms,Zaangażowanie!$C$2:$C$501,sh,Zaangażowanie!$E$2:$E$501,msst,_xludf.XLOOKUP(ms,Milestones!$A$2:$A$501,Milestones!$G$2:$G$501,""),act,(msst="W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39" s="4" t="e">
        <f t="shared" ca="1" si="6"/>
        <v>#NAME?</v>
      </c>
    </row>
    <row r="440" spans="1:4" x14ac:dyDescent="0.25">
      <c r="A440" s="4">
        <f>Pracownicy!A440</f>
        <v>0</v>
      </c>
      <c r="B440" s="4">
        <f>Pracownicy!B440</f>
        <v>0</v>
      </c>
      <c r="C440" s="4" t="e">
        <f ca="1">IF(A440="","",_xludf.LET(emp,A440,e,Zaangażowanie!$A$2:$A$501,ms,Zaangażowanie!$C$2:$C$501,sh,Zaangażowanie!$E$2:$E$501,msst,_xludf.XLOOKUP(ms,Milestones!$A$2:$A$501,Milestones!$G$2:$G$501,""),act,(msst="W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40" s="4" t="e">
        <f t="shared" ca="1" si="6"/>
        <v>#NAME?</v>
      </c>
    </row>
    <row r="441" spans="1:4" x14ac:dyDescent="0.25">
      <c r="A441" s="4">
        <f>Pracownicy!A441</f>
        <v>0</v>
      </c>
      <c r="B441" s="4">
        <f>Pracownicy!B441</f>
        <v>0</v>
      </c>
      <c r="C441" s="4" t="e">
        <f ca="1">IF(A441="","",_xludf.LET(emp,A441,e,Zaangażowanie!$A$2:$A$501,ms,Zaangażowanie!$C$2:$C$501,sh,Zaangażowanie!$E$2:$E$501,msst,_xludf.XLOOKUP(ms,Milestones!$A$2:$A$501,Milestones!$G$2:$G$501,""),act,(msst="W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41" s="4" t="e">
        <f t="shared" ca="1" si="6"/>
        <v>#NAME?</v>
      </c>
    </row>
    <row r="442" spans="1:4" x14ac:dyDescent="0.25">
      <c r="A442" s="4">
        <f>Pracownicy!A442</f>
        <v>0</v>
      </c>
      <c r="B442" s="4">
        <f>Pracownicy!B442</f>
        <v>0</v>
      </c>
      <c r="C442" s="4" t="e">
        <f ca="1">IF(A442="","",_xludf.LET(emp,A442,e,Zaangażowanie!$A$2:$A$501,ms,Zaangażowanie!$C$2:$C$501,sh,Zaangażowanie!$E$2:$E$501,msst,_xludf.XLOOKUP(ms,Milestones!$A$2:$A$501,Milestones!$G$2:$G$501,""),act,(msst="W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42" s="4" t="e">
        <f t="shared" ca="1" si="6"/>
        <v>#NAME?</v>
      </c>
    </row>
    <row r="443" spans="1:4" x14ac:dyDescent="0.25">
      <c r="A443" s="4">
        <f>Pracownicy!A443</f>
        <v>0</v>
      </c>
      <c r="B443" s="4">
        <f>Pracownicy!B443</f>
        <v>0</v>
      </c>
      <c r="C443" s="4" t="e">
        <f ca="1">IF(A443="","",_xludf.LET(emp,A443,e,Zaangażowanie!$A$2:$A$501,ms,Zaangażowanie!$C$2:$C$501,sh,Zaangażowanie!$E$2:$E$501,msst,_xludf.XLOOKUP(ms,Milestones!$A$2:$A$501,Milestones!$G$2:$G$501,""),act,(msst="W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43" s="4" t="e">
        <f t="shared" ca="1" si="6"/>
        <v>#NAME?</v>
      </c>
    </row>
    <row r="444" spans="1:4" x14ac:dyDescent="0.25">
      <c r="A444" s="4">
        <f>Pracownicy!A444</f>
        <v>0</v>
      </c>
      <c r="B444" s="4">
        <f>Pracownicy!B444</f>
        <v>0</v>
      </c>
      <c r="C444" s="4" t="e">
        <f ca="1">IF(A444="","",_xludf.LET(emp,A444,e,Zaangażowanie!$A$2:$A$501,ms,Zaangażowanie!$C$2:$C$501,sh,Zaangażowanie!$E$2:$E$501,msst,_xludf.XLOOKUP(ms,Milestones!$A$2:$A$501,Milestones!$G$2:$G$501,""),act,(msst="W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44" s="4" t="e">
        <f t="shared" ca="1" si="6"/>
        <v>#NAME?</v>
      </c>
    </row>
    <row r="445" spans="1:4" x14ac:dyDescent="0.25">
      <c r="A445" s="4">
        <f>Pracownicy!A445</f>
        <v>0</v>
      </c>
      <c r="B445" s="4">
        <f>Pracownicy!B445</f>
        <v>0</v>
      </c>
      <c r="C445" s="4" t="e">
        <f ca="1">IF(A445="","",_xludf.LET(emp,A445,e,Zaangażowanie!$A$2:$A$501,ms,Zaangażowanie!$C$2:$C$501,sh,Zaangażowanie!$E$2:$E$501,msst,_xludf.XLOOKUP(ms,Milestones!$A$2:$A$501,Milestones!$G$2:$G$501,""),act,(msst="W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45" s="4" t="e">
        <f t="shared" ca="1" si="6"/>
        <v>#NAME?</v>
      </c>
    </row>
    <row r="446" spans="1:4" x14ac:dyDescent="0.25">
      <c r="A446" s="4">
        <f>Pracownicy!A446</f>
        <v>0</v>
      </c>
      <c r="B446" s="4">
        <f>Pracownicy!B446</f>
        <v>0</v>
      </c>
      <c r="C446" s="4" t="e">
        <f ca="1">IF(A446="","",_xludf.LET(emp,A446,e,Zaangażowanie!$A$2:$A$501,ms,Zaangażowanie!$C$2:$C$501,sh,Zaangażowanie!$E$2:$E$501,msst,_xludf.XLOOKUP(ms,Milestones!$A$2:$A$501,Milestones!$G$2:$G$501,""),act,(msst="W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46" s="4" t="e">
        <f t="shared" ca="1" si="6"/>
        <v>#NAME?</v>
      </c>
    </row>
    <row r="447" spans="1:4" x14ac:dyDescent="0.25">
      <c r="A447" s="4">
        <f>Pracownicy!A447</f>
        <v>0</v>
      </c>
      <c r="B447" s="4">
        <f>Pracownicy!B447</f>
        <v>0</v>
      </c>
      <c r="C447" s="4" t="e">
        <f ca="1">IF(A447="","",_xludf.LET(emp,A447,e,Zaangażowanie!$A$2:$A$501,ms,Zaangażowanie!$C$2:$C$501,sh,Zaangażowanie!$E$2:$E$501,msst,_xludf.XLOOKUP(ms,Milestones!$A$2:$A$501,Milestones!$G$2:$G$501,""),act,(msst="W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47" s="4" t="e">
        <f t="shared" ca="1" si="6"/>
        <v>#NAME?</v>
      </c>
    </row>
    <row r="448" spans="1:4" x14ac:dyDescent="0.25">
      <c r="A448" s="4">
        <f>Pracownicy!A448</f>
        <v>0</v>
      </c>
      <c r="B448" s="4">
        <f>Pracownicy!B448</f>
        <v>0</v>
      </c>
      <c r="C448" s="4" t="e">
        <f ca="1">IF(A448="","",_xludf.LET(emp,A448,e,Zaangażowanie!$A$2:$A$501,ms,Zaangażowanie!$C$2:$C$501,sh,Zaangażowanie!$E$2:$E$501,msst,_xludf.XLOOKUP(ms,Milestones!$A$2:$A$501,Milestones!$G$2:$G$501,""),act,(msst="W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48" s="4" t="e">
        <f t="shared" ca="1" si="6"/>
        <v>#NAME?</v>
      </c>
    </row>
    <row r="449" spans="1:4" x14ac:dyDescent="0.25">
      <c r="A449" s="4">
        <f>Pracownicy!A449</f>
        <v>0</v>
      </c>
      <c r="B449" s="4">
        <f>Pracownicy!B449</f>
        <v>0</v>
      </c>
      <c r="C449" s="4" t="e">
        <f ca="1">IF(A449="","",_xludf.LET(emp,A449,e,Zaangażowanie!$A$2:$A$501,ms,Zaangażowanie!$C$2:$C$501,sh,Zaangażowanie!$E$2:$E$501,msst,_xludf.XLOOKUP(ms,Milestones!$A$2:$A$501,Milestones!$G$2:$G$501,""),act,(msst="W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49" s="4" t="e">
        <f t="shared" ca="1" si="6"/>
        <v>#NAME?</v>
      </c>
    </row>
    <row r="450" spans="1:4" x14ac:dyDescent="0.25">
      <c r="A450" s="4">
        <f>Pracownicy!A450</f>
        <v>0</v>
      </c>
      <c r="B450" s="4">
        <f>Pracownicy!B450</f>
        <v>0</v>
      </c>
      <c r="C450" s="4" t="e">
        <f ca="1">IF(A450="","",_xludf.LET(emp,A450,e,Zaangażowanie!$A$2:$A$501,ms,Zaangażowanie!$C$2:$C$501,sh,Zaangażowanie!$E$2:$E$501,msst,_xludf.XLOOKUP(ms,Milestones!$A$2:$A$501,Milestones!$G$2:$G$501,""),act,(msst="W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50" s="4" t="e">
        <f t="shared" ref="D450:D501" ca="1" si="7">IF(A450="","",IF(C450&lt;=1,"OK","NIE"))</f>
        <v>#NAME?</v>
      </c>
    </row>
    <row r="451" spans="1:4" x14ac:dyDescent="0.25">
      <c r="A451" s="4">
        <f>Pracownicy!A451</f>
        <v>0</v>
      </c>
      <c r="B451" s="4">
        <f>Pracownicy!B451</f>
        <v>0</v>
      </c>
      <c r="C451" s="4" t="e">
        <f ca="1">IF(A451="","",_xludf.LET(emp,A451,e,Zaangażowanie!$A$2:$A$501,ms,Zaangażowanie!$C$2:$C$501,sh,Zaangażowanie!$E$2:$E$501,msst,_xludf.XLOOKUP(ms,Milestones!$A$2:$A$501,Milestones!$G$2:$G$501,""),act,(msst="W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51" s="4" t="e">
        <f t="shared" ca="1" si="7"/>
        <v>#NAME?</v>
      </c>
    </row>
    <row r="452" spans="1:4" x14ac:dyDescent="0.25">
      <c r="A452" s="4">
        <f>Pracownicy!A452</f>
        <v>0</v>
      </c>
      <c r="B452" s="4">
        <f>Pracownicy!B452</f>
        <v>0</v>
      </c>
      <c r="C452" s="4" t="e">
        <f ca="1">IF(A452="","",_xludf.LET(emp,A452,e,Zaangażowanie!$A$2:$A$501,ms,Zaangażowanie!$C$2:$C$501,sh,Zaangażowanie!$E$2:$E$501,msst,_xludf.XLOOKUP(ms,Milestones!$A$2:$A$501,Milestones!$G$2:$G$501,""),act,(msst="W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52" s="4" t="e">
        <f t="shared" ca="1" si="7"/>
        <v>#NAME?</v>
      </c>
    </row>
    <row r="453" spans="1:4" x14ac:dyDescent="0.25">
      <c r="A453" s="4">
        <f>Pracownicy!A453</f>
        <v>0</v>
      </c>
      <c r="B453" s="4">
        <f>Pracownicy!B453</f>
        <v>0</v>
      </c>
      <c r="C453" s="4" t="e">
        <f ca="1">IF(A453="","",_xludf.LET(emp,A453,e,Zaangażowanie!$A$2:$A$501,ms,Zaangażowanie!$C$2:$C$501,sh,Zaangażowanie!$E$2:$E$501,msst,_xludf.XLOOKUP(ms,Milestones!$A$2:$A$501,Milestones!$G$2:$G$501,""),act,(msst="W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53" s="4" t="e">
        <f t="shared" ca="1" si="7"/>
        <v>#NAME?</v>
      </c>
    </row>
    <row r="454" spans="1:4" x14ac:dyDescent="0.25">
      <c r="A454" s="4">
        <f>Pracownicy!A454</f>
        <v>0</v>
      </c>
      <c r="B454" s="4">
        <f>Pracownicy!B454</f>
        <v>0</v>
      </c>
      <c r="C454" s="4" t="e">
        <f ca="1">IF(A454="","",_xludf.LET(emp,A454,e,Zaangażowanie!$A$2:$A$501,ms,Zaangażowanie!$C$2:$C$501,sh,Zaangażowanie!$E$2:$E$501,msst,_xludf.XLOOKUP(ms,Milestones!$A$2:$A$501,Milestones!$G$2:$G$501,""),act,(msst="W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54" s="4" t="e">
        <f t="shared" ca="1" si="7"/>
        <v>#NAME?</v>
      </c>
    </row>
    <row r="455" spans="1:4" x14ac:dyDescent="0.25">
      <c r="A455" s="4">
        <f>Pracownicy!A455</f>
        <v>0</v>
      </c>
      <c r="B455" s="4">
        <f>Pracownicy!B455</f>
        <v>0</v>
      </c>
      <c r="C455" s="4" t="e">
        <f ca="1">IF(A455="","",_xludf.LET(emp,A455,e,Zaangażowanie!$A$2:$A$501,ms,Zaangażowanie!$C$2:$C$501,sh,Zaangażowanie!$E$2:$E$501,msst,_xludf.XLOOKUP(ms,Milestones!$A$2:$A$501,Milestones!$G$2:$G$501,""),act,(msst="W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55" s="4" t="e">
        <f t="shared" ca="1" si="7"/>
        <v>#NAME?</v>
      </c>
    </row>
    <row r="456" spans="1:4" x14ac:dyDescent="0.25">
      <c r="A456" s="4">
        <f>Pracownicy!A456</f>
        <v>0</v>
      </c>
      <c r="B456" s="4">
        <f>Pracownicy!B456</f>
        <v>0</v>
      </c>
      <c r="C456" s="4" t="e">
        <f ca="1">IF(A456="","",_xludf.LET(emp,A456,e,Zaangażowanie!$A$2:$A$501,ms,Zaangażowanie!$C$2:$C$501,sh,Zaangażowanie!$E$2:$E$501,msst,_xludf.XLOOKUP(ms,Milestones!$A$2:$A$501,Milestones!$G$2:$G$501,""),act,(msst="W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56" s="4" t="e">
        <f t="shared" ca="1" si="7"/>
        <v>#NAME?</v>
      </c>
    </row>
    <row r="457" spans="1:4" x14ac:dyDescent="0.25">
      <c r="A457" s="4">
        <f>Pracownicy!A457</f>
        <v>0</v>
      </c>
      <c r="B457" s="4">
        <f>Pracownicy!B457</f>
        <v>0</v>
      </c>
      <c r="C457" s="4" t="e">
        <f ca="1">IF(A457="","",_xludf.LET(emp,A457,e,Zaangażowanie!$A$2:$A$501,ms,Zaangażowanie!$C$2:$C$501,sh,Zaangażowanie!$E$2:$E$501,msst,_xludf.XLOOKUP(ms,Milestones!$A$2:$A$501,Milestones!$G$2:$G$501,""),act,(msst="W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57" s="4" t="e">
        <f t="shared" ca="1" si="7"/>
        <v>#NAME?</v>
      </c>
    </row>
    <row r="458" spans="1:4" x14ac:dyDescent="0.25">
      <c r="A458" s="4">
        <f>Pracownicy!A458</f>
        <v>0</v>
      </c>
      <c r="B458" s="4">
        <f>Pracownicy!B458</f>
        <v>0</v>
      </c>
      <c r="C458" s="4" t="e">
        <f ca="1">IF(A458="","",_xludf.LET(emp,A458,e,Zaangażowanie!$A$2:$A$501,ms,Zaangażowanie!$C$2:$C$501,sh,Zaangażowanie!$E$2:$E$501,msst,_xludf.XLOOKUP(ms,Milestones!$A$2:$A$501,Milestones!$G$2:$G$501,""),act,(msst="W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58" s="4" t="e">
        <f t="shared" ca="1" si="7"/>
        <v>#NAME?</v>
      </c>
    </row>
    <row r="459" spans="1:4" x14ac:dyDescent="0.25">
      <c r="A459" s="4">
        <f>Pracownicy!A459</f>
        <v>0</v>
      </c>
      <c r="B459" s="4">
        <f>Pracownicy!B459</f>
        <v>0</v>
      </c>
      <c r="C459" s="4" t="e">
        <f ca="1">IF(A459="","",_xludf.LET(emp,A459,e,Zaangażowanie!$A$2:$A$501,ms,Zaangażowanie!$C$2:$C$501,sh,Zaangażowanie!$E$2:$E$501,msst,_xludf.XLOOKUP(ms,Milestones!$A$2:$A$501,Milestones!$G$2:$G$501,""),act,(msst="W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59" s="4" t="e">
        <f t="shared" ca="1" si="7"/>
        <v>#NAME?</v>
      </c>
    </row>
    <row r="460" spans="1:4" x14ac:dyDescent="0.25">
      <c r="A460" s="4">
        <f>Pracownicy!A460</f>
        <v>0</v>
      </c>
      <c r="B460" s="4">
        <f>Pracownicy!B460</f>
        <v>0</v>
      </c>
      <c r="C460" s="4" t="e">
        <f ca="1">IF(A460="","",_xludf.LET(emp,A460,e,Zaangażowanie!$A$2:$A$501,ms,Zaangażowanie!$C$2:$C$501,sh,Zaangażowanie!$E$2:$E$501,msst,_xludf.XLOOKUP(ms,Milestones!$A$2:$A$501,Milestones!$G$2:$G$501,""),act,(msst="W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60" s="4" t="e">
        <f t="shared" ca="1" si="7"/>
        <v>#NAME?</v>
      </c>
    </row>
    <row r="461" spans="1:4" x14ac:dyDescent="0.25">
      <c r="A461" s="4">
        <f>Pracownicy!A461</f>
        <v>0</v>
      </c>
      <c r="B461" s="4">
        <f>Pracownicy!B461</f>
        <v>0</v>
      </c>
      <c r="C461" s="4" t="e">
        <f ca="1">IF(A461="","",_xludf.LET(emp,A461,e,Zaangażowanie!$A$2:$A$501,ms,Zaangażowanie!$C$2:$C$501,sh,Zaangażowanie!$E$2:$E$501,msst,_xludf.XLOOKUP(ms,Milestones!$A$2:$A$501,Milestones!$G$2:$G$501,""),act,(msst="W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61" s="4" t="e">
        <f t="shared" ca="1" si="7"/>
        <v>#NAME?</v>
      </c>
    </row>
    <row r="462" spans="1:4" x14ac:dyDescent="0.25">
      <c r="A462" s="4">
        <f>Pracownicy!A462</f>
        <v>0</v>
      </c>
      <c r="B462" s="4">
        <f>Pracownicy!B462</f>
        <v>0</v>
      </c>
      <c r="C462" s="4" t="e">
        <f ca="1">IF(A462="","",_xludf.LET(emp,A462,e,Zaangażowanie!$A$2:$A$501,ms,Zaangażowanie!$C$2:$C$501,sh,Zaangażowanie!$E$2:$E$501,msst,_xludf.XLOOKUP(ms,Milestones!$A$2:$A$501,Milestones!$G$2:$G$501,""),act,(msst="W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62" s="4" t="e">
        <f t="shared" ca="1" si="7"/>
        <v>#NAME?</v>
      </c>
    </row>
    <row r="463" spans="1:4" x14ac:dyDescent="0.25">
      <c r="A463" s="4">
        <f>Pracownicy!A463</f>
        <v>0</v>
      </c>
      <c r="B463" s="4">
        <f>Pracownicy!B463</f>
        <v>0</v>
      </c>
      <c r="C463" s="4" t="e">
        <f ca="1">IF(A463="","",_xludf.LET(emp,A463,e,Zaangażowanie!$A$2:$A$501,ms,Zaangażowanie!$C$2:$C$501,sh,Zaangażowanie!$E$2:$E$501,msst,_xludf.XLOOKUP(ms,Milestones!$A$2:$A$501,Milestones!$G$2:$G$501,""),act,(msst="W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63" s="4" t="e">
        <f t="shared" ca="1" si="7"/>
        <v>#NAME?</v>
      </c>
    </row>
    <row r="464" spans="1:4" x14ac:dyDescent="0.25">
      <c r="A464" s="4">
        <f>Pracownicy!A464</f>
        <v>0</v>
      </c>
      <c r="B464" s="4">
        <f>Pracownicy!B464</f>
        <v>0</v>
      </c>
      <c r="C464" s="4" t="e">
        <f ca="1">IF(A464="","",_xludf.LET(emp,A464,e,Zaangażowanie!$A$2:$A$501,ms,Zaangażowanie!$C$2:$C$501,sh,Zaangażowanie!$E$2:$E$501,msst,_xludf.XLOOKUP(ms,Milestones!$A$2:$A$501,Milestones!$G$2:$G$501,""),act,(msst="W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64" s="4" t="e">
        <f t="shared" ca="1" si="7"/>
        <v>#NAME?</v>
      </c>
    </row>
    <row r="465" spans="1:4" x14ac:dyDescent="0.25">
      <c r="A465" s="4">
        <f>Pracownicy!A465</f>
        <v>0</v>
      </c>
      <c r="B465" s="4">
        <f>Pracownicy!B465</f>
        <v>0</v>
      </c>
      <c r="C465" s="4" t="e">
        <f ca="1">IF(A465="","",_xludf.LET(emp,A465,e,Zaangażowanie!$A$2:$A$501,ms,Zaangażowanie!$C$2:$C$501,sh,Zaangażowanie!$E$2:$E$501,msst,_xludf.XLOOKUP(ms,Milestones!$A$2:$A$501,Milestones!$G$2:$G$501,""),act,(msst="W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65" s="4" t="e">
        <f t="shared" ca="1" si="7"/>
        <v>#NAME?</v>
      </c>
    </row>
    <row r="466" spans="1:4" x14ac:dyDescent="0.25">
      <c r="A466" s="4">
        <f>Pracownicy!A466</f>
        <v>0</v>
      </c>
      <c r="B466" s="4">
        <f>Pracownicy!B466</f>
        <v>0</v>
      </c>
      <c r="C466" s="4" t="e">
        <f ca="1">IF(A466="","",_xludf.LET(emp,A466,e,Zaangażowanie!$A$2:$A$501,ms,Zaangażowanie!$C$2:$C$501,sh,Zaangażowanie!$E$2:$E$501,msst,_xludf.XLOOKUP(ms,Milestones!$A$2:$A$501,Milestones!$G$2:$G$501,""),act,(msst="W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66" s="4" t="e">
        <f t="shared" ca="1" si="7"/>
        <v>#NAME?</v>
      </c>
    </row>
    <row r="467" spans="1:4" x14ac:dyDescent="0.25">
      <c r="A467" s="4">
        <f>Pracownicy!A467</f>
        <v>0</v>
      </c>
      <c r="B467" s="4">
        <f>Pracownicy!B467</f>
        <v>0</v>
      </c>
      <c r="C467" s="4" t="e">
        <f ca="1">IF(A467="","",_xludf.LET(emp,A467,e,Zaangażowanie!$A$2:$A$501,ms,Zaangażowanie!$C$2:$C$501,sh,Zaangażowanie!$E$2:$E$501,msst,_xludf.XLOOKUP(ms,Milestones!$A$2:$A$501,Milestones!$G$2:$G$501,""),act,(msst="W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67" s="4" t="e">
        <f t="shared" ca="1" si="7"/>
        <v>#NAME?</v>
      </c>
    </row>
    <row r="468" spans="1:4" x14ac:dyDescent="0.25">
      <c r="A468" s="4">
        <f>Pracownicy!A468</f>
        <v>0</v>
      </c>
      <c r="B468" s="4">
        <f>Pracownicy!B468</f>
        <v>0</v>
      </c>
      <c r="C468" s="4" t="e">
        <f ca="1">IF(A468="","",_xludf.LET(emp,A468,e,Zaangażowanie!$A$2:$A$501,ms,Zaangażowanie!$C$2:$C$501,sh,Zaangażowanie!$E$2:$E$501,msst,_xludf.XLOOKUP(ms,Milestones!$A$2:$A$501,Milestones!$G$2:$G$501,""),act,(msst="W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68" s="4" t="e">
        <f t="shared" ca="1" si="7"/>
        <v>#NAME?</v>
      </c>
    </row>
    <row r="469" spans="1:4" x14ac:dyDescent="0.25">
      <c r="A469" s="4">
        <f>Pracownicy!A469</f>
        <v>0</v>
      </c>
      <c r="B469" s="4">
        <f>Pracownicy!B469</f>
        <v>0</v>
      </c>
      <c r="C469" s="4" t="e">
        <f ca="1">IF(A469="","",_xludf.LET(emp,A469,e,Zaangażowanie!$A$2:$A$501,ms,Zaangażowanie!$C$2:$C$501,sh,Zaangażowanie!$E$2:$E$501,msst,_xludf.XLOOKUP(ms,Milestones!$A$2:$A$501,Milestones!$G$2:$G$501,""),act,(msst="W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69" s="4" t="e">
        <f t="shared" ca="1" si="7"/>
        <v>#NAME?</v>
      </c>
    </row>
    <row r="470" spans="1:4" x14ac:dyDescent="0.25">
      <c r="A470" s="4">
        <f>Pracownicy!A470</f>
        <v>0</v>
      </c>
      <c r="B470" s="4">
        <f>Pracownicy!B470</f>
        <v>0</v>
      </c>
      <c r="C470" s="4" t="e">
        <f ca="1">IF(A470="","",_xludf.LET(emp,A470,e,Zaangażowanie!$A$2:$A$501,ms,Zaangażowanie!$C$2:$C$501,sh,Zaangażowanie!$E$2:$E$501,msst,_xludf.XLOOKUP(ms,Milestones!$A$2:$A$501,Milestones!$G$2:$G$501,""),act,(msst="W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70" s="4" t="e">
        <f t="shared" ca="1" si="7"/>
        <v>#NAME?</v>
      </c>
    </row>
    <row r="471" spans="1:4" x14ac:dyDescent="0.25">
      <c r="A471" s="4">
        <f>Pracownicy!A471</f>
        <v>0</v>
      </c>
      <c r="B471" s="4">
        <f>Pracownicy!B471</f>
        <v>0</v>
      </c>
      <c r="C471" s="4" t="e">
        <f ca="1">IF(A471="","",_xludf.LET(emp,A471,e,Zaangażowanie!$A$2:$A$501,ms,Zaangażowanie!$C$2:$C$501,sh,Zaangażowanie!$E$2:$E$501,msst,_xludf.XLOOKUP(ms,Milestones!$A$2:$A$501,Milestones!$G$2:$G$501,""),act,(msst="W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71" s="4" t="e">
        <f t="shared" ca="1" si="7"/>
        <v>#NAME?</v>
      </c>
    </row>
    <row r="472" spans="1:4" x14ac:dyDescent="0.25">
      <c r="A472" s="4">
        <f>Pracownicy!A472</f>
        <v>0</v>
      </c>
      <c r="B472" s="4">
        <f>Pracownicy!B472</f>
        <v>0</v>
      </c>
      <c r="C472" s="4" t="e">
        <f ca="1">IF(A472="","",_xludf.LET(emp,A472,e,Zaangażowanie!$A$2:$A$501,ms,Zaangażowanie!$C$2:$C$501,sh,Zaangażowanie!$E$2:$E$501,msst,_xludf.XLOOKUP(ms,Milestones!$A$2:$A$501,Milestones!$G$2:$G$501,""),act,(msst="W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72" s="4" t="e">
        <f t="shared" ca="1" si="7"/>
        <v>#NAME?</v>
      </c>
    </row>
    <row r="473" spans="1:4" x14ac:dyDescent="0.25">
      <c r="A473" s="4">
        <f>Pracownicy!A473</f>
        <v>0</v>
      </c>
      <c r="B473" s="4">
        <f>Pracownicy!B473</f>
        <v>0</v>
      </c>
      <c r="C473" s="4" t="e">
        <f ca="1">IF(A473="","",_xludf.LET(emp,A473,e,Zaangażowanie!$A$2:$A$501,ms,Zaangażowanie!$C$2:$C$501,sh,Zaangażowanie!$E$2:$E$501,msst,_xludf.XLOOKUP(ms,Milestones!$A$2:$A$501,Milestones!$G$2:$G$501,""),act,(msst="W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73" s="4" t="e">
        <f t="shared" ca="1" si="7"/>
        <v>#NAME?</v>
      </c>
    </row>
    <row r="474" spans="1:4" x14ac:dyDescent="0.25">
      <c r="A474" s="4">
        <f>Pracownicy!A474</f>
        <v>0</v>
      </c>
      <c r="B474" s="4">
        <f>Pracownicy!B474</f>
        <v>0</v>
      </c>
      <c r="C474" s="4" t="e">
        <f ca="1">IF(A474="","",_xludf.LET(emp,A474,e,Zaangażowanie!$A$2:$A$501,ms,Zaangażowanie!$C$2:$C$501,sh,Zaangażowanie!$E$2:$E$501,msst,_xludf.XLOOKUP(ms,Milestones!$A$2:$A$501,Milestones!$G$2:$G$501,""),act,(msst="W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74" s="4" t="e">
        <f t="shared" ca="1" si="7"/>
        <v>#NAME?</v>
      </c>
    </row>
    <row r="475" spans="1:4" x14ac:dyDescent="0.25">
      <c r="A475" s="4">
        <f>Pracownicy!A475</f>
        <v>0</v>
      </c>
      <c r="B475" s="4">
        <f>Pracownicy!B475</f>
        <v>0</v>
      </c>
      <c r="C475" s="4" t="e">
        <f ca="1">IF(A475="","",_xludf.LET(emp,A475,e,Zaangażowanie!$A$2:$A$501,ms,Zaangażowanie!$C$2:$C$501,sh,Zaangażowanie!$E$2:$E$501,msst,_xludf.XLOOKUP(ms,Milestones!$A$2:$A$501,Milestones!$G$2:$G$501,""),act,(msst="W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75" s="4" t="e">
        <f t="shared" ca="1" si="7"/>
        <v>#NAME?</v>
      </c>
    </row>
    <row r="476" spans="1:4" x14ac:dyDescent="0.25">
      <c r="A476" s="4">
        <f>Pracownicy!A476</f>
        <v>0</v>
      </c>
      <c r="B476" s="4">
        <f>Pracownicy!B476</f>
        <v>0</v>
      </c>
      <c r="C476" s="4" t="e">
        <f ca="1">IF(A476="","",_xludf.LET(emp,A476,e,Zaangażowanie!$A$2:$A$501,ms,Zaangażowanie!$C$2:$C$501,sh,Zaangażowanie!$E$2:$E$501,msst,_xludf.XLOOKUP(ms,Milestones!$A$2:$A$501,Milestones!$G$2:$G$501,""),act,(msst="W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76" s="4" t="e">
        <f t="shared" ca="1" si="7"/>
        <v>#NAME?</v>
      </c>
    </row>
    <row r="477" spans="1:4" x14ac:dyDescent="0.25">
      <c r="A477" s="4">
        <f>Pracownicy!A477</f>
        <v>0</v>
      </c>
      <c r="B477" s="4">
        <f>Pracownicy!B477</f>
        <v>0</v>
      </c>
      <c r="C477" s="4" t="e">
        <f ca="1">IF(A477="","",_xludf.LET(emp,A477,e,Zaangażowanie!$A$2:$A$501,ms,Zaangażowanie!$C$2:$C$501,sh,Zaangażowanie!$E$2:$E$501,msst,_xludf.XLOOKUP(ms,Milestones!$A$2:$A$501,Milestones!$G$2:$G$501,""),act,(msst="W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77" s="4" t="e">
        <f t="shared" ca="1" si="7"/>
        <v>#NAME?</v>
      </c>
    </row>
    <row r="478" spans="1:4" x14ac:dyDescent="0.25">
      <c r="A478" s="4">
        <f>Pracownicy!A478</f>
        <v>0</v>
      </c>
      <c r="B478" s="4">
        <f>Pracownicy!B478</f>
        <v>0</v>
      </c>
      <c r="C478" s="4" t="e">
        <f ca="1">IF(A478="","",_xludf.LET(emp,A478,e,Zaangażowanie!$A$2:$A$501,ms,Zaangażowanie!$C$2:$C$501,sh,Zaangażowanie!$E$2:$E$501,msst,_xludf.XLOOKUP(ms,Milestones!$A$2:$A$501,Milestones!$G$2:$G$501,""),act,(msst="W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78" s="4" t="e">
        <f t="shared" ca="1" si="7"/>
        <v>#NAME?</v>
      </c>
    </row>
    <row r="479" spans="1:4" x14ac:dyDescent="0.25">
      <c r="A479" s="4">
        <f>Pracownicy!A479</f>
        <v>0</v>
      </c>
      <c r="B479" s="4">
        <f>Pracownicy!B479</f>
        <v>0</v>
      </c>
      <c r="C479" s="4" t="e">
        <f ca="1">IF(A479="","",_xludf.LET(emp,A479,e,Zaangażowanie!$A$2:$A$501,ms,Zaangażowanie!$C$2:$C$501,sh,Zaangażowanie!$E$2:$E$501,msst,_xludf.XLOOKUP(ms,Milestones!$A$2:$A$501,Milestones!$G$2:$G$501,""),act,(msst="W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79" s="4" t="e">
        <f t="shared" ca="1" si="7"/>
        <v>#NAME?</v>
      </c>
    </row>
    <row r="480" spans="1:4" x14ac:dyDescent="0.25">
      <c r="A480" s="4">
        <f>Pracownicy!A480</f>
        <v>0</v>
      </c>
      <c r="B480" s="4">
        <f>Pracownicy!B480</f>
        <v>0</v>
      </c>
      <c r="C480" s="4" t="e">
        <f ca="1">IF(A480="","",_xludf.LET(emp,A480,e,Zaangażowanie!$A$2:$A$501,ms,Zaangażowanie!$C$2:$C$501,sh,Zaangażowanie!$E$2:$E$501,msst,_xludf.XLOOKUP(ms,Milestones!$A$2:$A$501,Milestones!$G$2:$G$501,""),act,(msst="W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80" s="4" t="e">
        <f t="shared" ca="1" si="7"/>
        <v>#NAME?</v>
      </c>
    </row>
    <row r="481" spans="1:4" x14ac:dyDescent="0.25">
      <c r="A481" s="4">
        <f>Pracownicy!A481</f>
        <v>0</v>
      </c>
      <c r="B481" s="4">
        <f>Pracownicy!B481</f>
        <v>0</v>
      </c>
      <c r="C481" s="4" t="e">
        <f ca="1">IF(A481="","",_xludf.LET(emp,A481,e,Zaangażowanie!$A$2:$A$501,ms,Zaangażowanie!$C$2:$C$501,sh,Zaangażowanie!$E$2:$E$501,msst,_xludf.XLOOKUP(ms,Milestones!$A$2:$A$501,Milestones!$G$2:$G$501,""),act,(msst="W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81" s="4" t="e">
        <f t="shared" ca="1" si="7"/>
        <v>#NAME?</v>
      </c>
    </row>
    <row r="482" spans="1:4" x14ac:dyDescent="0.25">
      <c r="A482" s="4">
        <f>Pracownicy!A482</f>
        <v>0</v>
      </c>
      <c r="B482" s="4">
        <f>Pracownicy!B482</f>
        <v>0</v>
      </c>
      <c r="C482" s="4" t="e">
        <f ca="1">IF(A482="","",_xludf.LET(emp,A482,e,Zaangażowanie!$A$2:$A$501,ms,Zaangażowanie!$C$2:$C$501,sh,Zaangażowanie!$E$2:$E$501,msst,_xludf.XLOOKUP(ms,Milestones!$A$2:$A$501,Milestones!$G$2:$G$501,""),act,(msst="W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82" s="4" t="e">
        <f t="shared" ca="1" si="7"/>
        <v>#NAME?</v>
      </c>
    </row>
    <row r="483" spans="1:4" x14ac:dyDescent="0.25">
      <c r="A483" s="4">
        <f>Pracownicy!A483</f>
        <v>0</v>
      </c>
      <c r="B483" s="4">
        <f>Pracownicy!B483</f>
        <v>0</v>
      </c>
      <c r="C483" s="4" t="e">
        <f ca="1">IF(A483="","",_xludf.LET(emp,A483,e,Zaangażowanie!$A$2:$A$501,ms,Zaangażowanie!$C$2:$C$501,sh,Zaangażowanie!$E$2:$E$501,msst,_xludf.XLOOKUP(ms,Milestones!$A$2:$A$501,Milestones!$G$2:$G$501,""),act,(msst="W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83" s="4" t="e">
        <f t="shared" ca="1" si="7"/>
        <v>#NAME?</v>
      </c>
    </row>
    <row r="484" spans="1:4" x14ac:dyDescent="0.25">
      <c r="A484" s="4">
        <f>Pracownicy!A484</f>
        <v>0</v>
      </c>
      <c r="B484" s="4">
        <f>Pracownicy!B484</f>
        <v>0</v>
      </c>
      <c r="C484" s="4" t="e">
        <f ca="1">IF(A484="","",_xludf.LET(emp,A484,e,Zaangażowanie!$A$2:$A$501,ms,Zaangażowanie!$C$2:$C$501,sh,Zaangażowanie!$E$2:$E$501,msst,_xludf.XLOOKUP(ms,Milestones!$A$2:$A$501,Milestones!$G$2:$G$501,""),act,(msst="W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84" s="4" t="e">
        <f t="shared" ca="1" si="7"/>
        <v>#NAME?</v>
      </c>
    </row>
    <row r="485" spans="1:4" x14ac:dyDescent="0.25">
      <c r="A485" s="4">
        <f>Pracownicy!A485</f>
        <v>0</v>
      </c>
      <c r="B485" s="4">
        <f>Pracownicy!B485</f>
        <v>0</v>
      </c>
      <c r="C485" s="4" t="e">
        <f ca="1">IF(A485="","",_xludf.LET(emp,A485,e,Zaangażowanie!$A$2:$A$501,ms,Zaangażowanie!$C$2:$C$501,sh,Zaangażowanie!$E$2:$E$501,msst,_xludf.XLOOKUP(ms,Milestones!$A$2:$A$501,Milestones!$G$2:$G$501,""),act,(msst="W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85" s="4" t="e">
        <f t="shared" ca="1" si="7"/>
        <v>#NAME?</v>
      </c>
    </row>
    <row r="486" spans="1:4" x14ac:dyDescent="0.25">
      <c r="A486" s="4">
        <f>Pracownicy!A486</f>
        <v>0</v>
      </c>
      <c r="B486" s="4">
        <f>Pracownicy!B486</f>
        <v>0</v>
      </c>
      <c r="C486" s="4" t="e">
        <f ca="1">IF(A486="","",_xludf.LET(emp,A486,e,Zaangażowanie!$A$2:$A$501,ms,Zaangażowanie!$C$2:$C$501,sh,Zaangażowanie!$E$2:$E$501,msst,_xludf.XLOOKUP(ms,Milestones!$A$2:$A$501,Milestones!$G$2:$G$501,""),act,(msst="W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86" s="4" t="e">
        <f t="shared" ca="1" si="7"/>
        <v>#NAME?</v>
      </c>
    </row>
    <row r="487" spans="1:4" x14ac:dyDescent="0.25">
      <c r="A487" s="4">
        <f>Pracownicy!A487</f>
        <v>0</v>
      </c>
      <c r="B487" s="4">
        <f>Pracownicy!B487</f>
        <v>0</v>
      </c>
      <c r="C487" s="4" t="e">
        <f ca="1">IF(A487="","",_xludf.LET(emp,A487,e,Zaangażowanie!$A$2:$A$501,ms,Zaangażowanie!$C$2:$C$501,sh,Zaangażowanie!$E$2:$E$501,msst,_xludf.XLOOKUP(ms,Milestones!$A$2:$A$501,Milestones!$G$2:$G$501,""),act,(msst="W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87" s="4" t="e">
        <f t="shared" ca="1" si="7"/>
        <v>#NAME?</v>
      </c>
    </row>
    <row r="488" spans="1:4" x14ac:dyDescent="0.25">
      <c r="A488" s="4">
        <f>Pracownicy!A488</f>
        <v>0</v>
      </c>
      <c r="B488" s="4">
        <f>Pracownicy!B488</f>
        <v>0</v>
      </c>
      <c r="C488" s="4" t="e">
        <f ca="1">IF(A488="","",_xludf.LET(emp,A488,e,Zaangażowanie!$A$2:$A$501,ms,Zaangażowanie!$C$2:$C$501,sh,Zaangażowanie!$E$2:$E$501,msst,_xludf.XLOOKUP(ms,Milestones!$A$2:$A$501,Milestones!$G$2:$G$501,""),act,(msst="W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88" s="4" t="e">
        <f t="shared" ca="1" si="7"/>
        <v>#NAME?</v>
      </c>
    </row>
    <row r="489" spans="1:4" x14ac:dyDescent="0.25">
      <c r="A489" s="4">
        <f>Pracownicy!A489</f>
        <v>0</v>
      </c>
      <c r="B489" s="4">
        <f>Pracownicy!B489</f>
        <v>0</v>
      </c>
      <c r="C489" s="4" t="e">
        <f ca="1">IF(A489="","",_xludf.LET(emp,A489,e,Zaangażowanie!$A$2:$A$501,ms,Zaangażowanie!$C$2:$C$501,sh,Zaangażowanie!$E$2:$E$501,msst,_xludf.XLOOKUP(ms,Milestones!$A$2:$A$501,Milestones!$G$2:$G$501,""),act,(msst="W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89" s="4" t="e">
        <f t="shared" ca="1" si="7"/>
        <v>#NAME?</v>
      </c>
    </row>
    <row r="490" spans="1:4" x14ac:dyDescent="0.25">
      <c r="A490" s="4">
        <f>Pracownicy!A490</f>
        <v>0</v>
      </c>
      <c r="B490" s="4">
        <f>Pracownicy!B490</f>
        <v>0</v>
      </c>
      <c r="C490" s="4" t="e">
        <f ca="1">IF(A490="","",_xludf.LET(emp,A490,e,Zaangażowanie!$A$2:$A$501,ms,Zaangażowanie!$C$2:$C$501,sh,Zaangażowanie!$E$2:$E$501,msst,_xludf.XLOOKUP(ms,Milestones!$A$2:$A$501,Milestones!$G$2:$G$501,""),act,(msst="W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90" s="4" t="e">
        <f t="shared" ca="1" si="7"/>
        <v>#NAME?</v>
      </c>
    </row>
    <row r="491" spans="1:4" x14ac:dyDescent="0.25">
      <c r="A491" s="4">
        <f>Pracownicy!A491</f>
        <v>0</v>
      </c>
      <c r="B491" s="4">
        <f>Pracownicy!B491</f>
        <v>0</v>
      </c>
      <c r="C491" s="4" t="e">
        <f ca="1">IF(A491="","",_xludf.LET(emp,A491,e,Zaangażowanie!$A$2:$A$501,ms,Zaangażowanie!$C$2:$C$501,sh,Zaangażowanie!$E$2:$E$501,msst,_xludf.XLOOKUP(ms,Milestones!$A$2:$A$501,Milestones!$G$2:$G$501,""),act,(msst="W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91" s="4" t="e">
        <f t="shared" ca="1" si="7"/>
        <v>#NAME?</v>
      </c>
    </row>
    <row r="492" spans="1:4" x14ac:dyDescent="0.25">
      <c r="A492" s="4">
        <f>Pracownicy!A492</f>
        <v>0</v>
      </c>
      <c r="B492" s="4">
        <f>Pracownicy!B492</f>
        <v>0</v>
      </c>
      <c r="C492" s="4" t="e">
        <f ca="1">IF(A492="","",_xludf.LET(emp,A492,e,Zaangażowanie!$A$2:$A$501,ms,Zaangażowanie!$C$2:$C$501,sh,Zaangażowanie!$E$2:$E$501,msst,_xludf.XLOOKUP(ms,Milestones!$A$2:$A$501,Milestones!$G$2:$G$501,""),act,(msst="W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92" s="4" t="e">
        <f t="shared" ca="1" si="7"/>
        <v>#NAME?</v>
      </c>
    </row>
    <row r="493" spans="1:4" x14ac:dyDescent="0.25">
      <c r="A493" s="4">
        <f>Pracownicy!A493</f>
        <v>0</v>
      </c>
      <c r="B493" s="4">
        <f>Pracownicy!B493</f>
        <v>0</v>
      </c>
      <c r="C493" s="4" t="e">
        <f ca="1">IF(A493="","",_xludf.LET(emp,A493,e,Zaangażowanie!$A$2:$A$501,ms,Zaangażowanie!$C$2:$C$501,sh,Zaangażowanie!$E$2:$E$501,msst,_xludf.XLOOKUP(ms,Milestones!$A$2:$A$501,Milestones!$G$2:$G$501,""),act,(msst="W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93" s="4" t="e">
        <f t="shared" ca="1" si="7"/>
        <v>#NAME?</v>
      </c>
    </row>
    <row r="494" spans="1:4" x14ac:dyDescent="0.25">
      <c r="A494" s="4">
        <f>Pracownicy!A494</f>
        <v>0</v>
      </c>
      <c r="B494" s="4">
        <f>Pracownicy!B494</f>
        <v>0</v>
      </c>
      <c r="C494" s="4" t="e">
        <f ca="1">IF(A494="","",_xludf.LET(emp,A494,e,Zaangażowanie!$A$2:$A$501,ms,Zaangażowanie!$C$2:$C$501,sh,Zaangażowanie!$E$2:$E$501,msst,_xludf.XLOOKUP(ms,Milestones!$A$2:$A$501,Milestones!$G$2:$G$501,""),act,(msst="W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94" s="4" t="e">
        <f t="shared" ca="1" si="7"/>
        <v>#NAME?</v>
      </c>
    </row>
    <row r="495" spans="1:4" x14ac:dyDescent="0.25">
      <c r="A495" s="4">
        <f>Pracownicy!A495</f>
        <v>0</v>
      </c>
      <c r="B495" s="4">
        <f>Pracownicy!B495</f>
        <v>0</v>
      </c>
      <c r="C495" s="4" t="e">
        <f ca="1">IF(A495="","",_xludf.LET(emp,A495,e,Zaangażowanie!$A$2:$A$501,ms,Zaangażowanie!$C$2:$C$501,sh,Zaangażowanie!$E$2:$E$501,msst,_xludf.XLOOKUP(ms,Milestones!$A$2:$A$501,Milestones!$G$2:$G$501,""),act,(msst="W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95" s="4" t="e">
        <f t="shared" ca="1" si="7"/>
        <v>#NAME?</v>
      </c>
    </row>
    <row r="496" spans="1:4" x14ac:dyDescent="0.25">
      <c r="A496" s="4">
        <f>Pracownicy!A496</f>
        <v>0</v>
      </c>
      <c r="B496" s="4">
        <f>Pracownicy!B496</f>
        <v>0</v>
      </c>
      <c r="C496" s="4" t="e">
        <f ca="1">IF(A496="","",_xludf.LET(emp,A496,e,Zaangażowanie!$A$2:$A$501,ms,Zaangażowanie!$C$2:$C$501,sh,Zaangażowanie!$E$2:$E$501,msst,_xludf.XLOOKUP(ms,Milestones!$A$2:$A$501,Milestones!$G$2:$G$501,""),act,(msst="W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96" s="4" t="e">
        <f t="shared" ca="1" si="7"/>
        <v>#NAME?</v>
      </c>
    </row>
    <row r="497" spans="1:4" x14ac:dyDescent="0.25">
      <c r="A497" s="4">
        <f>Pracownicy!A497</f>
        <v>0</v>
      </c>
      <c r="B497" s="4">
        <f>Pracownicy!B497</f>
        <v>0</v>
      </c>
      <c r="C497" s="4" t="e">
        <f ca="1">IF(A497="","",_xludf.LET(emp,A497,e,Zaangażowanie!$A$2:$A$501,ms,Zaangażowanie!$C$2:$C$501,sh,Zaangażowanie!$E$2:$E$501,msst,_xludf.XLOOKUP(ms,Milestones!$A$2:$A$501,Milestones!$G$2:$G$501,""),act,(msst="W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97" s="4" t="e">
        <f t="shared" ca="1" si="7"/>
        <v>#NAME?</v>
      </c>
    </row>
    <row r="498" spans="1:4" x14ac:dyDescent="0.25">
      <c r="A498" s="4">
        <f>Pracownicy!A498</f>
        <v>0</v>
      </c>
      <c r="B498" s="4">
        <f>Pracownicy!B498</f>
        <v>0</v>
      </c>
      <c r="C498" s="4" t="e">
        <f ca="1">IF(A498="","",_xludf.LET(emp,A498,e,Zaangażowanie!$A$2:$A$501,ms,Zaangażowanie!$C$2:$C$501,sh,Zaangażowanie!$E$2:$E$501,msst,_xludf.XLOOKUP(ms,Milestones!$A$2:$A$501,Milestones!$G$2:$G$501,""),act,(msst="W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98" s="4" t="e">
        <f t="shared" ca="1" si="7"/>
        <v>#NAME?</v>
      </c>
    </row>
    <row r="499" spans="1:4" x14ac:dyDescent="0.25">
      <c r="A499" s="4">
        <f>Pracownicy!A499</f>
        <v>0</v>
      </c>
      <c r="B499" s="4">
        <f>Pracownicy!B499</f>
        <v>0</v>
      </c>
      <c r="C499" s="4" t="e">
        <f ca="1">IF(A499="","",_xludf.LET(emp,A499,e,Zaangażowanie!$A$2:$A$501,ms,Zaangażowanie!$C$2:$C$501,sh,Zaangażowanie!$E$2:$E$501,msst,_xludf.XLOOKUP(ms,Milestones!$A$2:$A$501,Milestones!$G$2:$G$501,""),act,(msst="W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499" s="4" t="e">
        <f t="shared" ca="1" si="7"/>
        <v>#NAME?</v>
      </c>
    </row>
    <row r="500" spans="1:4" x14ac:dyDescent="0.25">
      <c r="A500" s="4">
        <f>Pracownicy!A500</f>
        <v>0</v>
      </c>
      <c r="B500" s="4">
        <f>Pracownicy!B500</f>
        <v>0</v>
      </c>
      <c r="C500" s="4" t="e">
        <f ca="1">IF(A500="","",_xludf.LET(emp,A500,e,Zaangażowanie!$A$2:$A$501,ms,Zaangażowanie!$C$2:$C$501,sh,Zaangażowanie!$E$2:$E$501,msst,_xludf.XLOOKUP(ms,Milestones!$A$2:$A$501,Milestones!$G$2:$G$501,""),act,(msst="W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00" s="4" t="e">
        <f t="shared" ca="1" si="7"/>
        <v>#NAME?</v>
      </c>
    </row>
    <row r="501" spans="1:4" x14ac:dyDescent="0.25">
      <c r="A501" s="4">
        <f>Pracownicy!A501</f>
        <v>0</v>
      </c>
      <c r="B501" s="4">
        <f>Pracownicy!B501</f>
        <v>0</v>
      </c>
      <c r="C501" s="4" t="e">
        <f ca="1">IF(A501="","",_xludf.LET(emp,A501,e,Zaangażowanie!$A$2:$A$501,ms,Zaangażowanie!$C$2:$C$501,sh,Zaangażowanie!$E$2:$E$501,msst,_xludf.XLOOKUP(ms,Milestones!$A$2:$A$501,Milestones!$G$2:$G$501,""),act,(msst="W trakcie")+(msst="W toku"),ROUND(SUMPRODUCT((e=emp)*sh*act),3)))</f>
        <v>#NAME?</v>
      </c>
      <c r="D501" s="4" t="e">
        <f t="shared" ca="1" si="7"/>
        <v>#NAME?</v>
      </c>
    </row>
  </sheetData>
  <conditionalFormatting sqref="C2:C501">
    <cfRule type="cellIs" dxfId="1" priority="1" operator="greaterThan">
      <formula>1</formula>
    </cfRule>
  </conditionalFormatting>
  <conditionalFormatting sqref="D2:D501">
    <cfRule type="cellIs" dxfId="0" priority="2" operator="equal">
      <formula>"NIE"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8" customWidth="1"/>
    <col min="4" max="4" width="30" customWidth="1"/>
    <col min="5" max="5" width="20" customWidth="1"/>
    <col min="6" max="6" width="16" customWidth="1"/>
  </cols>
  <sheetData>
    <row r="1" spans="1:6" x14ac:dyDescent="0.25">
      <c r="A1" s="6" t="s">
        <v>63</v>
      </c>
      <c r="B1" s="6" t="s">
        <v>64</v>
      </c>
      <c r="C1" s="6" t="s">
        <v>65</v>
      </c>
      <c r="D1" s="6" t="s">
        <v>55</v>
      </c>
      <c r="E1" s="6" t="s">
        <v>89</v>
      </c>
      <c r="F1" s="6" t="s">
        <v>90</v>
      </c>
    </row>
    <row r="2" spans="1:6" x14ac:dyDescent="0.25">
      <c r="A2" s="4" t="str">
        <f>Pracownicy!A2</f>
        <v>E-001</v>
      </c>
      <c r="B2" s="4" t="str">
        <f>Pracownicy!B2</f>
        <v>Tymoteusz Mądry</v>
      </c>
      <c r="C2" s="4" t="str">
        <f>Pracownicy!C2</f>
        <v>R&amp;D</v>
      </c>
      <c r="D2" s="4" t="str">
        <f>Pracownicy!D2</f>
        <v>Specjalista</v>
      </c>
      <c r="E2" s="4">
        <f>IF(A2="","",SUMIF(Wyniki!$A$2:$A$501,A2,Wyniki!$O$2:$O$501))</f>
        <v>1052.6300000000001</v>
      </c>
      <c r="F2" s="4">
        <f>IF(A2="","",COUNTIF(Wyniki!$A$2:$A$501,A2))</f>
        <v>1</v>
      </c>
    </row>
    <row r="3" spans="1:6" x14ac:dyDescent="0.25">
      <c r="A3" s="4" t="str">
        <f>Pracownicy!A3</f>
        <v>E-002</v>
      </c>
      <c r="B3" s="4" t="str">
        <f>Pracownicy!B3</f>
        <v>Albert Giza</v>
      </c>
      <c r="C3" s="4" t="str">
        <f>Pracownicy!C3</f>
        <v>R&amp;D</v>
      </c>
      <c r="D3" s="4" t="str">
        <f>Pracownicy!D3</f>
        <v>Lider projektu / Architekt</v>
      </c>
      <c r="E3" s="4">
        <f>IF(A3="","",SUMIF(Wyniki!$A$2:$A$501,A3,Wyniki!$O$2:$O$501))</f>
        <v>1315.78</v>
      </c>
      <c r="F3" s="4">
        <f>IF(A3="","",COUNTIF(Wyniki!$A$2:$A$501,A3))</f>
        <v>1</v>
      </c>
    </row>
    <row r="4" spans="1:6" x14ac:dyDescent="0.25">
      <c r="A4" s="4" t="str">
        <f>Pracownicy!A4</f>
        <v>E-003</v>
      </c>
      <c r="B4" s="4" t="str">
        <f>Pracownicy!B4</f>
        <v>Jan Kochanowski</v>
      </c>
      <c r="C4" s="4" t="str">
        <f>Pracownicy!C4</f>
        <v>R&amp;D</v>
      </c>
      <c r="D4" s="4" t="str">
        <f>Pracownicy!D4</f>
        <v>Senior</v>
      </c>
      <c r="E4" s="4">
        <f>IF(A4="","",SUMIF(Wyniki!$A$2:$A$501,A4,Wyniki!$O$2:$O$501))</f>
        <v>631.57000000000005</v>
      </c>
      <c r="F4" s="4">
        <f>IF(A4="","",COUNTIF(Wyniki!$A$2:$A$501,A4))</f>
        <v>1</v>
      </c>
    </row>
    <row r="5" spans="1:6" x14ac:dyDescent="0.25">
      <c r="A5" s="4">
        <f>Pracownicy!A5</f>
        <v>0</v>
      </c>
      <c r="B5" s="4">
        <f>Pracownicy!B5</f>
        <v>0</v>
      </c>
      <c r="C5" s="4">
        <f>Pracownicy!C5</f>
        <v>0</v>
      </c>
      <c r="D5" s="4">
        <f>Pracownicy!D5</f>
        <v>0</v>
      </c>
      <c r="E5" s="4">
        <f>IF(A5="","",SUMIF(Wyniki!$A$2:$A$501,A5,Wyniki!$O$2:$O$501))</f>
        <v>0</v>
      </c>
      <c r="F5" s="4">
        <f>IF(A5="","",COUNTIF(Wyniki!$A$2:$A$501,A5))</f>
        <v>0</v>
      </c>
    </row>
    <row r="6" spans="1:6" x14ac:dyDescent="0.25">
      <c r="A6" s="4">
        <f>Pracownicy!A6</f>
        <v>0</v>
      </c>
      <c r="B6" s="4">
        <f>Pracownicy!B6</f>
        <v>0</v>
      </c>
      <c r="C6" s="4">
        <f>Pracownicy!C6</f>
        <v>0</v>
      </c>
      <c r="D6" s="4">
        <f>Pracownicy!D6</f>
        <v>0</v>
      </c>
      <c r="E6" s="4">
        <f>IF(A6="","",SUMIF(Wyniki!$A$2:$A$501,A6,Wyniki!$O$2:$O$501))</f>
        <v>0</v>
      </c>
      <c r="F6" s="4">
        <f>IF(A6="","",COUNTIF(Wyniki!$A$2:$A$501,A6))</f>
        <v>0</v>
      </c>
    </row>
    <row r="7" spans="1:6" x14ac:dyDescent="0.25">
      <c r="A7" s="4">
        <f>Pracownicy!A7</f>
        <v>0</v>
      </c>
      <c r="B7" s="4">
        <f>Pracownicy!B7</f>
        <v>0</v>
      </c>
      <c r="C7" s="4">
        <f>Pracownicy!C7</f>
        <v>0</v>
      </c>
      <c r="D7" s="4">
        <f>Pracownicy!D7</f>
        <v>0</v>
      </c>
      <c r="E7" s="4">
        <f>IF(A7="","",SUMIF(Wyniki!$A$2:$A$501,A7,Wyniki!$O$2:$O$501))</f>
        <v>0</v>
      </c>
      <c r="F7" s="4">
        <f>IF(A7="","",COUNTIF(Wyniki!$A$2:$A$501,A7))</f>
        <v>0</v>
      </c>
    </row>
    <row r="8" spans="1:6" x14ac:dyDescent="0.25">
      <c r="A8" s="4">
        <f>Pracownicy!A8</f>
        <v>0</v>
      </c>
      <c r="B8" s="4">
        <f>Pracownicy!B8</f>
        <v>0</v>
      </c>
      <c r="C8" s="4">
        <f>Pracownicy!C8</f>
        <v>0</v>
      </c>
      <c r="D8" s="4">
        <f>Pracownicy!D8</f>
        <v>0</v>
      </c>
      <c r="E8" s="4">
        <f>IF(A8="","",SUMIF(Wyniki!$A$2:$A$501,A8,Wyniki!$O$2:$O$501))</f>
        <v>0</v>
      </c>
      <c r="F8" s="4">
        <f>IF(A8="","",COUNTIF(Wyniki!$A$2:$A$501,A8))</f>
        <v>0</v>
      </c>
    </row>
    <row r="9" spans="1:6" x14ac:dyDescent="0.25">
      <c r="A9" s="4">
        <f>Pracownicy!A9</f>
        <v>0</v>
      </c>
      <c r="B9" s="4">
        <f>Pracownicy!B9</f>
        <v>0</v>
      </c>
      <c r="C9" s="4">
        <f>Pracownicy!C9</f>
        <v>0</v>
      </c>
      <c r="D9" s="4">
        <f>Pracownicy!D9</f>
        <v>0</v>
      </c>
      <c r="E9" s="4">
        <f>IF(A9="","",SUMIF(Wyniki!$A$2:$A$501,A9,Wyniki!$O$2:$O$501))</f>
        <v>0</v>
      </c>
      <c r="F9" s="4">
        <f>IF(A9="","",COUNTIF(Wyniki!$A$2:$A$501,A9))</f>
        <v>0</v>
      </c>
    </row>
    <row r="10" spans="1:6" x14ac:dyDescent="0.25">
      <c r="A10" s="4">
        <f>Pracownicy!A10</f>
        <v>0</v>
      </c>
      <c r="B10" s="4">
        <f>Pracownicy!B10</f>
        <v>0</v>
      </c>
      <c r="C10" s="4">
        <f>Pracownicy!C10</f>
        <v>0</v>
      </c>
      <c r="D10" s="4">
        <f>Pracownicy!D10</f>
        <v>0</v>
      </c>
      <c r="E10" s="4">
        <f>IF(A10="","",SUMIF(Wyniki!$A$2:$A$501,A10,Wyniki!$O$2:$O$501))</f>
        <v>0</v>
      </c>
      <c r="F10" s="4">
        <f>IF(A10="","",COUNTIF(Wyniki!$A$2:$A$501,A10))</f>
        <v>0</v>
      </c>
    </row>
    <row r="11" spans="1:6" x14ac:dyDescent="0.25">
      <c r="A11" s="4">
        <f>Pracownicy!A11</f>
        <v>0</v>
      </c>
      <c r="B11" s="4">
        <f>Pracownicy!B11</f>
        <v>0</v>
      </c>
      <c r="C11" s="4">
        <f>Pracownicy!C11</f>
        <v>0</v>
      </c>
      <c r="D11" s="4">
        <f>Pracownicy!D11</f>
        <v>0</v>
      </c>
      <c r="E11" s="4">
        <f>IF(A11="","",SUMIF(Wyniki!$A$2:$A$501,A11,Wyniki!$O$2:$O$501))</f>
        <v>0</v>
      </c>
      <c r="F11" s="4">
        <f>IF(A11="","",COUNTIF(Wyniki!$A$2:$A$501,A11))</f>
        <v>0</v>
      </c>
    </row>
    <row r="12" spans="1:6" x14ac:dyDescent="0.25">
      <c r="A12" s="4">
        <f>Pracownicy!A12</f>
        <v>0</v>
      </c>
      <c r="B12" s="4">
        <f>Pracownicy!B12</f>
        <v>0</v>
      </c>
      <c r="C12" s="4">
        <f>Pracownicy!C12</f>
        <v>0</v>
      </c>
      <c r="D12" s="4">
        <f>Pracownicy!D12</f>
        <v>0</v>
      </c>
      <c r="E12" s="4">
        <f>IF(A12="","",SUMIF(Wyniki!$A$2:$A$501,A12,Wyniki!$O$2:$O$501))</f>
        <v>0</v>
      </c>
      <c r="F12" s="4">
        <f>IF(A12="","",COUNTIF(Wyniki!$A$2:$A$501,A12))</f>
        <v>0</v>
      </c>
    </row>
    <row r="13" spans="1:6" x14ac:dyDescent="0.25">
      <c r="A13" s="4">
        <f>Pracownicy!A13</f>
        <v>0</v>
      </c>
      <c r="B13" s="4">
        <f>Pracownicy!B13</f>
        <v>0</v>
      </c>
      <c r="C13" s="4">
        <f>Pracownicy!C13</f>
        <v>0</v>
      </c>
      <c r="D13" s="4">
        <f>Pracownicy!D13</f>
        <v>0</v>
      </c>
      <c r="E13" s="4">
        <f>IF(A13="","",SUMIF(Wyniki!$A$2:$A$501,A13,Wyniki!$O$2:$O$501))</f>
        <v>0</v>
      </c>
      <c r="F13" s="4">
        <f>IF(A13="","",COUNTIF(Wyniki!$A$2:$A$501,A13))</f>
        <v>0</v>
      </c>
    </row>
    <row r="14" spans="1:6" x14ac:dyDescent="0.25">
      <c r="A14" s="4">
        <f>Pracownicy!A14</f>
        <v>0</v>
      </c>
      <c r="B14" s="4">
        <f>Pracownicy!B14</f>
        <v>0</v>
      </c>
      <c r="C14" s="4">
        <f>Pracownicy!C14</f>
        <v>0</v>
      </c>
      <c r="D14" s="4">
        <f>Pracownicy!D14</f>
        <v>0</v>
      </c>
      <c r="E14" s="4">
        <f>IF(A14="","",SUMIF(Wyniki!$A$2:$A$501,A14,Wyniki!$O$2:$O$501))</f>
        <v>0</v>
      </c>
      <c r="F14" s="4">
        <f>IF(A14="","",COUNTIF(Wyniki!$A$2:$A$501,A14))</f>
        <v>0</v>
      </c>
    </row>
    <row r="15" spans="1:6" x14ac:dyDescent="0.25">
      <c r="A15" s="4">
        <f>Pracownicy!A15</f>
        <v>0</v>
      </c>
      <c r="B15" s="4">
        <f>Pracownicy!B15</f>
        <v>0</v>
      </c>
      <c r="C15" s="4">
        <f>Pracownicy!C15</f>
        <v>0</v>
      </c>
      <c r="D15" s="4">
        <f>Pracownicy!D15</f>
        <v>0</v>
      </c>
      <c r="E15" s="4">
        <f>IF(A15="","",SUMIF(Wyniki!$A$2:$A$501,A15,Wyniki!$O$2:$O$501))</f>
        <v>0</v>
      </c>
      <c r="F15" s="4">
        <f>IF(A15="","",COUNTIF(Wyniki!$A$2:$A$501,A15))</f>
        <v>0</v>
      </c>
    </row>
    <row r="16" spans="1:6" x14ac:dyDescent="0.25">
      <c r="A16" s="4">
        <f>Pracownicy!A16</f>
        <v>0</v>
      </c>
      <c r="B16" s="4">
        <f>Pracownicy!B16</f>
        <v>0</v>
      </c>
      <c r="C16" s="4">
        <f>Pracownicy!C16</f>
        <v>0</v>
      </c>
      <c r="D16" s="4">
        <f>Pracownicy!D16</f>
        <v>0</v>
      </c>
      <c r="E16" s="4">
        <f>IF(A16="","",SUMIF(Wyniki!$A$2:$A$501,A16,Wyniki!$O$2:$O$501))</f>
        <v>0</v>
      </c>
      <c r="F16" s="4">
        <f>IF(A16="","",COUNTIF(Wyniki!$A$2:$A$501,A16))</f>
        <v>0</v>
      </c>
    </row>
    <row r="17" spans="1:6" x14ac:dyDescent="0.25">
      <c r="A17" s="4">
        <f>Pracownicy!A17</f>
        <v>0</v>
      </c>
      <c r="B17" s="4">
        <f>Pracownicy!B17</f>
        <v>0</v>
      </c>
      <c r="C17" s="4">
        <f>Pracownicy!C17</f>
        <v>0</v>
      </c>
      <c r="D17" s="4">
        <f>Pracownicy!D17</f>
        <v>0</v>
      </c>
      <c r="E17" s="4">
        <f>IF(A17="","",SUMIF(Wyniki!$A$2:$A$501,A17,Wyniki!$O$2:$O$501))</f>
        <v>0</v>
      </c>
      <c r="F17" s="4">
        <f>IF(A17="","",COUNTIF(Wyniki!$A$2:$A$501,A17))</f>
        <v>0</v>
      </c>
    </row>
    <row r="18" spans="1:6" x14ac:dyDescent="0.25">
      <c r="A18" s="4">
        <f>Pracownicy!A18</f>
        <v>0</v>
      </c>
      <c r="B18" s="4">
        <f>Pracownicy!B18</f>
        <v>0</v>
      </c>
      <c r="C18" s="4">
        <f>Pracownicy!C18</f>
        <v>0</v>
      </c>
      <c r="D18" s="4">
        <f>Pracownicy!D18</f>
        <v>0</v>
      </c>
      <c r="E18" s="4">
        <f>IF(A18="","",SUMIF(Wyniki!$A$2:$A$501,A18,Wyniki!$O$2:$O$501))</f>
        <v>0</v>
      </c>
      <c r="F18" s="4">
        <f>IF(A18="","",COUNTIF(Wyniki!$A$2:$A$501,A18))</f>
        <v>0</v>
      </c>
    </row>
    <row r="19" spans="1:6" x14ac:dyDescent="0.25">
      <c r="A19" s="4">
        <f>Pracownicy!A19</f>
        <v>0</v>
      </c>
      <c r="B19" s="4">
        <f>Pracownicy!B19</f>
        <v>0</v>
      </c>
      <c r="C19" s="4">
        <f>Pracownicy!C19</f>
        <v>0</v>
      </c>
      <c r="D19" s="4">
        <f>Pracownicy!D19</f>
        <v>0</v>
      </c>
      <c r="E19" s="4">
        <f>IF(A19="","",SUMIF(Wyniki!$A$2:$A$501,A19,Wyniki!$O$2:$O$501))</f>
        <v>0</v>
      </c>
      <c r="F19" s="4">
        <f>IF(A19="","",COUNTIF(Wyniki!$A$2:$A$501,A19))</f>
        <v>0</v>
      </c>
    </row>
    <row r="20" spans="1:6" x14ac:dyDescent="0.25">
      <c r="A20" s="4">
        <f>Pracownicy!A20</f>
        <v>0</v>
      </c>
      <c r="B20" s="4">
        <f>Pracownicy!B20</f>
        <v>0</v>
      </c>
      <c r="C20" s="4">
        <f>Pracownicy!C20</f>
        <v>0</v>
      </c>
      <c r="D20" s="4">
        <f>Pracownicy!D20</f>
        <v>0</v>
      </c>
      <c r="E20" s="4">
        <f>IF(A20="","",SUMIF(Wyniki!$A$2:$A$501,A20,Wyniki!$O$2:$O$501))</f>
        <v>0</v>
      </c>
      <c r="F20" s="4">
        <f>IF(A20="","",COUNTIF(Wyniki!$A$2:$A$501,A20))</f>
        <v>0</v>
      </c>
    </row>
    <row r="21" spans="1:6" x14ac:dyDescent="0.25">
      <c r="A21" s="4">
        <f>Pracownicy!A21</f>
        <v>0</v>
      </c>
      <c r="B21" s="4">
        <f>Pracownicy!B21</f>
        <v>0</v>
      </c>
      <c r="C21" s="4">
        <f>Pracownicy!C21</f>
        <v>0</v>
      </c>
      <c r="D21" s="4">
        <f>Pracownicy!D21</f>
        <v>0</v>
      </c>
      <c r="E21" s="4">
        <f>IF(A21="","",SUMIF(Wyniki!$A$2:$A$501,A21,Wyniki!$O$2:$O$501))</f>
        <v>0</v>
      </c>
      <c r="F21" s="4">
        <f>IF(A21="","",COUNTIF(Wyniki!$A$2:$A$501,A21))</f>
        <v>0</v>
      </c>
    </row>
    <row r="22" spans="1:6" x14ac:dyDescent="0.25">
      <c r="A22" s="4">
        <f>Pracownicy!A22</f>
        <v>0</v>
      </c>
      <c r="B22" s="4">
        <f>Pracownicy!B22</f>
        <v>0</v>
      </c>
      <c r="C22" s="4">
        <f>Pracownicy!C22</f>
        <v>0</v>
      </c>
      <c r="D22" s="4">
        <f>Pracownicy!D22</f>
        <v>0</v>
      </c>
      <c r="E22" s="4">
        <f>IF(A22="","",SUMIF(Wyniki!$A$2:$A$501,A22,Wyniki!$O$2:$O$501))</f>
        <v>0</v>
      </c>
      <c r="F22" s="4">
        <f>IF(A22="","",COUNTIF(Wyniki!$A$2:$A$501,A22))</f>
        <v>0</v>
      </c>
    </row>
    <row r="23" spans="1:6" x14ac:dyDescent="0.25">
      <c r="A23" s="4">
        <f>Pracownicy!A23</f>
        <v>0</v>
      </c>
      <c r="B23" s="4">
        <f>Pracownicy!B23</f>
        <v>0</v>
      </c>
      <c r="C23" s="4">
        <f>Pracownicy!C23</f>
        <v>0</v>
      </c>
      <c r="D23" s="4">
        <f>Pracownicy!D23</f>
        <v>0</v>
      </c>
      <c r="E23" s="4">
        <f>IF(A23="","",SUMIF(Wyniki!$A$2:$A$501,A23,Wyniki!$O$2:$O$501))</f>
        <v>0</v>
      </c>
      <c r="F23" s="4">
        <f>IF(A23="","",COUNTIF(Wyniki!$A$2:$A$501,A23))</f>
        <v>0</v>
      </c>
    </row>
    <row r="24" spans="1:6" x14ac:dyDescent="0.25">
      <c r="A24" s="4">
        <f>Pracownicy!A24</f>
        <v>0</v>
      </c>
      <c r="B24" s="4">
        <f>Pracownicy!B24</f>
        <v>0</v>
      </c>
      <c r="C24" s="4">
        <f>Pracownicy!C24</f>
        <v>0</v>
      </c>
      <c r="D24" s="4">
        <f>Pracownicy!D24</f>
        <v>0</v>
      </c>
      <c r="E24" s="4">
        <f>IF(A24="","",SUMIF(Wyniki!$A$2:$A$501,A24,Wyniki!$O$2:$O$501))</f>
        <v>0</v>
      </c>
      <c r="F24" s="4">
        <f>IF(A24="","",COUNTIF(Wyniki!$A$2:$A$501,A24))</f>
        <v>0</v>
      </c>
    </row>
    <row r="25" spans="1:6" x14ac:dyDescent="0.25">
      <c r="A25" s="4">
        <f>Pracownicy!A25</f>
        <v>0</v>
      </c>
      <c r="B25" s="4">
        <f>Pracownicy!B25</f>
        <v>0</v>
      </c>
      <c r="C25" s="4">
        <f>Pracownicy!C25</f>
        <v>0</v>
      </c>
      <c r="D25" s="4">
        <f>Pracownicy!D25</f>
        <v>0</v>
      </c>
      <c r="E25" s="4">
        <f>IF(A25="","",SUMIF(Wyniki!$A$2:$A$501,A25,Wyniki!$O$2:$O$501))</f>
        <v>0</v>
      </c>
      <c r="F25" s="4">
        <f>IF(A25="","",COUNTIF(Wyniki!$A$2:$A$501,A25))</f>
        <v>0</v>
      </c>
    </row>
    <row r="26" spans="1:6" x14ac:dyDescent="0.25">
      <c r="A26" s="4">
        <f>Pracownicy!A26</f>
        <v>0</v>
      </c>
      <c r="B26" s="4">
        <f>Pracownicy!B26</f>
        <v>0</v>
      </c>
      <c r="C26" s="4">
        <f>Pracownicy!C26</f>
        <v>0</v>
      </c>
      <c r="D26" s="4">
        <f>Pracownicy!D26</f>
        <v>0</v>
      </c>
      <c r="E26" s="4">
        <f>IF(A26="","",SUMIF(Wyniki!$A$2:$A$501,A26,Wyniki!$O$2:$O$501))</f>
        <v>0</v>
      </c>
      <c r="F26" s="4">
        <f>IF(A26="","",COUNTIF(Wyniki!$A$2:$A$501,A26))</f>
        <v>0</v>
      </c>
    </row>
    <row r="27" spans="1:6" x14ac:dyDescent="0.25">
      <c r="A27" s="4">
        <f>Pracownicy!A27</f>
        <v>0</v>
      </c>
      <c r="B27" s="4">
        <f>Pracownicy!B27</f>
        <v>0</v>
      </c>
      <c r="C27" s="4">
        <f>Pracownicy!C27</f>
        <v>0</v>
      </c>
      <c r="D27" s="4">
        <f>Pracownicy!D27</f>
        <v>0</v>
      </c>
      <c r="E27" s="4">
        <f>IF(A27="","",SUMIF(Wyniki!$A$2:$A$501,A27,Wyniki!$O$2:$O$501))</f>
        <v>0</v>
      </c>
      <c r="F27" s="4">
        <f>IF(A27="","",COUNTIF(Wyniki!$A$2:$A$501,A27))</f>
        <v>0</v>
      </c>
    </row>
    <row r="28" spans="1:6" x14ac:dyDescent="0.25">
      <c r="A28" s="4">
        <f>Pracownicy!A28</f>
        <v>0</v>
      </c>
      <c r="B28" s="4">
        <f>Pracownicy!B28</f>
        <v>0</v>
      </c>
      <c r="C28" s="4">
        <f>Pracownicy!C28</f>
        <v>0</v>
      </c>
      <c r="D28" s="4">
        <f>Pracownicy!D28</f>
        <v>0</v>
      </c>
      <c r="E28" s="4">
        <f>IF(A28="","",SUMIF(Wyniki!$A$2:$A$501,A28,Wyniki!$O$2:$O$501))</f>
        <v>0</v>
      </c>
      <c r="F28" s="4">
        <f>IF(A28="","",COUNTIF(Wyniki!$A$2:$A$501,A28))</f>
        <v>0</v>
      </c>
    </row>
    <row r="29" spans="1:6" x14ac:dyDescent="0.25">
      <c r="A29" s="4">
        <f>Pracownicy!A29</f>
        <v>0</v>
      </c>
      <c r="B29" s="4">
        <f>Pracownicy!B29</f>
        <v>0</v>
      </c>
      <c r="C29" s="4">
        <f>Pracownicy!C29</f>
        <v>0</v>
      </c>
      <c r="D29" s="4">
        <f>Pracownicy!D29</f>
        <v>0</v>
      </c>
      <c r="E29" s="4">
        <f>IF(A29="","",SUMIF(Wyniki!$A$2:$A$501,A29,Wyniki!$O$2:$O$501))</f>
        <v>0</v>
      </c>
      <c r="F29" s="4">
        <f>IF(A29="","",COUNTIF(Wyniki!$A$2:$A$501,A29))</f>
        <v>0</v>
      </c>
    </row>
    <row r="30" spans="1:6" x14ac:dyDescent="0.25">
      <c r="A30" s="4">
        <f>Pracownicy!A30</f>
        <v>0</v>
      </c>
      <c r="B30" s="4">
        <f>Pracownicy!B30</f>
        <v>0</v>
      </c>
      <c r="C30" s="4">
        <f>Pracownicy!C30</f>
        <v>0</v>
      </c>
      <c r="D30" s="4">
        <f>Pracownicy!D30</f>
        <v>0</v>
      </c>
      <c r="E30" s="4">
        <f>IF(A30="","",SUMIF(Wyniki!$A$2:$A$501,A30,Wyniki!$O$2:$O$501))</f>
        <v>0</v>
      </c>
      <c r="F30" s="4">
        <f>IF(A30="","",COUNTIF(Wyniki!$A$2:$A$501,A30))</f>
        <v>0</v>
      </c>
    </row>
    <row r="31" spans="1:6" x14ac:dyDescent="0.25">
      <c r="A31" s="4">
        <f>Pracownicy!A31</f>
        <v>0</v>
      </c>
      <c r="B31" s="4">
        <f>Pracownicy!B31</f>
        <v>0</v>
      </c>
      <c r="C31" s="4">
        <f>Pracownicy!C31</f>
        <v>0</v>
      </c>
      <c r="D31" s="4">
        <f>Pracownicy!D31</f>
        <v>0</v>
      </c>
      <c r="E31" s="4">
        <f>IF(A31="","",SUMIF(Wyniki!$A$2:$A$501,A31,Wyniki!$O$2:$O$501))</f>
        <v>0</v>
      </c>
      <c r="F31" s="4">
        <f>IF(A31="","",COUNTIF(Wyniki!$A$2:$A$501,A31))</f>
        <v>0</v>
      </c>
    </row>
    <row r="32" spans="1:6" x14ac:dyDescent="0.25">
      <c r="A32" s="4">
        <f>Pracownicy!A32</f>
        <v>0</v>
      </c>
      <c r="B32" s="4">
        <f>Pracownicy!B32</f>
        <v>0</v>
      </c>
      <c r="C32" s="4">
        <f>Pracownicy!C32</f>
        <v>0</v>
      </c>
      <c r="D32" s="4">
        <f>Pracownicy!D32</f>
        <v>0</v>
      </c>
      <c r="E32" s="4">
        <f>IF(A32="","",SUMIF(Wyniki!$A$2:$A$501,A32,Wyniki!$O$2:$O$501))</f>
        <v>0</v>
      </c>
      <c r="F32" s="4">
        <f>IF(A32="","",COUNTIF(Wyniki!$A$2:$A$501,A32))</f>
        <v>0</v>
      </c>
    </row>
    <row r="33" spans="1:6" x14ac:dyDescent="0.25">
      <c r="A33" s="4">
        <f>Pracownicy!A33</f>
        <v>0</v>
      </c>
      <c r="B33" s="4">
        <f>Pracownicy!B33</f>
        <v>0</v>
      </c>
      <c r="C33" s="4">
        <f>Pracownicy!C33</f>
        <v>0</v>
      </c>
      <c r="D33" s="4">
        <f>Pracownicy!D33</f>
        <v>0</v>
      </c>
      <c r="E33" s="4">
        <f>IF(A33="","",SUMIF(Wyniki!$A$2:$A$501,A33,Wyniki!$O$2:$O$501))</f>
        <v>0</v>
      </c>
      <c r="F33" s="4">
        <f>IF(A33="","",COUNTIF(Wyniki!$A$2:$A$501,A33))</f>
        <v>0</v>
      </c>
    </row>
    <row r="34" spans="1:6" x14ac:dyDescent="0.25">
      <c r="A34" s="4">
        <f>Pracownicy!A34</f>
        <v>0</v>
      </c>
      <c r="B34" s="4">
        <f>Pracownicy!B34</f>
        <v>0</v>
      </c>
      <c r="C34" s="4">
        <f>Pracownicy!C34</f>
        <v>0</v>
      </c>
      <c r="D34" s="4">
        <f>Pracownicy!D34</f>
        <v>0</v>
      </c>
      <c r="E34" s="4">
        <f>IF(A34="","",SUMIF(Wyniki!$A$2:$A$501,A34,Wyniki!$O$2:$O$501))</f>
        <v>0</v>
      </c>
      <c r="F34" s="4">
        <f>IF(A34="","",COUNTIF(Wyniki!$A$2:$A$501,A34))</f>
        <v>0</v>
      </c>
    </row>
    <row r="35" spans="1:6" x14ac:dyDescent="0.25">
      <c r="A35" s="4">
        <f>Pracownicy!A35</f>
        <v>0</v>
      </c>
      <c r="B35" s="4">
        <f>Pracownicy!B35</f>
        <v>0</v>
      </c>
      <c r="C35" s="4">
        <f>Pracownicy!C35</f>
        <v>0</v>
      </c>
      <c r="D35" s="4">
        <f>Pracownicy!D35</f>
        <v>0</v>
      </c>
      <c r="E35" s="4">
        <f>IF(A35="","",SUMIF(Wyniki!$A$2:$A$501,A35,Wyniki!$O$2:$O$501))</f>
        <v>0</v>
      </c>
      <c r="F35" s="4">
        <f>IF(A35="","",COUNTIF(Wyniki!$A$2:$A$501,A35))</f>
        <v>0</v>
      </c>
    </row>
    <row r="36" spans="1:6" x14ac:dyDescent="0.25">
      <c r="A36" s="4">
        <f>Pracownicy!A36</f>
        <v>0</v>
      </c>
      <c r="B36" s="4">
        <f>Pracownicy!B36</f>
        <v>0</v>
      </c>
      <c r="C36" s="4">
        <f>Pracownicy!C36</f>
        <v>0</v>
      </c>
      <c r="D36" s="4">
        <f>Pracownicy!D36</f>
        <v>0</v>
      </c>
      <c r="E36" s="4">
        <f>IF(A36="","",SUMIF(Wyniki!$A$2:$A$501,A36,Wyniki!$O$2:$O$501))</f>
        <v>0</v>
      </c>
      <c r="F36" s="4">
        <f>IF(A36="","",COUNTIF(Wyniki!$A$2:$A$501,A36))</f>
        <v>0</v>
      </c>
    </row>
    <row r="37" spans="1:6" x14ac:dyDescent="0.25">
      <c r="A37" s="4">
        <f>Pracownicy!A37</f>
        <v>0</v>
      </c>
      <c r="B37" s="4">
        <f>Pracownicy!B37</f>
        <v>0</v>
      </c>
      <c r="C37" s="4">
        <f>Pracownicy!C37</f>
        <v>0</v>
      </c>
      <c r="D37" s="4">
        <f>Pracownicy!D37</f>
        <v>0</v>
      </c>
      <c r="E37" s="4">
        <f>IF(A37="","",SUMIF(Wyniki!$A$2:$A$501,A37,Wyniki!$O$2:$O$501))</f>
        <v>0</v>
      </c>
      <c r="F37" s="4">
        <f>IF(A37="","",COUNTIF(Wyniki!$A$2:$A$501,A37))</f>
        <v>0</v>
      </c>
    </row>
    <row r="38" spans="1:6" x14ac:dyDescent="0.25">
      <c r="A38" s="4">
        <f>Pracownicy!A38</f>
        <v>0</v>
      </c>
      <c r="B38" s="4">
        <f>Pracownicy!B38</f>
        <v>0</v>
      </c>
      <c r="C38" s="4">
        <f>Pracownicy!C38</f>
        <v>0</v>
      </c>
      <c r="D38" s="4">
        <f>Pracownicy!D38</f>
        <v>0</v>
      </c>
      <c r="E38" s="4">
        <f>IF(A38="","",SUMIF(Wyniki!$A$2:$A$501,A38,Wyniki!$O$2:$O$501))</f>
        <v>0</v>
      </c>
      <c r="F38" s="4">
        <f>IF(A38="","",COUNTIF(Wyniki!$A$2:$A$501,A38))</f>
        <v>0</v>
      </c>
    </row>
    <row r="39" spans="1:6" x14ac:dyDescent="0.25">
      <c r="A39" s="4">
        <f>Pracownicy!A39</f>
        <v>0</v>
      </c>
      <c r="B39" s="4">
        <f>Pracownicy!B39</f>
        <v>0</v>
      </c>
      <c r="C39" s="4">
        <f>Pracownicy!C39</f>
        <v>0</v>
      </c>
      <c r="D39" s="4">
        <f>Pracownicy!D39</f>
        <v>0</v>
      </c>
      <c r="E39" s="4">
        <f>IF(A39="","",SUMIF(Wyniki!$A$2:$A$501,A39,Wyniki!$O$2:$O$501))</f>
        <v>0</v>
      </c>
      <c r="F39" s="4">
        <f>IF(A39="","",COUNTIF(Wyniki!$A$2:$A$501,A39))</f>
        <v>0</v>
      </c>
    </row>
    <row r="40" spans="1:6" x14ac:dyDescent="0.25">
      <c r="A40" s="4">
        <f>Pracownicy!A40</f>
        <v>0</v>
      </c>
      <c r="B40" s="4">
        <f>Pracownicy!B40</f>
        <v>0</v>
      </c>
      <c r="C40" s="4">
        <f>Pracownicy!C40</f>
        <v>0</v>
      </c>
      <c r="D40" s="4">
        <f>Pracownicy!D40</f>
        <v>0</v>
      </c>
      <c r="E40" s="4">
        <f>IF(A40="","",SUMIF(Wyniki!$A$2:$A$501,A40,Wyniki!$O$2:$O$501))</f>
        <v>0</v>
      </c>
      <c r="F40" s="4">
        <f>IF(A40="","",COUNTIF(Wyniki!$A$2:$A$501,A40))</f>
        <v>0</v>
      </c>
    </row>
    <row r="41" spans="1:6" x14ac:dyDescent="0.25">
      <c r="A41" s="4">
        <f>Pracownicy!A41</f>
        <v>0</v>
      </c>
      <c r="B41" s="4">
        <f>Pracownicy!B41</f>
        <v>0</v>
      </c>
      <c r="C41" s="4">
        <f>Pracownicy!C41</f>
        <v>0</v>
      </c>
      <c r="D41" s="4">
        <f>Pracownicy!D41</f>
        <v>0</v>
      </c>
      <c r="E41" s="4">
        <f>IF(A41="","",SUMIF(Wyniki!$A$2:$A$501,A41,Wyniki!$O$2:$O$501))</f>
        <v>0</v>
      </c>
      <c r="F41" s="4">
        <f>IF(A41="","",COUNTIF(Wyniki!$A$2:$A$501,A41))</f>
        <v>0</v>
      </c>
    </row>
    <row r="42" spans="1:6" x14ac:dyDescent="0.25">
      <c r="A42" s="4">
        <f>Pracownicy!A42</f>
        <v>0</v>
      </c>
      <c r="B42" s="4">
        <f>Pracownicy!B42</f>
        <v>0</v>
      </c>
      <c r="C42" s="4">
        <f>Pracownicy!C42</f>
        <v>0</v>
      </c>
      <c r="D42" s="4">
        <f>Pracownicy!D42</f>
        <v>0</v>
      </c>
      <c r="E42" s="4">
        <f>IF(A42="","",SUMIF(Wyniki!$A$2:$A$501,A42,Wyniki!$O$2:$O$501))</f>
        <v>0</v>
      </c>
      <c r="F42" s="4">
        <f>IF(A42="","",COUNTIF(Wyniki!$A$2:$A$501,A42))</f>
        <v>0</v>
      </c>
    </row>
    <row r="43" spans="1:6" x14ac:dyDescent="0.25">
      <c r="A43" s="4">
        <f>Pracownicy!A43</f>
        <v>0</v>
      </c>
      <c r="B43" s="4">
        <f>Pracownicy!B43</f>
        <v>0</v>
      </c>
      <c r="C43" s="4">
        <f>Pracownicy!C43</f>
        <v>0</v>
      </c>
      <c r="D43" s="4">
        <f>Pracownicy!D43</f>
        <v>0</v>
      </c>
      <c r="E43" s="4">
        <f>IF(A43="","",SUMIF(Wyniki!$A$2:$A$501,A43,Wyniki!$O$2:$O$501))</f>
        <v>0</v>
      </c>
      <c r="F43" s="4">
        <f>IF(A43="","",COUNTIF(Wyniki!$A$2:$A$501,A43))</f>
        <v>0</v>
      </c>
    </row>
    <row r="44" spans="1:6" x14ac:dyDescent="0.25">
      <c r="A44" s="4">
        <f>Pracownicy!A44</f>
        <v>0</v>
      </c>
      <c r="B44" s="4">
        <f>Pracownicy!B44</f>
        <v>0</v>
      </c>
      <c r="C44" s="4">
        <f>Pracownicy!C44</f>
        <v>0</v>
      </c>
      <c r="D44" s="4">
        <f>Pracownicy!D44</f>
        <v>0</v>
      </c>
      <c r="E44" s="4">
        <f>IF(A44="","",SUMIF(Wyniki!$A$2:$A$501,A44,Wyniki!$O$2:$O$501))</f>
        <v>0</v>
      </c>
      <c r="F44" s="4">
        <f>IF(A44="","",COUNTIF(Wyniki!$A$2:$A$501,A44))</f>
        <v>0</v>
      </c>
    </row>
    <row r="45" spans="1:6" x14ac:dyDescent="0.25">
      <c r="A45" s="4">
        <f>Pracownicy!A45</f>
        <v>0</v>
      </c>
      <c r="B45" s="4">
        <f>Pracownicy!B45</f>
        <v>0</v>
      </c>
      <c r="C45" s="4">
        <f>Pracownicy!C45</f>
        <v>0</v>
      </c>
      <c r="D45" s="4">
        <f>Pracownicy!D45</f>
        <v>0</v>
      </c>
      <c r="E45" s="4">
        <f>IF(A45="","",SUMIF(Wyniki!$A$2:$A$501,A45,Wyniki!$O$2:$O$501))</f>
        <v>0</v>
      </c>
      <c r="F45" s="4">
        <f>IF(A45="","",COUNTIF(Wyniki!$A$2:$A$501,A45))</f>
        <v>0</v>
      </c>
    </row>
    <row r="46" spans="1:6" x14ac:dyDescent="0.25">
      <c r="A46" s="4">
        <f>Pracownicy!A46</f>
        <v>0</v>
      </c>
      <c r="B46" s="4">
        <f>Pracownicy!B46</f>
        <v>0</v>
      </c>
      <c r="C46" s="4">
        <f>Pracownicy!C46</f>
        <v>0</v>
      </c>
      <c r="D46" s="4">
        <f>Pracownicy!D46</f>
        <v>0</v>
      </c>
      <c r="E46" s="4">
        <f>IF(A46="","",SUMIF(Wyniki!$A$2:$A$501,A46,Wyniki!$O$2:$O$501))</f>
        <v>0</v>
      </c>
      <c r="F46" s="4">
        <f>IF(A46="","",COUNTIF(Wyniki!$A$2:$A$501,A46))</f>
        <v>0</v>
      </c>
    </row>
    <row r="47" spans="1:6" x14ac:dyDescent="0.25">
      <c r="A47" s="4">
        <f>Pracownicy!A47</f>
        <v>0</v>
      </c>
      <c r="B47" s="4">
        <f>Pracownicy!B47</f>
        <v>0</v>
      </c>
      <c r="C47" s="4">
        <f>Pracownicy!C47</f>
        <v>0</v>
      </c>
      <c r="D47" s="4">
        <f>Pracownicy!D47</f>
        <v>0</v>
      </c>
      <c r="E47" s="4">
        <f>IF(A47="","",SUMIF(Wyniki!$A$2:$A$501,A47,Wyniki!$O$2:$O$501))</f>
        <v>0</v>
      </c>
      <c r="F47" s="4">
        <f>IF(A47="","",COUNTIF(Wyniki!$A$2:$A$501,A47))</f>
        <v>0</v>
      </c>
    </row>
    <row r="48" spans="1:6" x14ac:dyDescent="0.25">
      <c r="A48" s="4">
        <f>Pracownicy!A48</f>
        <v>0</v>
      </c>
      <c r="B48" s="4">
        <f>Pracownicy!B48</f>
        <v>0</v>
      </c>
      <c r="C48" s="4">
        <f>Pracownicy!C48</f>
        <v>0</v>
      </c>
      <c r="D48" s="4">
        <f>Pracownicy!D48</f>
        <v>0</v>
      </c>
      <c r="E48" s="4">
        <f>IF(A48="","",SUMIF(Wyniki!$A$2:$A$501,A48,Wyniki!$O$2:$O$501))</f>
        <v>0</v>
      </c>
      <c r="F48" s="4">
        <f>IF(A48="","",COUNTIF(Wyniki!$A$2:$A$501,A48))</f>
        <v>0</v>
      </c>
    </row>
    <row r="49" spans="1:6" x14ac:dyDescent="0.25">
      <c r="A49" s="4">
        <f>Pracownicy!A49</f>
        <v>0</v>
      </c>
      <c r="B49" s="4">
        <f>Pracownicy!B49</f>
        <v>0</v>
      </c>
      <c r="C49" s="4">
        <f>Pracownicy!C49</f>
        <v>0</v>
      </c>
      <c r="D49" s="4">
        <f>Pracownicy!D49</f>
        <v>0</v>
      </c>
      <c r="E49" s="4">
        <f>IF(A49="","",SUMIF(Wyniki!$A$2:$A$501,A49,Wyniki!$O$2:$O$501))</f>
        <v>0</v>
      </c>
      <c r="F49" s="4">
        <f>IF(A49="","",COUNTIF(Wyniki!$A$2:$A$501,A49))</f>
        <v>0</v>
      </c>
    </row>
    <row r="50" spans="1:6" x14ac:dyDescent="0.25">
      <c r="A50" s="4">
        <f>Pracownicy!A50</f>
        <v>0</v>
      </c>
      <c r="B50" s="4">
        <f>Pracownicy!B50</f>
        <v>0</v>
      </c>
      <c r="C50" s="4">
        <f>Pracownicy!C50</f>
        <v>0</v>
      </c>
      <c r="D50" s="4">
        <f>Pracownicy!D50</f>
        <v>0</v>
      </c>
      <c r="E50" s="4">
        <f>IF(A50="","",SUMIF(Wyniki!$A$2:$A$501,A50,Wyniki!$O$2:$O$501))</f>
        <v>0</v>
      </c>
      <c r="F50" s="4">
        <f>IF(A50="","",COUNTIF(Wyniki!$A$2:$A$501,A50))</f>
        <v>0</v>
      </c>
    </row>
    <row r="51" spans="1:6" x14ac:dyDescent="0.25">
      <c r="A51" s="4">
        <f>Pracownicy!A51</f>
        <v>0</v>
      </c>
      <c r="B51" s="4">
        <f>Pracownicy!B51</f>
        <v>0</v>
      </c>
      <c r="C51" s="4">
        <f>Pracownicy!C51</f>
        <v>0</v>
      </c>
      <c r="D51" s="4">
        <f>Pracownicy!D51</f>
        <v>0</v>
      </c>
      <c r="E51" s="4">
        <f>IF(A51="","",SUMIF(Wyniki!$A$2:$A$501,A51,Wyniki!$O$2:$O$501))</f>
        <v>0</v>
      </c>
      <c r="F51" s="4">
        <f>IF(A51="","",COUNTIF(Wyniki!$A$2:$A$501,A51))</f>
        <v>0</v>
      </c>
    </row>
    <row r="52" spans="1:6" x14ac:dyDescent="0.25">
      <c r="A52" s="4">
        <f>Pracownicy!A52</f>
        <v>0</v>
      </c>
      <c r="B52" s="4">
        <f>Pracownicy!B52</f>
        <v>0</v>
      </c>
      <c r="C52" s="4">
        <f>Pracownicy!C52</f>
        <v>0</v>
      </c>
      <c r="D52" s="4">
        <f>Pracownicy!D52</f>
        <v>0</v>
      </c>
      <c r="E52" s="4">
        <f>IF(A52="","",SUMIF(Wyniki!$A$2:$A$501,A52,Wyniki!$O$2:$O$501))</f>
        <v>0</v>
      </c>
      <c r="F52" s="4">
        <f>IF(A52="","",COUNTIF(Wyniki!$A$2:$A$501,A52))</f>
        <v>0</v>
      </c>
    </row>
    <row r="53" spans="1:6" x14ac:dyDescent="0.25">
      <c r="A53" s="4">
        <f>Pracownicy!A53</f>
        <v>0</v>
      </c>
      <c r="B53" s="4">
        <f>Pracownicy!B53</f>
        <v>0</v>
      </c>
      <c r="C53" s="4">
        <f>Pracownicy!C53</f>
        <v>0</v>
      </c>
      <c r="D53" s="4">
        <f>Pracownicy!D53</f>
        <v>0</v>
      </c>
      <c r="E53" s="4">
        <f>IF(A53="","",SUMIF(Wyniki!$A$2:$A$501,A53,Wyniki!$O$2:$O$501))</f>
        <v>0</v>
      </c>
      <c r="F53" s="4">
        <f>IF(A53="","",COUNTIF(Wyniki!$A$2:$A$501,A53))</f>
        <v>0</v>
      </c>
    </row>
    <row r="54" spans="1:6" x14ac:dyDescent="0.25">
      <c r="A54" s="4">
        <f>Pracownicy!A54</f>
        <v>0</v>
      </c>
      <c r="B54" s="4">
        <f>Pracownicy!B54</f>
        <v>0</v>
      </c>
      <c r="C54" s="4">
        <f>Pracownicy!C54</f>
        <v>0</v>
      </c>
      <c r="D54" s="4">
        <f>Pracownicy!D54</f>
        <v>0</v>
      </c>
      <c r="E54" s="4">
        <f>IF(A54="","",SUMIF(Wyniki!$A$2:$A$501,A54,Wyniki!$O$2:$O$501))</f>
        <v>0</v>
      </c>
      <c r="F54" s="4">
        <f>IF(A54="","",COUNTIF(Wyniki!$A$2:$A$501,A54))</f>
        <v>0</v>
      </c>
    </row>
    <row r="55" spans="1:6" x14ac:dyDescent="0.25">
      <c r="A55" s="4">
        <f>Pracownicy!A55</f>
        <v>0</v>
      </c>
      <c r="B55" s="4">
        <f>Pracownicy!B55</f>
        <v>0</v>
      </c>
      <c r="C55" s="4">
        <f>Pracownicy!C55</f>
        <v>0</v>
      </c>
      <c r="D55" s="4">
        <f>Pracownicy!D55</f>
        <v>0</v>
      </c>
      <c r="E55" s="4">
        <f>IF(A55="","",SUMIF(Wyniki!$A$2:$A$501,A55,Wyniki!$O$2:$O$501))</f>
        <v>0</v>
      </c>
      <c r="F55" s="4">
        <f>IF(A55="","",COUNTIF(Wyniki!$A$2:$A$501,A55))</f>
        <v>0</v>
      </c>
    </row>
    <row r="56" spans="1:6" x14ac:dyDescent="0.25">
      <c r="A56" s="4">
        <f>Pracownicy!A56</f>
        <v>0</v>
      </c>
      <c r="B56" s="4">
        <f>Pracownicy!B56</f>
        <v>0</v>
      </c>
      <c r="C56" s="4">
        <f>Pracownicy!C56</f>
        <v>0</v>
      </c>
      <c r="D56" s="4">
        <f>Pracownicy!D56</f>
        <v>0</v>
      </c>
      <c r="E56" s="4">
        <f>IF(A56="","",SUMIF(Wyniki!$A$2:$A$501,A56,Wyniki!$O$2:$O$501))</f>
        <v>0</v>
      </c>
      <c r="F56" s="4">
        <f>IF(A56="","",COUNTIF(Wyniki!$A$2:$A$501,A56))</f>
        <v>0</v>
      </c>
    </row>
    <row r="57" spans="1:6" x14ac:dyDescent="0.25">
      <c r="A57" s="4">
        <f>Pracownicy!A57</f>
        <v>0</v>
      </c>
      <c r="B57" s="4">
        <f>Pracownicy!B57</f>
        <v>0</v>
      </c>
      <c r="C57" s="4">
        <f>Pracownicy!C57</f>
        <v>0</v>
      </c>
      <c r="D57" s="4">
        <f>Pracownicy!D57</f>
        <v>0</v>
      </c>
      <c r="E57" s="4">
        <f>IF(A57="","",SUMIF(Wyniki!$A$2:$A$501,A57,Wyniki!$O$2:$O$501))</f>
        <v>0</v>
      </c>
      <c r="F57" s="4">
        <f>IF(A57="","",COUNTIF(Wyniki!$A$2:$A$501,A57))</f>
        <v>0</v>
      </c>
    </row>
    <row r="58" spans="1:6" x14ac:dyDescent="0.25">
      <c r="A58" s="4">
        <f>Pracownicy!A58</f>
        <v>0</v>
      </c>
      <c r="B58" s="4">
        <f>Pracownicy!B58</f>
        <v>0</v>
      </c>
      <c r="C58" s="4">
        <f>Pracownicy!C58</f>
        <v>0</v>
      </c>
      <c r="D58" s="4">
        <f>Pracownicy!D58</f>
        <v>0</v>
      </c>
      <c r="E58" s="4">
        <f>IF(A58="","",SUMIF(Wyniki!$A$2:$A$501,A58,Wyniki!$O$2:$O$501))</f>
        <v>0</v>
      </c>
      <c r="F58" s="4">
        <f>IF(A58="","",COUNTIF(Wyniki!$A$2:$A$501,A58))</f>
        <v>0</v>
      </c>
    </row>
    <row r="59" spans="1:6" x14ac:dyDescent="0.25">
      <c r="A59" s="4">
        <f>Pracownicy!A59</f>
        <v>0</v>
      </c>
      <c r="B59" s="4">
        <f>Pracownicy!B59</f>
        <v>0</v>
      </c>
      <c r="C59" s="4">
        <f>Pracownicy!C59</f>
        <v>0</v>
      </c>
      <c r="D59" s="4">
        <f>Pracownicy!D59</f>
        <v>0</v>
      </c>
      <c r="E59" s="4">
        <f>IF(A59="","",SUMIF(Wyniki!$A$2:$A$501,A59,Wyniki!$O$2:$O$501))</f>
        <v>0</v>
      </c>
      <c r="F59" s="4">
        <f>IF(A59="","",COUNTIF(Wyniki!$A$2:$A$501,A59))</f>
        <v>0</v>
      </c>
    </row>
    <row r="60" spans="1:6" x14ac:dyDescent="0.25">
      <c r="A60" s="4">
        <f>Pracownicy!A60</f>
        <v>0</v>
      </c>
      <c r="B60" s="4">
        <f>Pracownicy!B60</f>
        <v>0</v>
      </c>
      <c r="C60" s="4">
        <f>Pracownicy!C60</f>
        <v>0</v>
      </c>
      <c r="D60" s="4">
        <f>Pracownicy!D60</f>
        <v>0</v>
      </c>
      <c r="E60" s="4">
        <f>IF(A60="","",SUMIF(Wyniki!$A$2:$A$501,A60,Wyniki!$O$2:$O$501))</f>
        <v>0</v>
      </c>
      <c r="F60" s="4">
        <f>IF(A60="","",COUNTIF(Wyniki!$A$2:$A$501,A60))</f>
        <v>0</v>
      </c>
    </row>
    <row r="61" spans="1:6" x14ac:dyDescent="0.25">
      <c r="A61" s="4">
        <f>Pracownicy!A61</f>
        <v>0</v>
      </c>
      <c r="B61" s="4">
        <f>Pracownicy!B61</f>
        <v>0</v>
      </c>
      <c r="C61" s="4">
        <f>Pracownicy!C61</f>
        <v>0</v>
      </c>
      <c r="D61" s="4">
        <f>Pracownicy!D61</f>
        <v>0</v>
      </c>
      <c r="E61" s="4">
        <f>IF(A61="","",SUMIF(Wyniki!$A$2:$A$501,A61,Wyniki!$O$2:$O$501))</f>
        <v>0</v>
      </c>
      <c r="F61" s="4">
        <f>IF(A61="","",COUNTIF(Wyniki!$A$2:$A$501,A61))</f>
        <v>0</v>
      </c>
    </row>
    <row r="62" spans="1:6" x14ac:dyDescent="0.25">
      <c r="A62" s="4">
        <f>Pracownicy!A62</f>
        <v>0</v>
      </c>
      <c r="B62" s="4">
        <f>Pracownicy!B62</f>
        <v>0</v>
      </c>
      <c r="C62" s="4">
        <f>Pracownicy!C62</f>
        <v>0</v>
      </c>
      <c r="D62" s="4">
        <f>Pracownicy!D62</f>
        <v>0</v>
      </c>
      <c r="E62" s="4">
        <f>IF(A62="","",SUMIF(Wyniki!$A$2:$A$501,A62,Wyniki!$O$2:$O$501))</f>
        <v>0</v>
      </c>
      <c r="F62" s="4">
        <f>IF(A62="","",COUNTIF(Wyniki!$A$2:$A$501,A62))</f>
        <v>0</v>
      </c>
    </row>
    <row r="63" spans="1:6" x14ac:dyDescent="0.25">
      <c r="A63" s="4">
        <f>Pracownicy!A63</f>
        <v>0</v>
      </c>
      <c r="B63" s="4">
        <f>Pracownicy!B63</f>
        <v>0</v>
      </c>
      <c r="C63" s="4">
        <f>Pracownicy!C63</f>
        <v>0</v>
      </c>
      <c r="D63" s="4">
        <f>Pracownicy!D63</f>
        <v>0</v>
      </c>
      <c r="E63" s="4">
        <f>IF(A63="","",SUMIF(Wyniki!$A$2:$A$501,A63,Wyniki!$O$2:$O$501))</f>
        <v>0</v>
      </c>
      <c r="F63" s="4">
        <f>IF(A63="","",COUNTIF(Wyniki!$A$2:$A$501,A63))</f>
        <v>0</v>
      </c>
    </row>
    <row r="64" spans="1:6" x14ac:dyDescent="0.25">
      <c r="A64" s="4">
        <f>Pracownicy!A64</f>
        <v>0</v>
      </c>
      <c r="B64" s="4">
        <f>Pracownicy!B64</f>
        <v>0</v>
      </c>
      <c r="C64" s="4">
        <f>Pracownicy!C64</f>
        <v>0</v>
      </c>
      <c r="D64" s="4">
        <f>Pracownicy!D64</f>
        <v>0</v>
      </c>
      <c r="E64" s="4">
        <f>IF(A64="","",SUMIF(Wyniki!$A$2:$A$501,A64,Wyniki!$O$2:$O$501))</f>
        <v>0</v>
      </c>
      <c r="F64" s="4">
        <f>IF(A64="","",COUNTIF(Wyniki!$A$2:$A$501,A64))</f>
        <v>0</v>
      </c>
    </row>
    <row r="65" spans="1:6" x14ac:dyDescent="0.25">
      <c r="A65" s="4">
        <f>Pracownicy!A65</f>
        <v>0</v>
      </c>
      <c r="B65" s="4">
        <f>Pracownicy!B65</f>
        <v>0</v>
      </c>
      <c r="C65" s="4">
        <f>Pracownicy!C65</f>
        <v>0</v>
      </c>
      <c r="D65" s="4">
        <f>Pracownicy!D65</f>
        <v>0</v>
      </c>
      <c r="E65" s="4">
        <f>IF(A65="","",SUMIF(Wyniki!$A$2:$A$501,A65,Wyniki!$O$2:$O$501))</f>
        <v>0</v>
      </c>
      <c r="F65" s="4">
        <f>IF(A65="","",COUNTIF(Wyniki!$A$2:$A$501,A65))</f>
        <v>0</v>
      </c>
    </row>
    <row r="66" spans="1:6" x14ac:dyDescent="0.25">
      <c r="A66" s="4">
        <f>Pracownicy!A66</f>
        <v>0</v>
      </c>
      <c r="B66" s="4">
        <f>Pracownicy!B66</f>
        <v>0</v>
      </c>
      <c r="C66" s="4">
        <f>Pracownicy!C66</f>
        <v>0</v>
      </c>
      <c r="D66" s="4">
        <f>Pracownicy!D66</f>
        <v>0</v>
      </c>
      <c r="E66" s="4">
        <f>IF(A66="","",SUMIF(Wyniki!$A$2:$A$501,A66,Wyniki!$O$2:$O$501))</f>
        <v>0</v>
      </c>
      <c r="F66" s="4">
        <f>IF(A66="","",COUNTIF(Wyniki!$A$2:$A$501,A66))</f>
        <v>0</v>
      </c>
    </row>
    <row r="67" spans="1:6" x14ac:dyDescent="0.25">
      <c r="A67" s="4">
        <f>Pracownicy!A67</f>
        <v>0</v>
      </c>
      <c r="B67" s="4">
        <f>Pracownicy!B67</f>
        <v>0</v>
      </c>
      <c r="C67" s="4">
        <f>Pracownicy!C67</f>
        <v>0</v>
      </c>
      <c r="D67" s="4">
        <f>Pracownicy!D67</f>
        <v>0</v>
      </c>
      <c r="E67" s="4">
        <f>IF(A67="","",SUMIF(Wyniki!$A$2:$A$501,A67,Wyniki!$O$2:$O$501))</f>
        <v>0</v>
      </c>
      <c r="F67" s="4">
        <f>IF(A67="","",COUNTIF(Wyniki!$A$2:$A$501,A67))</f>
        <v>0</v>
      </c>
    </row>
    <row r="68" spans="1:6" x14ac:dyDescent="0.25">
      <c r="A68" s="4">
        <f>Pracownicy!A68</f>
        <v>0</v>
      </c>
      <c r="B68" s="4">
        <f>Pracownicy!B68</f>
        <v>0</v>
      </c>
      <c r="C68" s="4">
        <f>Pracownicy!C68</f>
        <v>0</v>
      </c>
      <c r="D68" s="4">
        <f>Pracownicy!D68</f>
        <v>0</v>
      </c>
      <c r="E68" s="4">
        <f>IF(A68="","",SUMIF(Wyniki!$A$2:$A$501,A68,Wyniki!$O$2:$O$501))</f>
        <v>0</v>
      </c>
      <c r="F68" s="4">
        <f>IF(A68="","",COUNTIF(Wyniki!$A$2:$A$501,A68))</f>
        <v>0</v>
      </c>
    </row>
    <row r="69" spans="1:6" x14ac:dyDescent="0.25">
      <c r="A69" s="4">
        <f>Pracownicy!A69</f>
        <v>0</v>
      </c>
      <c r="B69" s="4">
        <f>Pracownicy!B69</f>
        <v>0</v>
      </c>
      <c r="C69" s="4">
        <f>Pracownicy!C69</f>
        <v>0</v>
      </c>
      <c r="D69" s="4">
        <f>Pracownicy!D69</f>
        <v>0</v>
      </c>
      <c r="E69" s="4">
        <f>IF(A69="","",SUMIF(Wyniki!$A$2:$A$501,A69,Wyniki!$O$2:$O$501))</f>
        <v>0</v>
      </c>
      <c r="F69" s="4">
        <f>IF(A69="","",COUNTIF(Wyniki!$A$2:$A$501,A69))</f>
        <v>0</v>
      </c>
    </row>
    <row r="70" spans="1:6" x14ac:dyDescent="0.25">
      <c r="A70" s="4">
        <f>Pracownicy!A70</f>
        <v>0</v>
      </c>
      <c r="B70" s="4">
        <f>Pracownicy!B70</f>
        <v>0</v>
      </c>
      <c r="C70" s="4">
        <f>Pracownicy!C70</f>
        <v>0</v>
      </c>
      <c r="D70" s="4">
        <f>Pracownicy!D70</f>
        <v>0</v>
      </c>
      <c r="E70" s="4">
        <f>IF(A70="","",SUMIF(Wyniki!$A$2:$A$501,A70,Wyniki!$O$2:$O$501))</f>
        <v>0</v>
      </c>
      <c r="F70" s="4">
        <f>IF(A70="","",COUNTIF(Wyniki!$A$2:$A$501,A70))</f>
        <v>0</v>
      </c>
    </row>
    <row r="71" spans="1:6" x14ac:dyDescent="0.25">
      <c r="A71" s="4">
        <f>Pracownicy!A71</f>
        <v>0</v>
      </c>
      <c r="B71" s="4">
        <f>Pracownicy!B71</f>
        <v>0</v>
      </c>
      <c r="C71" s="4">
        <f>Pracownicy!C71</f>
        <v>0</v>
      </c>
      <c r="D71" s="4">
        <f>Pracownicy!D71</f>
        <v>0</v>
      </c>
      <c r="E71" s="4">
        <f>IF(A71="","",SUMIF(Wyniki!$A$2:$A$501,A71,Wyniki!$O$2:$O$501))</f>
        <v>0</v>
      </c>
      <c r="F71" s="4">
        <f>IF(A71="","",COUNTIF(Wyniki!$A$2:$A$501,A71))</f>
        <v>0</v>
      </c>
    </row>
    <row r="72" spans="1:6" x14ac:dyDescent="0.25">
      <c r="A72" s="4">
        <f>Pracownicy!A72</f>
        <v>0</v>
      </c>
      <c r="B72" s="4">
        <f>Pracownicy!B72</f>
        <v>0</v>
      </c>
      <c r="C72" s="4">
        <f>Pracownicy!C72</f>
        <v>0</v>
      </c>
      <c r="D72" s="4">
        <f>Pracownicy!D72</f>
        <v>0</v>
      </c>
      <c r="E72" s="4">
        <f>IF(A72="","",SUMIF(Wyniki!$A$2:$A$501,A72,Wyniki!$O$2:$O$501))</f>
        <v>0</v>
      </c>
      <c r="F72" s="4">
        <f>IF(A72="","",COUNTIF(Wyniki!$A$2:$A$501,A72))</f>
        <v>0</v>
      </c>
    </row>
    <row r="73" spans="1:6" x14ac:dyDescent="0.25">
      <c r="A73" s="4">
        <f>Pracownicy!A73</f>
        <v>0</v>
      </c>
      <c r="B73" s="4">
        <f>Pracownicy!B73</f>
        <v>0</v>
      </c>
      <c r="C73" s="4">
        <f>Pracownicy!C73</f>
        <v>0</v>
      </c>
      <c r="D73" s="4">
        <f>Pracownicy!D73</f>
        <v>0</v>
      </c>
      <c r="E73" s="4">
        <f>IF(A73="","",SUMIF(Wyniki!$A$2:$A$501,A73,Wyniki!$O$2:$O$501))</f>
        <v>0</v>
      </c>
      <c r="F73" s="4">
        <f>IF(A73="","",COUNTIF(Wyniki!$A$2:$A$501,A73))</f>
        <v>0</v>
      </c>
    </row>
    <row r="74" spans="1:6" x14ac:dyDescent="0.25">
      <c r="A74" s="4">
        <f>Pracownicy!A74</f>
        <v>0</v>
      </c>
      <c r="B74" s="4">
        <f>Pracownicy!B74</f>
        <v>0</v>
      </c>
      <c r="C74" s="4">
        <f>Pracownicy!C74</f>
        <v>0</v>
      </c>
      <c r="D74" s="4">
        <f>Pracownicy!D74</f>
        <v>0</v>
      </c>
      <c r="E74" s="4">
        <f>IF(A74="","",SUMIF(Wyniki!$A$2:$A$501,A74,Wyniki!$O$2:$O$501))</f>
        <v>0</v>
      </c>
      <c r="F74" s="4">
        <f>IF(A74="","",COUNTIF(Wyniki!$A$2:$A$501,A74))</f>
        <v>0</v>
      </c>
    </row>
    <row r="75" spans="1:6" x14ac:dyDescent="0.25">
      <c r="A75" s="4">
        <f>Pracownicy!A75</f>
        <v>0</v>
      </c>
      <c r="B75" s="4">
        <f>Pracownicy!B75</f>
        <v>0</v>
      </c>
      <c r="C75" s="4">
        <f>Pracownicy!C75</f>
        <v>0</v>
      </c>
      <c r="D75" s="4">
        <f>Pracownicy!D75</f>
        <v>0</v>
      </c>
      <c r="E75" s="4">
        <f>IF(A75="","",SUMIF(Wyniki!$A$2:$A$501,A75,Wyniki!$O$2:$O$501))</f>
        <v>0</v>
      </c>
      <c r="F75" s="4">
        <f>IF(A75="","",COUNTIF(Wyniki!$A$2:$A$501,A75))</f>
        <v>0</v>
      </c>
    </row>
    <row r="76" spans="1:6" x14ac:dyDescent="0.25">
      <c r="A76" s="4">
        <f>Pracownicy!A76</f>
        <v>0</v>
      </c>
      <c r="B76" s="4">
        <f>Pracownicy!B76</f>
        <v>0</v>
      </c>
      <c r="C76" s="4">
        <f>Pracownicy!C76</f>
        <v>0</v>
      </c>
      <c r="D76" s="4">
        <f>Pracownicy!D76</f>
        <v>0</v>
      </c>
      <c r="E76" s="4">
        <f>IF(A76="","",SUMIF(Wyniki!$A$2:$A$501,A76,Wyniki!$O$2:$O$501))</f>
        <v>0</v>
      </c>
      <c r="F76" s="4">
        <f>IF(A76="","",COUNTIF(Wyniki!$A$2:$A$501,A76))</f>
        <v>0</v>
      </c>
    </row>
    <row r="77" spans="1:6" x14ac:dyDescent="0.25">
      <c r="A77" s="4">
        <f>Pracownicy!A77</f>
        <v>0</v>
      </c>
      <c r="B77" s="4">
        <f>Pracownicy!B77</f>
        <v>0</v>
      </c>
      <c r="C77" s="4">
        <f>Pracownicy!C77</f>
        <v>0</v>
      </c>
      <c r="D77" s="4">
        <f>Pracownicy!D77</f>
        <v>0</v>
      </c>
      <c r="E77" s="4">
        <f>IF(A77="","",SUMIF(Wyniki!$A$2:$A$501,A77,Wyniki!$O$2:$O$501))</f>
        <v>0</v>
      </c>
      <c r="F77" s="4">
        <f>IF(A77="","",COUNTIF(Wyniki!$A$2:$A$501,A77))</f>
        <v>0</v>
      </c>
    </row>
    <row r="78" spans="1:6" x14ac:dyDescent="0.25">
      <c r="A78" s="4">
        <f>Pracownicy!A78</f>
        <v>0</v>
      </c>
      <c r="B78" s="4">
        <f>Pracownicy!B78</f>
        <v>0</v>
      </c>
      <c r="C78" s="4">
        <f>Pracownicy!C78</f>
        <v>0</v>
      </c>
      <c r="D78" s="4">
        <f>Pracownicy!D78</f>
        <v>0</v>
      </c>
      <c r="E78" s="4">
        <f>IF(A78="","",SUMIF(Wyniki!$A$2:$A$501,A78,Wyniki!$O$2:$O$501))</f>
        <v>0</v>
      </c>
      <c r="F78" s="4">
        <f>IF(A78="","",COUNTIF(Wyniki!$A$2:$A$501,A78))</f>
        <v>0</v>
      </c>
    </row>
    <row r="79" spans="1:6" x14ac:dyDescent="0.25">
      <c r="A79" s="4">
        <f>Pracownicy!A79</f>
        <v>0</v>
      </c>
      <c r="B79" s="4">
        <f>Pracownicy!B79</f>
        <v>0</v>
      </c>
      <c r="C79" s="4">
        <f>Pracownicy!C79</f>
        <v>0</v>
      </c>
      <c r="D79" s="4">
        <f>Pracownicy!D79</f>
        <v>0</v>
      </c>
      <c r="E79" s="4">
        <f>IF(A79="","",SUMIF(Wyniki!$A$2:$A$501,A79,Wyniki!$O$2:$O$501))</f>
        <v>0</v>
      </c>
      <c r="F79" s="4">
        <f>IF(A79="","",COUNTIF(Wyniki!$A$2:$A$501,A79))</f>
        <v>0</v>
      </c>
    </row>
    <row r="80" spans="1:6" x14ac:dyDescent="0.25">
      <c r="A80" s="4">
        <f>Pracownicy!A80</f>
        <v>0</v>
      </c>
      <c r="B80" s="4">
        <f>Pracownicy!B80</f>
        <v>0</v>
      </c>
      <c r="C80" s="4">
        <f>Pracownicy!C80</f>
        <v>0</v>
      </c>
      <c r="D80" s="4">
        <f>Pracownicy!D80</f>
        <v>0</v>
      </c>
      <c r="E80" s="4">
        <f>IF(A80="","",SUMIF(Wyniki!$A$2:$A$501,A80,Wyniki!$O$2:$O$501))</f>
        <v>0</v>
      </c>
      <c r="F80" s="4">
        <f>IF(A80="","",COUNTIF(Wyniki!$A$2:$A$501,A80))</f>
        <v>0</v>
      </c>
    </row>
    <row r="81" spans="1:6" x14ac:dyDescent="0.25">
      <c r="A81" s="4">
        <f>Pracownicy!A81</f>
        <v>0</v>
      </c>
      <c r="B81" s="4">
        <f>Pracownicy!B81</f>
        <v>0</v>
      </c>
      <c r="C81" s="4">
        <f>Pracownicy!C81</f>
        <v>0</v>
      </c>
      <c r="D81" s="4">
        <f>Pracownicy!D81</f>
        <v>0</v>
      </c>
      <c r="E81" s="4">
        <f>IF(A81="","",SUMIF(Wyniki!$A$2:$A$501,A81,Wyniki!$O$2:$O$501))</f>
        <v>0</v>
      </c>
      <c r="F81" s="4">
        <f>IF(A81="","",COUNTIF(Wyniki!$A$2:$A$501,A81))</f>
        <v>0</v>
      </c>
    </row>
    <row r="82" spans="1:6" x14ac:dyDescent="0.25">
      <c r="A82" s="4">
        <f>Pracownicy!A82</f>
        <v>0</v>
      </c>
      <c r="B82" s="4">
        <f>Pracownicy!B82</f>
        <v>0</v>
      </c>
      <c r="C82" s="4">
        <f>Pracownicy!C82</f>
        <v>0</v>
      </c>
      <c r="D82" s="4">
        <f>Pracownicy!D82</f>
        <v>0</v>
      </c>
      <c r="E82" s="4">
        <f>IF(A82="","",SUMIF(Wyniki!$A$2:$A$501,A82,Wyniki!$O$2:$O$501))</f>
        <v>0</v>
      </c>
      <c r="F82" s="4">
        <f>IF(A82="","",COUNTIF(Wyniki!$A$2:$A$501,A82))</f>
        <v>0</v>
      </c>
    </row>
    <row r="83" spans="1:6" x14ac:dyDescent="0.25">
      <c r="A83" s="4">
        <f>Pracownicy!A83</f>
        <v>0</v>
      </c>
      <c r="B83" s="4">
        <f>Pracownicy!B83</f>
        <v>0</v>
      </c>
      <c r="C83" s="4">
        <f>Pracownicy!C83</f>
        <v>0</v>
      </c>
      <c r="D83" s="4">
        <f>Pracownicy!D83</f>
        <v>0</v>
      </c>
      <c r="E83" s="4">
        <f>IF(A83="","",SUMIF(Wyniki!$A$2:$A$501,A83,Wyniki!$O$2:$O$501))</f>
        <v>0</v>
      </c>
      <c r="F83" s="4">
        <f>IF(A83="","",COUNTIF(Wyniki!$A$2:$A$501,A83))</f>
        <v>0</v>
      </c>
    </row>
    <row r="84" spans="1:6" x14ac:dyDescent="0.25">
      <c r="A84" s="4">
        <f>Pracownicy!A84</f>
        <v>0</v>
      </c>
      <c r="B84" s="4">
        <f>Pracownicy!B84</f>
        <v>0</v>
      </c>
      <c r="C84" s="4">
        <f>Pracownicy!C84</f>
        <v>0</v>
      </c>
      <c r="D84" s="4">
        <f>Pracownicy!D84</f>
        <v>0</v>
      </c>
      <c r="E84" s="4">
        <f>IF(A84="","",SUMIF(Wyniki!$A$2:$A$501,A84,Wyniki!$O$2:$O$501))</f>
        <v>0</v>
      </c>
      <c r="F84" s="4">
        <f>IF(A84="","",COUNTIF(Wyniki!$A$2:$A$501,A84))</f>
        <v>0</v>
      </c>
    </row>
    <row r="85" spans="1:6" x14ac:dyDescent="0.25">
      <c r="A85" s="4">
        <f>Pracownicy!A85</f>
        <v>0</v>
      </c>
      <c r="B85" s="4">
        <f>Pracownicy!B85</f>
        <v>0</v>
      </c>
      <c r="C85" s="4">
        <f>Pracownicy!C85</f>
        <v>0</v>
      </c>
      <c r="D85" s="4">
        <f>Pracownicy!D85</f>
        <v>0</v>
      </c>
      <c r="E85" s="4">
        <f>IF(A85="","",SUMIF(Wyniki!$A$2:$A$501,A85,Wyniki!$O$2:$O$501))</f>
        <v>0</v>
      </c>
      <c r="F85" s="4">
        <f>IF(A85="","",COUNTIF(Wyniki!$A$2:$A$501,A85))</f>
        <v>0</v>
      </c>
    </row>
    <row r="86" spans="1:6" x14ac:dyDescent="0.25">
      <c r="A86" s="4">
        <f>Pracownicy!A86</f>
        <v>0</v>
      </c>
      <c r="B86" s="4">
        <f>Pracownicy!B86</f>
        <v>0</v>
      </c>
      <c r="C86" s="4">
        <f>Pracownicy!C86</f>
        <v>0</v>
      </c>
      <c r="D86" s="4">
        <f>Pracownicy!D86</f>
        <v>0</v>
      </c>
      <c r="E86" s="4">
        <f>IF(A86="","",SUMIF(Wyniki!$A$2:$A$501,A86,Wyniki!$O$2:$O$501))</f>
        <v>0</v>
      </c>
      <c r="F86" s="4">
        <f>IF(A86="","",COUNTIF(Wyniki!$A$2:$A$501,A86))</f>
        <v>0</v>
      </c>
    </row>
    <row r="87" spans="1:6" x14ac:dyDescent="0.25">
      <c r="A87" s="4">
        <f>Pracownicy!A87</f>
        <v>0</v>
      </c>
      <c r="B87" s="4">
        <f>Pracownicy!B87</f>
        <v>0</v>
      </c>
      <c r="C87" s="4">
        <f>Pracownicy!C87</f>
        <v>0</v>
      </c>
      <c r="D87" s="4">
        <f>Pracownicy!D87</f>
        <v>0</v>
      </c>
      <c r="E87" s="4">
        <f>IF(A87="","",SUMIF(Wyniki!$A$2:$A$501,A87,Wyniki!$O$2:$O$501))</f>
        <v>0</v>
      </c>
      <c r="F87" s="4">
        <f>IF(A87="","",COUNTIF(Wyniki!$A$2:$A$501,A87))</f>
        <v>0</v>
      </c>
    </row>
    <row r="88" spans="1:6" x14ac:dyDescent="0.25">
      <c r="A88" s="4">
        <f>Pracownicy!A88</f>
        <v>0</v>
      </c>
      <c r="B88" s="4">
        <f>Pracownicy!B88</f>
        <v>0</v>
      </c>
      <c r="C88" s="4">
        <f>Pracownicy!C88</f>
        <v>0</v>
      </c>
      <c r="D88" s="4">
        <f>Pracownicy!D88</f>
        <v>0</v>
      </c>
      <c r="E88" s="4">
        <f>IF(A88="","",SUMIF(Wyniki!$A$2:$A$501,A88,Wyniki!$O$2:$O$501))</f>
        <v>0</v>
      </c>
      <c r="F88" s="4">
        <f>IF(A88="","",COUNTIF(Wyniki!$A$2:$A$501,A88))</f>
        <v>0</v>
      </c>
    </row>
    <row r="89" spans="1:6" x14ac:dyDescent="0.25">
      <c r="A89" s="4">
        <f>Pracownicy!A89</f>
        <v>0</v>
      </c>
      <c r="B89" s="4">
        <f>Pracownicy!B89</f>
        <v>0</v>
      </c>
      <c r="C89" s="4">
        <f>Pracownicy!C89</f>
        <v>0</v>
      </c>
      <c r="D89" s="4">
        <f>Pracownicy!D89</f>
        <v>0</v>
      </c>
      <c r="E89" s="4">
        <f>IF(A89="","",SUMIF(Wyniki!$A$2:$A$501,A89,Wyniki!$O$2:$O$501))</f>
        <v>0</v>
      </c>
      <c r="F89" s="4">
        <f>IF(A89="","",COUNTIF(Wyniki!$A$2:$A$501,A89))</f>
        <v>0</v>
      </c>
    </row>
    <row r="90" spans="1:6" x14ac:dyDescent="0.25">
      <c r="A90" s="4">
        <f>Pracownicy!A90</f>
        <v>0</v>
      </c>
      <c r="B90" s="4">
        <f>Pracownicy!B90</f>
        <v>0</v>
      </c>
      <c r="C90" s="4">
        <f>Pracownicy!C90</f>
        <v>0</v>
      </c>
      <c r="D90" s="4">
        <f>Pracownicy!D90</f>
        <v>0</v>
      </c>
      <c r="E90" s="4">
        <f>IF(A90="","",SUMIF(Wyniki!$A$2:$A$501,A90,Wyniki!$O$2:$O$501))</f>
        <v>0</v>
      </c>
      <c r="F90" s="4">
        <f>IF(A90="","",COUNTIF(Wyniki!$A$2:$A$501,A90))</f>
        <v>0</v>
      </c>
    </row>
    <row r="91" spans="1:6" x14ac:dyDescent="0.25">
      <c r="A91" s="4">
        <f>Pracownicy!A91</f>
        <v>0</v>
      </c>
      <c r="B91" s="4">
        <f>Pracownicy!B91</f>
        <v>0</v>
      </c>
      <c r="C91" s="4">
        <f>Pracownicy!C91</f>
        <v>0</v>
      </c>
      <c r="D91" s="4">
        <f>Pracownicy!D91</f>
        <v>0</v>
      </c>
      <c r="E91" s="4">
        <f>IF(A91="","",SUMIF(Wyniki!$A$2:$A$501,A91,Wyniki!$O$2:$O$501))</f>
        <v>0</v>
      </c>
      <c r="F91" s="4">
        <f>IF(A91="","",COUNTIF(Wyniki!$A$2:$A$501,A91))</f>
        <v>0</v>
      </c>
    </row>
    <row r="92" spans="1:6" x14ac:dyDescent="0.25">
      <c r="A92" s="4">
        <f>Pracownicy!A92</f>
        <v>0</v>
      </c>
      <c r="B92" s="4">
        <f>Pracownicy!B92</f>
        <v>0</v>
      </c>
      <c r="C92" s="4">
        <f>Pracownicy!C92</f>
        <v>0</v>
      </c>
      <c r="D92" s="4">
        <f>Pracownicy!D92</f>
        <v>0</v>
      </c>
      <c r="E92" s="4">
        <f>IF(A92="","",SUMIF(Wyniki!$A$2:$A$501,A92,Wyniki!$O$2:$O$501))</f>
        <v>0</v>
      </c>
      <c r="F92" s="4">
        <f>IF(A92="","",COUNTIF(Wyniki!$A$2:$A$501,A92))</f>
        <v>0</v>
      </c>
    </row>
    <row r="93" spans="1:6" x14ac:dyDescent="0.25">
      <c r="A93" s="4">
        <f>Pracownicy!A93</f>
        <v>0</v>
      </c>
      <c r="B93" s="4">
        <f>Pracownicy!B93</f>
        <v>0</v>
      </c>
      <c r="C93" s="4">
        <f>Pracownicy!C93</f>
        <v>0</v>
      </c>
      <c r="D93" s="4">
        <f>Pracownicy!D93</f>
        <v>0</v>
      </c>
      <c r="E93" s="4">
        <f>IF(A93="","",SUMIF(Wyniki!$A$2:$A$501,A93,Wyniki!$O$2:$O$501))</f>
        <v>0</v>
      </c>
      <c r="F93" s="4">
        <f>IF(A93="","",COUNTIF(Wyniki!$A$2:$A$501,A93))</f>
        <v>0</v>
      </c>
    </row>
    <row r="94" spans="1:6" x14ac:dyDescent="0.25">
      <c r="A94" s="4">
        <f>Pracownicy!A94</f>
        <v>0</v>
      </c>
      <c r="B94" s="4">
        <f>Pracownicy!B94</f>
        <v>0</v>
      </c>
      <c r="C94" s="4">
        <f>Pracownicy!C94</f>
        <v>0</v>
      </c>
      <c r="D94" s="4">
        <f>Pracownicy!D94</f>
        <v>0</v>
      </c>
      <c r="E94" s="4">
        <f>IF(A94="","",SUMIF(Wyniki!$A$2:$A$501,A94,Wyniki!$O$2:$O$501))</f>
        <v>0</v>
      </c>
      <c r="F94" s="4">
        <f>IF(A94="","",COUNTIF(Wyniki!$A$2:$A$501,A94))</f>
        <v>0</v>
      </c>
    </row>
    <row r="95" spans="1:6" x14ac:dyDescent="0.25">
      <c r="A95" s="4">
        <f>Pracownicy!A95</f>
        <v>0</v>
      </c>
      <c r="B95" s="4">
        <f>Pracownicy!B95</f>
        <v>0</v>
      </c>
      <c r="C95" s="4">
        <f>Pracownicy!C95</f>
        <v>0</v>
      </c>
      <c r="D95" s="4">
        <f>Pracownicy!D95</f>
        <v>0</v>
      </c>
      <c r="E95" s="4">
        <f>IF(A95="","",SUMIF(Wyniki!$A$2:$A$501,A95,Wyniki!$O$2:$O$501))</f>
        <v>0</v>
      </c>
      <c r="F95" s="4">
        <f>IF(A95="","",COUNTIF(Wyniki!$A$2:$A$501,A95))</f>
        <v>0</v>
      </c>
    </row>
    <row r="96" spans="1:6" x14ac:dyDescent="0.25">
      <c r="A96" s="4">
        <f>Pracownicy!A96</f>
        <v>0</v>
      </c>
      <c r="B96" s="4">
        <f>Pracownicy!B96</f>
        <v>0</v>
      </c>
      <c r="C96" s="4">
        <f>Pracownicy!C96</f>
        <v>0</v>
      </c>
      <c r="D96" s="4">
        <f>Pracownicy!D96</f>
        <v>0</v>
      </c>
      <c r="E96" s="4">
        <f>IF(A96="","",SUMIF(Wyniki!$A$2:$A$501,A96,Wyniki!$O$2:$O$501))</f>
        <v>0</v>
      </c>
      <c r="F96" s="4">
        <f>IF(A96="","",COUNTIF(Wyniki!$A$2:$A$501,A96))</f>
        <v>0</v>
      </c>
    </row>
    <row r="97" spans="1:6" x14ac:dyDescent="0.25">
      <c r="A97" s="4">
        <f>Pracownicy!A97</f>
        <v>0</v>
      </c>
      <c r="B97" s="4">
        <f>Pracownicy!B97</f>
        <v>0</v>
      </c>
      <c r="C97" s="4">
        <f>Pracownicy!C97</f>
        <v>0</v>
      </c>
      <c r="D97" s="4">
        <f>Pracownicy!D97</f>
        <v>0</v>
      </c>
      <c r="E97" s="4">
        <f>IF(A97="","",SUMIF(Wyniki!$A$2:$A$501,A97,Wyniki!$O$2:$O$501))</f>
        <v>0</v>
      </c>
      <c r="F97" s="4">
        <f>IF(A97="","",COUNTIF(Wyniki!$A$2:$A$501,A97))</f>
        <v>0</v>
      </c>
    </row>
    <row r="98" spans="1:6" x14ac:dyDescent="0.25">
      <c r="A98" s="4">
        <f>Pracownicy!A98</f>
        <v>0</v>
      </c>
      <c r="B98" s="4">
        <f>Pracownicy!B98</f>
        <v>0</v>
      </c>
      <c r="C98" s="4">
        <f>Pracownicy!C98</f>
        <v>0</v>
      </c>
      <c r="D98" s="4">
        <f>Pracownicy!D98</f>
        <v>0</v>
      </c>
      <c r="E98" s="4">
        <f>IF(A98="","",SUMIF(Wyniki!$A$2:$A$501,A98,Wyniki!$O$2:$O$501))</f>
        <v>0</v>
      </c>
      <c r="F98" s="4">
        <f>IF(A98="","",COUNTIF(Wyniki!$A$2:$A$501,A98))</f>
        <v>0</v>
      </c>
    </row>
    <row r="99" spans="1:6" x14ac:dyDescent="0.25">
      <c r="A99" s="4">
        <f>Pracownicy!A99</f>
        <v>0</v>
      </c>
      <c r="B99" s="4">
        <f>Pracownicy!B99</f>
        <v>0</v>
      </c>
      <c r="C99" s="4">
        <f>Pracownicy!C99</f>
        <v>0</v>
      </c>
      <c r="D99" s="4">
        <f>Pracownicy!D99</f>
        <v>0</v>
      </c>
      <c r="E99" s="4">
        <f>IF(A99="","",SUMIF(Wyniki!$A$2:$A$501,A99,Wyniki!$O$2:$O$501))</f>
        <v>0</v>
      </c>
      <c r="F99" s="4">
        <f>IF(A99="","",COUNTIF(Wyniki!$A$2:$A$501,A99))</f>
        <v>0</v>
      </c>
    </row>
    <row r="100" spans="1:6" x14ac:dyDescent="0.25">
      <c r="A100" s="4">
        <f>Pracownicy!A100</f>
        <v>0</v>
      </c>
      <c r="B100" s="4">
        <f>Pracownicy!B100</f>
        <v>0</v>
      </c>
      <c r="C100" s="4">
        <f>Pracownicy!C100</f>
        <v>0</v>
      </c>
      <c r="D100" s="4">
        <f>Pracownicy!D100</f>
        <v>0</v>
      </c>
      <c r="E100" s="4">
        <f>IF(A100="","",SUMIF(Wyniki!$A$2:$A$501,A100,Wyniki!$O$2:$O$501))</f>
        <v>0</v>
      </c>
      <c r="F100" s="4">
        <f>IF(A100="","",COUNTIF(Wyniki!$A$2:$A$501,A100))</f>
        <v>0</v>
      </c>
    </row>
    <row r="101" spans="1:6" x14ac:dyDescent="0.25">
      <c r="A101" s="4">
        <f>Pracownicy!A101</f>
        <v>0</v>
      </c>
      <c r="B101" s="4">
        <f>Pracownicy!B101</f>
        <v>0</v>
      </c>
      <c r="C101" s="4">
        <f>Pracownicy!C101</f>
        <v>0</v>
      </c>
      <c r="D101" s="4">
        <f>Pracownicy!D101</f>
        <v>0</v>
      </c>
      <c r="E101" s="4">
        <f>IF(A101="","",SUMIF(Wyniki!$A$2:$A$501,A101,Wyniki!$O$2:$O$501))</f>
        <v>0</v>
      </c>
      <c r="F101" s="4">
        <f>IF(A101="","",COUNTIF(Wyniki!$A$2:$A$501,A101))</f>
        <v>0</v>
      </c>
    </row>
    <row r="102" spans="1:6" x14ac:dyDescent="0.25">
      <c r="A102" s="4">
        <f>Pracownicy!A102</f>
        <v>0</v>
      </c>
      <c r="B102" s="4">
        <f>Pracownicy!B102</f>
        <v>0</v>
      </c>
      <c r="C102" s="4">
        <f>Pracownicy!C102</f>
        <v>0</v>
      </c>
      <c r="D102" s="4">
        <f>Pracownicy!D102</f>
        <v>0</v>
      </c>
      <c r="E102" s="4">
        <f>IF(A102="","",SUMIF(Wyniki!$A$2:$A$501,A102,Wyniki!$O$2:$O$501))</f>
        <v>0</v>
      </c>
      <c r="F102" s="4">
        <f>IF(A102="","",COUNTIF(Wyniki!$A$2:$A$501,A102))</f>
        <v>0</v>
      </c>
    </row>
    <row r="103" spans="1:6" x14ac:dyDescent="0.25">
      <c r="A103" s="4">
        <f>Pracownicy!A103</f>
        <v>0</v>
      </c>
      <c r="B103" s="4">
        <f>Pracownicy!B103</f>
        <v>0</v>
      </c>
      <c r="C103" s="4">
        <f>Pracownicy!C103</f>
        <v>0</v>
      </c>
      <c r="D103" s="4">
        <f>Pracownicy!D103</f>
        <v>0</v>
      </c>
      <c r="E103" s="4">
        <f>IF(A103="","",SUMIF(Wyniki!$A$2:$A$501,A103,Wyniki!$O$2:$O$501))</f>
        <v>0</v>
      </c>
      <c r="F103" s="4">
        <f>IF(A103="","",COUNTIF(Wyniki!$A$2:$A$501,A103))</f>
        <v>0</v>
      </c>
    </row>
    <row r="104" spans="1:6" x14ac:dyDescent="0.25">
      <c r="A104" s="4">
        <f>Pracownicy!A104</f>
        <v>0</v>
      </c>
      <c r="B104" s="4">
        <f>Pracownicy!B104</f>
        <v>0</v>
      </c>
      <c r="C104" s="4">
        <f>Pracownicy!C104</f>
        <v>0</v>
      </c>
      <c r="D104" s="4">
        <f>Pracownicy!D104</f>
        <v>0</v>
      </c>
      <c r="E104" s="4">
        <f>IF(A104="","",SUMIF(Wyniki!$A$2:$A$501,A104,Wyniki!$O$2:$O$501))</f>
        <v>0</v>
      </c>
      <c r="F104" s="4">
        <f>IF(A104="","",COUNTIF(Wyniki!$A$2:$A$501,A104))</f>
        <v>0</v>
      </c>
    </row>
    <row r="105" spans="1:6" x14ac:dyDescent="0.25">
      <c r="A105" s="4">
        <f>Pracownicy!A105</f>
        <v>0</v>
      </c>
      <c r="B105" s="4">
        <f>Pracownicy!B105</f>
        <v>0</v>
      </c>
      <c r="C105" s="4">
        <f>Pracownicy!C105</f>
        <v>0</v>
      </c>
      <c r="D105" s="4">
        <f>Pracownicy!D105</f>
        <v>0</v>
      </c>
      <c r="E105" s="4">
        <f>IF(A105="","",SUMIF(Wyniki!$A$2:$A$501,A105,Wyniki!$O$2:$O$501))</f>
        <v>0</v>
      </c>
      <c r="F105" s="4">
        <f>IF(A105="","",COUNTIF(Wyniki!$A$2:$A$501,A105))</f>
        <v>0</v>
      </c>
    </row>
    <row r="106" spans="1:6" x14ac:dyDescent="0.25">
      <c r="A106" s="4">
        <f>Pracownicy!A106</f>
        <v>0</v>
      </c>
      <c r="B106" s="4">
        <f>Pracownicy!B106</f>
        <v>0</v>
      </c>
      <c r="C106" s="4">
        <f>Pracownicy!C106</f>
        <v>0</v>
      </c>
      <c r="D106" s="4">
        <f>Pracownicy!D106</f>
        <v>0</v>
      </c>
      <c r="E106" s="4">
        <f>IF(A106="","",SUMIF(Wyniki!$A$2:$A$501,A106,Wyniki!$O$2:$O$501))</f>
        <v>0</v>
      </c>
      <c r="F106" s="4">
        <f>IF(A106="","",COUNTIF(Wyniki!$A$2:$A$501,A106))</f>
        <v>0</v>
      </c>
    </row>
    <row r="107" spans="1:6" x14ac:dyDescent="0.25">
      <c r="A107" s="4">
        <f>Pracownicy!A107</f>
        <v>0</v>
      </c>
      <c r="B107" s="4">
        <f>Pracownicy!B107</f>
        <v>0</v>
      </c>
      <c r="C107" s="4">
        <f>Pracownicy!C107</f>
        <v>0</v>
      </c>
      <c r="D107" s="4">
        <f>Pracownicy!D107</f>
        <v>0</v>
      </c>
      <c r="E107" s="4">
        <f>IF(A107="","",SUMIF(Wyniki!$A$2:$A$501,A107,Wyniki!$O$2:$O$501))</f>
        <v>0</v>
      </c>
      <c r="F107" s="4">
        <f>IF(A107="","",COUNTIF(Wyniki!$A$2:$A$501,A107))</f>
        <v>0</v>
      </c>
    </row>
    <row r="108" spans="1:6" x14ac:dyDescent="0.25">
      <c r="A108" s="4">
        <f>Pracownicy!A108</f>
        <v>0</v>
      </c>
      <c r="B108" s="4">
        <f>Pracownicy!B108</f>
        <v>0</v>
      </c>
      <c r="C108" s="4">
        <f>Pracownicy!C108</f>
        <v>0</v>
      </c>
      <c r="D108" s="4">
        <f>Pracownicy!D108</f>
        <v>0</v>
      </c>
      <c r="E108" s="4">
        <f>IF(A108="","",SUMIF(Wyniki!$A$2:$A$501,A108,Wyniki!$O$2:$O$501))</f>
        <v>0</v>
      </c>
      <c r="F108" s="4">
        <f>IF(A108="","",COUNTIF(Wyniki!$A$2:$A$501,A108))</f>
        <v>0</v>
      </c>
    </row>
    <row r="109" spans="1:6" x14ac:dyDescent="0.25">
      <c r="A109" s="4">
        <f>Pracownicy!A109</f>
        <v>0</v>
      </c>
      <c r="B109" s="4">
        <f>Pracownicy!B109</f>
        <v>0</v>
      </c>
      <c r="C109" s="4">
        <f>Pracownicy!C109</f>
        <v>0</v>
      </c>
      <c r="D109" s="4">
        <f>Pracownicy!D109</f>
        <v>0</v>
      </c>
      <c r="E109" s="4">
        <f>IF(A109="","",SUMIF(Wyniki!$A$2:$A$501,A109,Wyniki!$O$2:$O$501))</f>
        <v>0</v>
      </c>
      <c r="F109" s="4">
        <f>IF(A109="","",COUNTIF(Wyniki!$A$2:$A$501,A109))</f>
        <v>0</v>
      </c>
    </row>
    <row r="110" spans="1:6" x14ac:dyDescent="0.25">
      <c r="A110" s="4">
        <f>Pracownicy!A110</f>
        <v>0</v>
      </c>
      <c r="B110" s="4">
        <f>Pracownicy!B110</f>
        <v>0</v>
      </c>
      <c r="C110" s="4">
        <f>Pracownicy!C110</f>
        <v>0</v>
      </c>
      <c r="D110" s="4">
        <f>Pracownicy!D110</f>
        <v>0</v>
      </c>
      <c r="E110" s="4">
        <f>IF(A110="","",SUMIF(Wyniki!$A$2:$A$501,A110,Wyniki!$O$2:$O$501))</f>
        <v>0</v>
      </c>
      <c r="F110" s="4">
        <f>IF(A110="","",COUNTIF(Wyniki!$A$2:$A$501,A110))</f>
        <v>0</v>
      </c>
    </row>
    <row r="111" spans="1:6" x14ac:dyDescent="0.25">
      <c r="A111" s="4">
        <f>Pracownicy!A111</f>
        <v>0</v>
      </c>
      <c r="B111" s="4">
        <f>Pracownicy!B111</f>
        <v>0</v>
      </c>
      <c r="C111" s="4">
        <f>Pracownicy!C111</f>
        <v>0</v>
      </c>
      <c r="D111" s="4">
        <f>Pracownicy!D111</f>
        <v>0</v>
      </c>
      <c r="E111" s="4">
        <f>IF(A111="","",SUMIF(Wyniki!$A$2:$A$501,A111,Wyniki!$O$2:$O$501))</f>
        <v>0</v>
      </c>
      <c r="F111" s="4">
        <f>IF(A111="","",COUNTIF(Wyniki!$A$2:$A$501,A111))</f>
        <v>0</v>
      </c>
    </row>
    <row r="112" spans="1:6" x14ac:dyDescent="0.25">
      <c r="A112" s="4">
        <f>Pracownicy!A112</f>
        <v>0</v>
      </c>
      <c r="B112" s="4">
        <f>Pracownicy!B112</f>
        <v>0</v>
      </c>
      <c r="C112" s="4">
        <f>Pracownicy!C112</f>
        <v>0</v>
      </c>
      <c r="D112" s="4">
        <f>Pracownicy!D112</f>
        <v>0</v>
      </c>
      <c r="E112" s="4">
        <f>IF(A112="","",SUMIF(Wyniki!$A$2:$A$501,A112,Wyniki!$O$2:$O$501))</f>
        <v>0</v>
      </c>
      <c r="F112" s="4">
        <f>IF(A112="","",COUNTIF(Wyniki!$A$2:$A$501,A112))</f>
        <v>0</v>
      </c>
    </row>
    <row r="113" spans="1:6" x14ac:dyDescent="0.25">
      <c r="A113" s="4">
        <f>Pracownicy!A113</f>
        <v>0</v>
      </c>
      <c r="B113" s="4">
        <f>Pracownicy!B113</f>
        <v>0</v>
      </c>
      <c r="C113" s="4">
        <f>Pracownicy!C113</f>
        <v>0</v>
      </c>
      <c r="D113" s="4">
        <f>Pracownicy!D113</f>
        <v>0</v>
      </c>
      <c r="E113" s="4">
        <f>IF(A113="","",SUMIF(Wyniki!$A$2:$A$501,A113,Wyniki!$O$2:$O$501))</f>
        <v>0</v>
      </c>
      <c r="F113" s="4">
        <f>IF(A113="","",COUNTIF(Wyniki!$A$2:$A$501,A113))</f>
        <v>0</v>
      </c>
    </row>
    <row r="114" spans="1:6" x14ac:dyDescent="0.25">
      <c r="A114" s="4">
        <f>Pracownicy!A114</f>
        <v>0</v>
      </c>
      <c r="B114" s="4">
        <f>Pracownicy!B114</f>
        <v>0</v>
      </c>
      <c r="C114" s="4">
        <f>Pracownicy!C114</f>
        <v>0</v>
      </c>
      <c r="D114" s="4">
        <f>Pracownicy!D114</f>
        <v>0</v>
      </c>
      <c r="E114" s="4">
        <f>IF(A114="","",SUMIF(Wyniki!$A$2:$A$501,A114,Wyniki!$O$2:$O$501))</f>
        <v>0</v>
      </c>
      <c r="F114" s="4">
        <f>IF(A114="","",COUNTIF(Wyniki!$A$2:$A$501,A114))</f>
        <v>0</v>
      </c>
    </row>
    <row r="115" spans="1:6" x14ac:dyDescent="0.25">
      <c r="A115" s="4">
        <f>Pracownicy!A115</f>
        <v>0</v>
      </c>
      <c r="B115" s="4">
        <f>Pracownicy!B115</f>
        <v>0</v>
      </c>
      <c r="C115" s="4">
        <f>Pracownicy!C115</f>
        <v>0</v>
      </c>
      <c r="D115" s="4">
        <f>Pracownicy!D115</f>
        <v>0</v>
      </c>
      <c r="E115" s="4">
        <f>IF(A115="","",SUMIF(Wyniki!$A$2:$A$501,A115,Wyniki!$O$2:$O$501))</f>
        <v>0</v>
      </c>
      <c r="F115" s="4">
        <f>IF(A115="","",COUNTIF(Wyniki!$A$2:$A$501,A115))</f>
        <v>0</v>
      </c>
    </row>
    <row r="116" spans="1:6" x14ac:dyDescent="0.25">
      <c r="A116" s="4">
        <f>Pracownicy!A116</f>
        <v>0</v>
      </c>
      <c r="B116" s="4">
        <f>Pracownicy!B116</f>
        <v>0</v>
      </c>
      <c r="C116" s="4">
        <f>Pracownicy!C116</f>
        <v>0</v>
      </c>
      <c r="D116" s="4">
        <f>Pracownicy!D116</f>
        <v>0</v>
      </c>
      <c r="E116" s="4">
        <f>IF(A116="","",SUMIF(Wyniki!$A$2:$A$501,A116,Wyniki!$O$2:$O$501))</f>
        <v>0</v>
      </c>
      <c r="F116" s="4">
        <f>IF(A116="","",COUNTIF(Wyniki!$A$2:$A$501,A116))</f>
        <v>0</v>
      </c>
    </row>
    <row r="117" spans="1:6" x14ac:dyDescent="0.25">
      <c r="A117" s="4">
        <f>Pracownicy!A117</f>
        <v>0</v>
      </c>
      <c r="B117" s="4">
        <f>Pracownicy!B117</f>
        <v>0</v>
      </c>
      <c r="C117" s="4">
        <f>Pracownicy!C117</f>
        <v>0</v>
      </c>
      <c r="D117" s="4">
        <f>Pracownicy!D117</f>
        <v>0</v>
      </c>
      <c r="E117" s="4">
        <f>IF(A117="","",SUMIF(Wyniki!$A$2:$A$501,A117,Wyniki!$O$2:$O$501))</f>
        <v>0</v>
      </c>
      <c r="F117" s="4">
        <f>IF(A117="","",COUNTIF(Wyniki!$A$2:$A$501,A117))</f>
        <v>0</v>
      </c>
    </row>
    <row r="118" spans="1:6" x14ac:dyDescent="0.25">
      <c r="A118" s="4">
        <f>Pracownicy!A118</f>
        <v>0</v>
      </c>
      <c r="B118" s="4">
        <f>Pracownicy!B118</f>
        <v>0</v>
      </c>
      <c r="C118" s="4">
        <f>Pracownicy!C118</f>
        <v>0</v>
      </c>
      <c r="D118" s="4">
        <f>Pracownicy!D118</f>
        <v>0</v>
      </c>
      <c r="E118" s="4">
        <f>IF(A118="","",SUMIF(Wyniki!$A$2:$A$501,A118,Wyniki!$O$2:$O$501))</f>
        <v>0</v>
      </c>
      <c r="F118" s="4">
        <f>IF(A118="","",COUNTIF(Wyniki!$A$2:$A$501,A118))</f>
        <v>0</v>
      </c>
    </row>
    <row r="119" spans="1:6" x14ac:dyDescent="0.25">
      <c r="A119" s="4">
        <f>Pracownicy!A119</f>
        <v>0</v>
      </c>
      <c r="B119" s="4">
        <f>Pracownicy!B119</f>
        <v>0</v>
      </c>
      <c r="C119" s="4">
        <f>Pracownicy!C119</f>
        <v>0</v>
      </c>
      <c r="D119" s="4">
        <f>Pracownicy!D119</f>
        <v>0</v>
      </c>
      <c r="E119" s="4">
        <f>IF(A119="","",SUMIF(Wyniki!$A$2:$A$501,A119,Wyniki!$O$2:$O$501))</f>
        <v>0</v>
      </c>
      <c r="F119" s="4">
        <f>IF(A119="","",COUNTIF(Wyniki!$A$2:$A$501,A119))</f>
        <v>0</v>
      </c>
    </row>
    <row r="120" spans="1:6" x14ac:dyDescent="0.25">
      <c r="A120" s="4">
        <f>Pracownicy!A120</f>
        <v>0</v>
      </c>
      <c r="B120" s="4">
        <f>Pracownicy!B120</f>
        <v>0</v>
      </c>
      <c r="C120" s="4">
        <f>Pracownicy!C120</f>
        <v>0</v>
      </c>
      <c r="D120" s="4">
        <f>Pracownicy!D120</f>
        <v>0</v>
      </c>
      <c r="E120" s="4">
        <f>IF(A120="","",SUMIF(Wyniki!$A$2:$A$501,A120,Wyniki!$O$2:$O$501))</f>
        <v>0</v>
      </c>
      <c r="F120" s="4">
        <f>IF(A120="","",COUNTIF(Wyniki!$A$2:$A$501,A120))</f>
        <v>0</v>
      </c>
    </row>
    <row r="121" spans="1:6" x14ac:dyDescent="0.25">
      <c r="A121" s="4">
        <f>Pracownicy!A121</f>
        <v>0</v>
      </c>
      <c r="B121" s="4">
        <f>Pracownicy!B121</f>
        <v>0</v>
      </c>
      <c r="C121" s="4">
        <f>Pracownicy!C121</f>
        <v>0</v>
      </c>
      <c r="D121" s="4">
        <f>Pracownicy!D121</f>
        <v>0</v>
      </c>
      <c r="E121" s="4">
        <f>IF(A121="","",SUMIF(Wyniki!$A$2:$A$501,A121,Wyniki!$O$2:$O$501))</f>
        <v>0</v>
      </c>
      <c r="F121" s="4">
        <f>IF(A121="","",COUNTIF(Wyniki!$A$2:$A$501,A121))</f>
        <v>0</v>
      </c>
    </row>
    <row r="122" spans="1:6" x14ac:dyDescent="0.25">
      <c r="A122" s="4">
        <f>Pracownicy!A122</f>
        <v>0</v>
      </c>
      <c r="B122" s="4">
        <f>Pracownicy!B122</f>
        <v>0</v>
      </c>
      <c r="C122" s="4">
        <f>Pracownicy!C122</f>
        <v>0</v>
      </c>
      <c r="D122" s="4">
        <f>Pracownicy!D122</f>
        <v>0</v>
      </c>
      <c r="E122" s="4">
        <f>IF(A122="","",SUMIF(Wyniki!$A$2:$A$501,A122,Wyniki!$O$2:$O$501))</f>
        <v>0</v>
      </c>
      <c r="F122" s="4">
        <f>IF(A122="","",COUNTIF(Wyniki!$A$2:$A$501,A122))</f>
        <v>0</v>
      </c>
    </row>
    <row r="123" spans="1:6" x14ac:dyDescent="0.25">
      <c r="A123" s="4">
        <f>Pracownicy!A123</f>
        <v>0</v>
      </c>
      <c r="B123" s="4">
        <f>Pracownicy!B123</f>
        <v>0</v>
      </c>
      <c r="C123" s="4">
        <f>Pracownicy!C123</f>
        <v>0</v>
      </c>
      <c r="D123" s="4">
        <f>Pracownicy!D123</f>
        <v>0</v>
      </c>
      <c r="E123" s="4">
        <f>IF(A123="","",SUMIF(Wyniki!$A$2:$A$501,A123,Wyniki!$O$2:$O$501))</f>
        <v>0</v>
      </c>
      <c r="F123" s="4">
        <f>IF(A123="","",COUNTIF(Wyniki!$A$2:$A$501,A123))</f>
        <v>0</v>
      </c>
    </row>
    <row r="124" spans="1:6" x14ac:dyDescent="0.25">
      <c r="A124" s="4">
        <f>Pracownicy!A124</f>
        <v>0</v>
      </c>
      <c r="B124" s="4">
        <f>Pracownicy!B124</f>
        <v>0</v>
      </c>
      <c r="C124" s="4">
        <f>Pracownicy!C124</f>
        <v>0</v>
      </c>
      <c r="D124" s="4">
        <f>Pracownicy!D124</f>
        <v>0</v>
      </c>
      <c r="E124" s="4">
        <f>IF(A124="","",SUMIF(Wyniki!$A$2:$A$501,A124,Wyniki!$O$2:$O$501))</f>
        <v>0</v>
      </c>
      <c r="F124" s="4">
        <f>IF(A124="","",COUNTIF(Wyniki!$A$2:$A$501,A124))</f>
        <v>0</v>
      </c>
    </row>
    <row r="125" spans="1:6" x14ac:dyDescent="0.25">
      <c r="A125" s="4">
        <f>Pracownicy!A125</f>
        <v>0</v>
      </c>
      <c r="B125" s="4">
        <f>Pracownicy!B125</f>
        <v>0</v>
      </c>
      <c r="C125" s="4">
        <f>Pracownicy!C125</f>
        <v>0</v>
      </c>
      <c r="D125" s="4">
        <f>Pracownicy!D125</f>
        <v>0</v>
      </c>
      <c r="E125" s="4">
        <f>IF(A125="","",SUMIF(Wyniki!$A$2:$A$501,A125,Wyniki!$O$2:$O$501))</f>
        <v>0</v>
      </c>
      <c r="F125" s="4">
        <f>IF(A125="","",COUNTIF(Wyniki!$A$2:$A$501,A125))</f>
        <v>0</v>
      </c>
    </row>
    <row r="126" spans="1:6" x14ac:dyDescent="0.25">
      <c r="A126" s="4">
        <f>Pracownicy!A126</f>
        <v>0</v>
      </c>
      <c r="B126" s="4">
        <f>Pracownicy!B126</f>
        <v>0</v>
      </c>
      <c r="C126" s="4">
        <f>Pracownicy!C126</f>
        <v>0</v>
      </c>
      <c r="D126" s="4">
        <f>Pracownicy!D126</f>
        <v>0</v>
      </c>
      <c r="E126" s="4">
        <f>IF(A126="","",SUMIF(Wyniki!$A$2:$A$501,A126,Wyniki!$O$2:$O$501))</f>
        <v>0</v>
      </c>
      <c r="F126" s="4">
        <f>IF(A126="","",COUNTIF(Wyniki!$A$2:$A$501,A126))</f>
        <v>0</v>
      </c>
    </row>
    <row r="127" spans="1:6" x14ac:dyDescent="0.25">
      <c r="A127" s="4">
        <f>Pracownicy!A127</f>
        <v>0</v>
      </c>
      <c r="B127" s="4">
        <f>Pracownicy!B127</f>
        <v>0</v>
      </c>
      <c r="C127" s="4">
        <f>Pracownicy!C127</f>
        <v>0</v>
      </c>
      <c r="D127" s="4">
        <f>Pracownicy!D127</f>
        <v>0</v>
      </c>
      <c r="E127" s="4">
        <f>IF(A127="","",SUMIF(Wyniki!$A$2:$A$501,A127,Wyniki!$O$2:$O$501))</f>
        <v>0</v>
      </c>
      <c r="F127" s="4">
        <f>IF(A127="","",COUNTIF(Wyniki!$A$2:$A$501,A127))</f>
        <v>0</v>
      </c>
    </row>
    <row r="128" spans="1:6" x14ac:dyDescent="0.25">
      <c r="A128" s="4">
        <f>Pracownicy!A128</f>
        <v>0</v>
      </c>
      <c r="B128" s="4">
        <f>Pracownicy!B128</f>
        <v>0</v>
      </c>
      <c r="C128" s="4">
        <f>Pracownicy!C128</f>
        <v>0</v>
      </c>
      <c r="D128" s="4">
        <f>Pracownicy!D128</f>
        <v>0</v>
      </c>
      <c r="E128" s="4">
        <f>IF(A128="","",SUMIF(Wyniki!$A$2:$A$501,A128,Wyniki!$O$2:$O$501))</f>
        <v>0</v>
      </c>
      <c r="F128" s="4">
        <f>IF(A128="","",COUNTIF(Wyniki!$A$2:$A$501,A128))</f>
        <v>0</v>
      </c>
    </row>
    <row r="129" spans="1:6" x14ac:dyDescent="0.25">
      <c r="A129" s="4">
        <f>Pracownicy!A129</f>
        <v>0</v>
      </c>
      <c r="B129" s="4">
        <f>Pracownicy!B129</f>
        <v>0</v>
      </c>
      <c r="C129" s="4">
        <f>Pracownicy!C129</f>
        <v>0</v>
      </c>
      <c r="D129" s="4">
        <f>Pracownicy!D129</f>
        <v>0</v>
      </c>
      <c r="E129" s="4">
        <f>IF(A129="","",SUMIF(Wyniki!$A$2:$A$501,A129,Wyniki!$O$2:$O$501))</f>
        <v>0</v>
      </c>
      <c r="F129" s="4">
        <f>IF(A129="","",COUNTIF(Wyniki!$A$2:$A$501,A129))</f>
        <v>0</v>
      </c>
    </row>
    <row r="130" spans="1:6" x14ac:dyDescent="0.25">
      <c r="A130" s="4">
        <f>Pracownicy!A130</f>
        <v>0</v>
      </c>
      <c r="B130" s="4">
        <f>Pracownicy!B130</f>
        <v>0</v>
      </c>
      <c r="C130" s="4">
        <f>Pracownicy!C130</f>
        <v>0</v>
      </c>
      <c r="D130" s="4">
        <f>Pracownicy!D130</f>
        <v>0</v>
      </c>
      <c r="E130" s="4">
        <f>IF(A130="","",SUMIF(Wyniki!$A$2:$A$501,A130,Wyniki!$O$2:$O$501))</f>
        <v>0</v>
      </c>
      <c r="F130" s="4">
        <f>IF(A130="","",COUNTIF(Wyniki!$A$2:$A$501,A130))</f>
        <v>0</v>
      </c>
    </row>
    <row r="131" spans="1:6" x14ac:dyDescent="0.25">
      <c r="A131" s="4">
        <f>Pracownicy!A131</f>
        <v>0</v>
      </c>
      <c r="B131" s="4">
        <f>Pracownicy!B131</f>
        <v>0</v>
      </c>
      <c r="C131" s="4">
        <f>Pracownicy!C131</f>
        <v>0</v>
      </c>
      <c r="D131" s="4">
        <f>Pracownicy!D131</f>
        <v>0</v>
      </c>
      <c r="E131" s="4">
        <f>IF(A131="","",SUMIF(Wyniki!$A$2:$A$501,A131,Wyniki!$O$2:$O$501))</f>
        <v>0</v>
      </c>
      <c r="F131" s="4">
        <f>IF(A131="","",COUNTIF(Wyniki!$A$2:$A$501,A131))</f>
        <v>0</v>
      </c>
    </row>
    <row r="132" spans="1:6" x14ac:dyDescent="0.25">
      <c r="A132" s="4">
        <f>Pracownicy!A132</f>
        <v>0</v>
      </c>
      <c r="B132" s="4">
        <f>Pracownicy!B132</f>
        <v>0</v>
      </c>
      <c r="C132" s="4">
        <f>Pracownicy!C132</f>
        <v>0</v>
      </c>
      <c r="D132" s="4">
        <f>Pracownicy!D132</f>
        <v>0</v>
      </c>
      <c r="E132" s="4">
        <f>IF(A132="","",SUMIF(Wyniki!$A$2:$A$501,A132,Wyniki!$O$2:$O$501))</f>
        <v>0</v>
      </c>
      <c r="F132" s="4">
        <f>IF(A132="","",COUNTIF(Wyniki!$A$2:$A$501,A132))</f>
        <v>0</v>
      </c>
    </row>
    <row r="133" spans="1:6" x14ac:dyDescent="0.25">
      <c r="A133" s="4">
        <f>Pracownicy!A133</f>
        <v>0</v>
      </c>
      <c r="B133" s="4">
        <f>Pracownicy!B133</f>
        <v>0</v>
      </c>
      <c r="C133" s="4">
        <f>Pracownicy!C133</f>
        <v>0</v>
      </c>
      <c r="D133" s="4">
        <f>Pracownicy!D133</f>
        <v>0</v>
      </c>
      <c r="E133" s="4">
        <f>IF(A133="","",SUMIF(Wyniki!$A$2:$A$501,A133,Wyniki!$O$2:$O$501))</f>
        <v>0</v>
      </c>
      <c r="F133" s="4">
        <f>IF(A133="","",COUNTIF(Wyniki!$A$2:$A$501,A133))</f>
        <v>0</v>
      </c>
    </row>
    <row r="134" spans="1:6" x14ac:dyDescent="0.25">
      <c r="A134" s="4">
        <f>Pracownicy!A134</f>
        <v>0</v>
      </c>
      <c r="B134" s="4">
        <f>Pracownicy!B134</f>
        <v>0</v>
      </c>
      <c r="C134" s="4">
        <f>Pracownicy!C134</f>
        <v>0</v>
      </c>
      <c r="D134" s="4">
        <f>Pracownicy!D134</f>
        <v>0</v>
      </c>
      <c r="E134" s="4">
        <f>IF(A134="","",SUMIF(Wyniki!$A$2:$A$501,A134,Wyniki!$O$2:$O$501))</f>
        <v>0</v>
      </c>
      <c r="F134" s="4">
        <f>IF(A134="","",COUNTIF(Wyniki!$A$2:$A$501,A134))</f>
        <v>0</v>
      </c>
    </row>
    <row r="135" spans="1:6" x14ac:dyDescent="0.25">
      <c r="A135" s="4">
        <f>Pracownicy!A135</f>
        <v>0</v>
      </c>
      <c r="B135" s="4">
        <f>Pracownicy!B135</f>
        <v>0</v>
      </c>
      <c r="C135" s="4">
        <f>Pracownicy!C135</f>
        <v>0</v>
      </c>
      <c r="D135" s="4">
        <f>Pracownicy!D135</f>
        <v>0</v>
      </c>
      <c r="E135" s="4">
        <f>IF(A135="","",SUMIF(Wyniki!$A$2:$A$501,A135,Wyniki!$O$2:$O$501))</f>
        <v>0</v>
      </c>
      <c r="F135" s="4">
        <f>IF(A135="","",COUNTIF(Wyniki!$A$2:$A$501,A135))</f>
        <v>0</v>
      </c>
    </row>
    <row r="136" spans="1:6" x14ac:dyDescent="0.25">
      <c r="A136" s="4">
        <f>Pracownicy!A136</f>
        <v>0</v>
      </c>
      <c r="B136" s="4">
        <f>Pracownicy!B136</f>
        <v>0</v>
      </c>
      <c r="C136" s="4">
        <f>Pracownicy!C136</f>
        <v>0</v>
      </c>
      <c r="D136" s="4">
        <f>Pracownicy!D136</f>
        <v>0</v>
      </c>
      <c r="E136" s="4">
        <f>IF(A136="","",SUMIF(Wyniki!$A$2:$A$501,A136,Wyniki!$O$2:$O$501))</f>
        <v>0</v>
      </c>
      <c r="F136" s="4">
        <f>IF(A136="","",COUNTIF(Wyniki!$A$2:$A$501,A136))</f>
        <v>0</v>
      </c>
    </row>
    <row r="137" spans="1:6" x14ac:dyDescent="0.25">
      <c r="A137" s="4">
        <f>Pracownicy!A137</f>
        <v>0</v>
      </c>
      <c r="B137" s="4">
        <f>Pracownicy!B137</f>
        <v>0</v>
      </c>
      <c r="C137" s="4">
        <f>Pracownicy!C137</f>
        <v>0</v>
      </c>
      <c r="D137" s="4">
        <f>Pracownicy!D137</f>
        <v>0</v>
      </c>
      <c r="E137" s="4">
        <f>IF(A137="","",SUMIF(Wyniki!$A$2:$A$501,A137,Wyniki!$O$2:$O$501))</f>
        <v>0</v>
      </c>
      <c r="F137" s="4">
        <f>IF(A137="","",COUNTIF(Wyniki!$A$2:$A$501,A137))</f>
        <v>0</v>
      </c>
    </row>
    <row r="138" spans="1:6" x14ac:dyDescent="0.25">
      <c r="A138" s="4">
        <f>Pracownicy!A138</f>
        <v>0</v>
      </c>
      <c r="B138" s="4">
        <f>Pracownicy!B138</f>
        <v>0</v>
      </c>
      <c r="C138" s="4">
        <f>Pracownicy!C138</f>
        <v>0</v>
      </c>
      <c r="D138" s="4">
        <f>Pracownicy!D138</f>
        <v>0</v>
      </c>
      <c r="E138" s="4">
        <f>IF(A138="","",SUMIF(Wyniki!$A$2:$A$501,A138,Wyniki!$O$2:$O$501))</f>
        <v>0</v>
      </c>
      <c r="F138" s="4">
        <f>IF(A138="","",COUNTIF(Wyniki!$A$2:$A$501,A138))</f>
        <v>0</v>
      </c>
    </row>
    <row r="139" spans="1:6" x14ac:dyDescent="0.25">
      <c r="A139" s="4">
        <f>Pracownicy!A139</f>
        <v>0</v>
      </c>
      <c r="B139" s="4">
        <f>Pracownicy!B139</f>
        <v>0</v>
      </c>
      <c r="C139" s="4">
        <f>Pracownicy!C139</f>
        <v>0</v>
      </c>
      <c r="D139" s="4">
        <f>Pracownicy!D139</f>
        <v>0</v>
      </c>
      <c r="E139" s="4">
        <f>IF(A139="","",SUMIF(Wyniki!$A$2:$A$501,A139,Wyniki!$O$2:$O$501))</f>
        <v>0</v>
      </c>
      <c r="F139" s="4">
        <f>IF(A139="","",COUNTIF(Wyniki!$A$2:$A$501,A139))</f>
        <v>0</v>
      </c>
    </row>
    <row r="140" spans="1:6" x14ac:dyDescent="0.25">
      <c r="A140" s="4">
        <f>Pracownicy!A140</f>
        <v>0</v>
      </c>
      <c r="B140" s="4">
        <f>Pracownicy!B140</f>
        <v>0</v>
      </c>
      <c r="C140" s="4">
        <f>Pracownicy!C140</f>
        <v>0</v>
      </c>
      <c r="D140" s="4">
        <f>Pracownicy!D140</f>
        <v>0</v>
      </c>
      <c r="E140" s="4">
        <f>IF(A140="","",SUMIF(Wyniki!$A$2:$A$501,A140,Wyniki!$O$2:$O$501))</f>
        <v>0</v>
      </c>
      <c r="F140" s="4">
        <f>IF(A140="","",COUNTIF(Wyniki!$A$2:$A$501,A140))</f>
        <v>0</v>
      </c>
    </row>
    <row r="141" spans="1:6" x14ac:dyDescent="0.25">
      <c r="A141" s="4">
        <f>Pracownicy!A141</f>
        <v>0</v>
      </c>
      <c r="B141" s="4">
        <f>Pracownicy!B141</f>
        <v>0</v>
      </c>
      <c r="C141" s="4">
        <f>Pracownicy!C141</f>
        <v>0</v>
      </c>
      <c r="D141" s="4">
        <f>Pracownicy!D141</f>
        <v>0</v>
      </c>
      <c r="E141" s="4">
        <f>IF(A141="","",SUMIF(Wyniki!$A$2:$A$501,A141,Wyniki!$O$2:$O$501))</f>
        <v>0</v>
      </c>
      <c r="F141" s="4">
        <f>IF(A141="","",COUNTIF(Wyniki!$A$2:$A$501,A141))</f>
        <v>0</v>
      </c>
    </row>
    <row r="142" spans="1:6" x14ac:dyDescent="0.25">
      <c r="A142" s="4">
        <f>Pracownicy!A142</f>
        <v>0</v>
      </c>
      <c r="B142" s="4">
        <f>Pracownicy!B142</f>
        <v>0</v>
      </c>
      <c r="C142" s="4">
        <f>Pracownicy!C142</f>
        <v>0</v>
      </c>
      <c r="D142" s="4">
        <f>Pracownicy!D142</f>
        <v>0</v>
      </c>
      <c r="E142" s="4">
        <f>IF(A142="","",SUMIF(Wyniki!$A$2:$A$501,A142,Wyniki!$O$2:$O$501))</f>
        <v>0</v>
      </c>
      <c r="F142" s="4">
        <f>IF(A142="","",COUNTIF(Wyniki!$A$2:$A$501,A142))</f>
        <v>0</v>
      </c>
    </row>
    <row r="143" spans="1:6" x14ac:dyDescent="0.25">
      <c r="A143" s="4">
        <f>Pracownicy!A143</f>
        <v>0</v>
      </c>
      <c r="B143" s="4">
        <f>Pracownicy!B143</f>
        <v>0</v>
      </c>
      <c r="C143" s="4">
        <f>Pracownicy!C143</f>
        <v>0</v>
      </c>
      <c r="D143" s="4">
        <f>Pracownicy!D143</f>
        <v>0</v>
      </c>
      <c r="E143" s="4">
        <f>IF(A143="","",SUMIF(Wyniki!$A$2:$A$501,A143,Wyniki!$O$2:$O$501))</f>
        <v>0</v>
      </c>
      <c r="F143" s="4">
        <f>IF(A143="","",COUNTIF(Wyniki!$A$2:$A$501,A143))</f>
        <v>0</v>
      </c>
    </row>
    <row r="144" spans="1:6" x14ac:dyDescent="0.25">
      <c r="A144" s="4">
        <f>Pracownicy!A144</f>
        <v>0</v>
      </c>
      <c r="B144" s="4">
        <f>Pracownicy!B144</f>
        <v>0</v>
      </c>
      <c r="C144" s="4">
        <f>Pracownicy!C144</f>
        <v>0</v>
      </c>
      <c r="D144" s="4">
        <f>Pracownicy!D144</f>
        <v>0</v>
      </c>
      <c r="E144" s="4">
        <f>IF(A144="","",SUMIF(Wyniki!$A$2:$A$501,A144,Wyniki!$O$2:$O$501))</f>
        <v>0</v>
      </c>
      <c r="F144" s="4">
        <f>IF(A144="","",COUNTIF(Wyniki!$A$2:$A$501,A144))</f>
        <v>0</v>
      </c>
    </row>
    <row r="145" spans="1:6" x14ac:dyDescent="0.25">
      <c r="A145" s="4">
        <f>Pracownicy!A145</f>
        <v>0</v>
      </c>
      <c r="B145" s="4">
        <f>Pracownicy!B145</f>
        <v>0</v>
      </c>
      <c r="C145" s="4">
        <f>Pracownicy!C145</f>
        <v>0</v>
      </c>
      <c r="D145" s="4">
        <f>Pracownicy!D145</f>
        <v>0</v>
      </c>
      <c r="E145" s="4">
        <f>IF(A145="","",SUMIF(Wyniki!$A$2:$A$501,A145,Wyniki!$O$2:$O$501))</f>
        <v>0</v>
      </c>
      <c r="F145" s="4">
        <f>IF(A145="","",COUNTIF(Wyniki!$A$2:$A$501,A145))</f>
        <v>0</v>
      </c>
    </row>
    <row r="146" spans="1:6" x14ac:dyDescent="0.25">
      <c r="A146" s="4">
        <f>Pracownicy!A146</f>
        <v>0</v>
      </c>
      <c r="B146" s="4">
        <f>Pracownicy!B146</f>
        <v>0</v>
      </c>
      <c r="C146" s="4">
        <f>Pracownicy!C146</f>
        <v>0</v>
      </c>
      <c r="D146" s="4">
        <f>Pracownicy!D146</f>
        <v>0</v>
      </c>
      <c r="E146" s="4">
        <f>IF(A146="","",SUMIF(Wyniki!$A$2:$A$501,A146,Wyniki!$O$2:$O$501))</f>
        <v>0</v>
      </c>
      <c r="F146" s="4">
        <f>IF(A146="","",COUNTIF(Wyniki!$A$2:$A$501,A146))</f>
        <v>0</v>
      </c>
    </row>
    <row r="147" spans="1:6" x14ac:dyDescent="0.25">
      <c r="A147" s="4">
        <f>Pracownicy!A147</f>
        <v>0</v>
      </c>
      <c r="B147" s="4">
        <f>Pracownicy!B147</f>
        <v>0</v>
      </c>
      <c r="C147" s="4">
        <f>Pracownicy!C147</f>
        <v>0</v>
      </c>
      <c r="D147" s="4">
        <f>Pracownicy!D147</f>
        <v>0</v>
      </c>
      <c r="E147" s="4">
        <f>IF(A147="","",SUMIF(Wyniki!$A$2:$A$501,A147,Wyniki!$O$2:$O$501))</f>
        <v>0</v>
      </c>
      <c r="F147" s="4">
        <f>IF(A147="","",COUNTIF(Wyniki!$A$2:$A$501,A147))</f>
        <v>0</v>
      </c>
    </row>
    <row r="148" spans="1:6" x14ac:dyDescent="0.25">
      <c r="A148" s="4">
        <f>Pracownicy!A148</f>
        <v>0</v>
      </c>
      <c r="B148" s="4">
        <f>Pracownicy!B148</f>
        <v>0</v>
      </c>
      <c r="C148" s="4">
        <f>Pracownicy!C148</f>
        <v>0</v>
      </c>
      <c r="D148" s="4">
        <f>Pracownicy!D148</f>
        <v>0</v>
      </c>
      <c r="E148" s="4">
        <f>IF(A148="","",SUMIF(Wyniki!$A$2:$A$501,A148,Wyniki!$O$2:$O$501))</f>
        <v>0</v>
      </c>
      <c r="F148" s="4">
        <f>IF(A148="","",COUNTIF(Wyniki!$A$2:$A$501,A148))</f>
        <v>0</v>
      </c>
    </row>
    <row r="149" spans="1:6" x14ac:dyDescent="0.25">
      <c r="A149" s="4">
        <f>Pracownicy!A149</f>
        <v>0</v>
      </c>
      <c r="B149" s="4">
        <f>Pracownicy!B149</f>
        <v>0</v>
      </c>
      <c r="C149" s="4">
        <f>Pracownicy!C149</f>
        <v>0</v>
      </c>
      <c r="D149" s="4">
        <f>Pracownicy!D149</f>
        <v>0</v>
      </c>
      <c r="E149" s="4">
        <f>IF(A149="","",SUMIF(Wyniki!$A$2:$A$501,A149,Wyniki!$O$2:$O$501))</f>
        <v>0</v>
      </c>
      <c r="F149" s="4">
        <f>IF(A149="","",COUNTIF(Wyniki!$A$2:$A$501,A149))</f>
        <v>0</v>
      </c>
    </row>
    <row r="150" spans="1:6" x14ac:dyDescent="0.25">
      <c r="A150" s="4">
        <f>Pracownicy!A150</f>
        <v>0</v>
      </c>
      <c r="B150" s="4">
        <f>Pracownicy!B150</f>
        <v>0</v>
      </c>
      <c r="C150" s="4">
        <f>Pracownicy!C150</f>
        <v>0</v>
      </c>
      <c r="D150" s="4">
        <f>Pracownicy!D150</f>
        <v>0</v>
      </c>
      <c r="E150" s="4">
        <f>IF(A150="","",SUMIF(Wyniki!$A$2:$A$501,A150,Wyniki!$O$2:$O$501))</f>
        <v>0</v>
      </c>
      <c r="F150" s="4">
        <f>IF(A150="","",COUNTIF(Wyniki!$A$2:$A$501,A150))</f>
        <v>0</v>
      </c>
    </row>
    <row r="151" spans="1:6" x14ac:dyDescent="0.25">
      <c r="A151" s="4">
        <f>Pracownicy!A151</f>
        <v>0</v>
      </c>
      <c r="B151" s="4">
        <f>Pracownicy!B151</f>
        <v>0</v>
      </c>
      <c r="C151" s="4">
        <f>Pracownicy!C151</f>
        <v>0</v>
      </c>
      <c r="D151" s="4">
        <f>Pracownicy!D151</f>
        <v>0</v>
      </c>
      <c r="E151" s="4">
        <f>IF(A151="","",SUMIF(Wyniki!$A$2:$A$501,A151,Wyniki!$O$2:$O$501))</f>
        <v>0</v>
      </c>
      <c r="F151" s="4">
        <f>IF(A151="","",COUNTIF(Wyniki!$A$2:$A$501,A151))</f>
        <v>0</v>
      </c>
    </row>
    <row r="152" spans="1:6" x14ac:dyDescent="0.25">
      <c r="A152" s="4">
        <f>Pracownicy!A152</f>
        <v>0</v>
      </c>
      <c r="B152" s="4">
        <f>Pracownicy!B152</f>
        <v>0</v>
      </c>
      <c r="C152" s="4">
        <f>Pracownicy!C152</f>
        <v>0</v>
      </c>
      <c r="D152" s="4">
        <f>Pracownicy!D152</f>
        <v>0</v>
      </c>
      <c r="E152" s="4">
        <f>IF(A152="","",SUMIF(Wyniki!$A$2:$A$501,A152,Wyniki!$O$2:$O$501))</f>
        <v>0</v>
      </c>
      <c r="F152" s="4">
        <f>IF(A152="","",COUNTIF(Wyniki!$A$2:$A$501,A152))</f>
        <v>0</v>
      </c>
    </row>
    <row r="153" spans="1:6" x14ac:dyDescent="0.25">
      <c r="A153" s="4">
        <f>Pracownicy!A153</f>
        <v>0</v>
      </c>
      <c r="B153" s="4">
        <f>Pracownicy!B153</f>
        <v>0</v>
      </c>
      <c r="C153" s="4">
        <f>Pracownicy!C153</f>
        <v>0</v>
      </c>
      <c r="D153" s="4">
        <f>Pracownicy!D153</f>
        <v>0</v>
      </c>
      <c r="E153" s="4">
        <f>IF(A153="","",SUMIF(Wyniki!$A$2:$A$501,A153,Wyniki!$O$2:$O$501))</f>
        <v>0</v>
      </c>
      <c r="F153" s="4">
        <f>IF(A153="","",COUNTIF(Wyniki!$A$2:$A$501,A153))</f>
        <v>0</v>
      </c>
    </row>
    <row r="154" spans="1:6" x14ac:dyDescent="0.25">
      <c r="A154" s="4">
        <f>Pracownicy!A154</f>
        <v>0</v>
      </c>
      <c r="B154" s="4">
        <f>Pracownicy!B154</f>
        <v>0</v>
      </c>
      <c r="C154" s="4">
        <f>Pracownicy!C154</f>
        <v>0</v>
      </c>
      <c r="D154" s="4">
        <f>Pracownicy!D154</f>
        <v>0</v>
      </c>
      <c r="E154" s="4">
        <f>IF(A154="","",SUMIF(Wyniki!$A$2:$A$501,A154,Wyniki!$O$2:$O$501))</f>
        <v>0</v>
      </c>
      <c r="F154" s="4">
        <f>IF(A154="","",COUNTIF(Wyniki!$A$2:$A$501,A154))</f>
        <v>0</v>
      </c>
    </row>
    <row r="155" spans="1:6" x14ac:dyDescent="0.25">
      <c r="A155" s="4">
        <f>Pracownicy!A155</f>
        <v>0</v>
      </c>
      <c r="B155" s="4">
        <f>Pracownicy!B155</f>
        <v>0</v>
      </c>
      <c r="C155" s="4">
        <f>Pracownicy!C155</f>
        <v>0</v>
      </c>
      <c r="D155" s="4">
        <f>Pracownicy!D155</f>
        <v>0</v>
      </c>
      <c r="E155" s="4">
        <f>IF(A155="","",SUMIF(Wyniki!$A$2:$A$501,A155,Wyniki!$O$2:$O$501))</f>
        <v>0</v>
      </c>
      <c r="F155" s="4">
        <f>IF(A155="","",COUNTIF(Wyniki!$A$2:$A$501,A155))</f>
        <v>0</v>
      </c>
    </row>
    <row r="156" spans="1:6" x14ac:dyDescent="0.25">
      <c r="A156" s="4">
        <f>Pracownicy!A156</f>
        <v>0</v>
      </c>
      <c r="B156" s="4">
        <f>Pracownicy!B156</f>
        <v>0</v>
      </c>
      <c r="C156" s="4">
        <f>Pracownicy!C156</f>
        <v>0</v>
      </c>
      <c r="D156" s="4">
        <f>Pracownicy!D156</f>
        <v>0</v>
      </c>
      <c r="E156" s="4">
        <f>IF(A156="","",SUMIF(Wyniki!$A$2:$A$501,A156,Wyniki!$O$2:$O$501))</f>
        <v>0</v>
      </c>
      <c r="F156" s="4">
        <f>IF(A156="","",COUNTIF(Wyniki!$A$2:$A$501,A156))</f>
        <v>0</v>
      </c>
    </row>
    <row r="157" spans="1:6" x14ac:dyDescent="0.25">
      <c r="A157" s="4">
        <f>Pracownicy!A157</f>
        <v>0</v>
      </c>
      <c r="B157" s="4">
        <f>Pracownicy!B157</f>
        <v>0</v>
      </c>
      <c r="C157" s="4">
        <f>Pracownicy!C157</f>
        <v>0</v>
      </c>
      <c r="D157" s="4">
        <f>Pracownicy!D157</f>
        <v>0</v>
      </c>
      <c r="E157" s="4">
        <f>IF(A157="","",SUMIF(Wyniki!$A$2:$A$501,A157,Wyniki!$O$2:$O$501))</f>
        <v>0</v>
      </c>
      <c r="F157" s="4">
        <f>IF(A157="","",COUNTIF(Wyniki!$A$2:$A$501,A157))</f>
        <v>0</v>
      </c>
    </row>
    <row r="158" spans="1:6" x14ac:dyDescent="0.25">
      <c r="A158" s="4">
        <f>Pracownicy!A158</f>
        <v>0</v>
      </c>
      <c r="B158" s="4">
        <f>Pracownicy!B158</f>
        <v>0</v>
      </c>
      <c r="C158" s="4">
        <f>Pracownicy!C158</f>
        <v>0</v>
      </c>
      <c r="D158" s="4">
        <f>Pracownicy!D158</f>
        <v>0</v>
      </c>
      <c r="E158" s="4">
        <f>IF(A158="","",SUMIF(Wyniki!$A$2:$A$501,A158,Wyniki!$O$2:$O$501))</f>
        <v>0</v>
      </c>
      <c r="F158" s="4">
        <f>IF(A158="","",COUNTIF(Wyniki!$A$2:$A$501,A158))</f>
        <v>0</v>
      </c>
    </row>
    <row r="159" spans="1:6" x14ac:dyDescent="0.25">
      <c r="A159" s="4">
        <f>Pracownicy!A159</f>
        <v>0</v>
      </c>
      <c r="B159" s="4">
        <f>Pracownicy!B159</f>
        <v>0</v>
      </c>
      <c r="C159" s="4">
        <f>Pracownicy!C159</f>
        <v>0</v>
      </c>
      <c r="D159" s="4">
        <f>Pracownicy!D159</f>
        <v>0</v>
      </c>
      <c r="E159" s="4">
        <f>IF(A159="","",SUMIF(Wyniki!$A$2:$A$501,A159,Wyniki!$O$2:$O$501))</f>
        <v>0</v>
      </c>
      <c r="F159" s="4">
        <f>IF(A159="","",COUNTIF(Wyniki!$A$2:$A$501,A159))</f>
        <v>0</v>
      </c>
    </row>
    <row r="160" spans="1:6" x14ac:dyDescent="0.25">
      <c r="A160" s="4">
        <f>Pracownicy!A160</f>
        <v>0</v>
      </c>
      <c r="B160" s="4">
        <f>Pracownicy!B160</f>
        <v>0</v>
      </c>
      <c r="C160" s="4">
        <f>Pracownicy!C160</f>
        <v>0</v>
      </c>
      <c r="D160" s="4">
        <f>Pracownicy!D160</f>
        <v>0</v>
      </c>
      <c r="E160" s="4">
        <f>IF(A160="","",SUMIF(Wyniki!$A$2:$A$501,A160,Wyniki!$O$2:$O$501))</f>
        <v>0</v>
      </c>
      <c r="F160" s="4">
        <f>IF(A160="","",COUNTIF(Wyniki!$A$2:$A$501,A160))</f>
        <v>0</v>
      </c>
    </row>
    <row r="161" spans="1:6" x14ac:dyDescent="0.25">
      <c r="A161" s="4">
        <f>Pracownicy!A161</f>
        <v>0</v>
      </c>
      <c r="B161" s="4">
        <f>Pracownicy!B161</f>
        <v>0</v>
      </c>
      <c r="C161" s="4">
        <f>Pracownicy!C161</f>
        <v>0</v>
      </c>
      <c r="D161" s="4">
        <f>Pracownicy!D161</f>
        <v>0</v>
      </c>
      <c r="E161" s="4">
        <f>IF(A161="","",SUMIF(Wyniki!$A$2:$A$501,A161,Wyniki!$O$2:$O$501))</f>
        <v>0</v>
      </c>
      <c r="F161" s="4">
        <f>IF(A161="","",COUNTIF(Wyniki!$A$2:$A$501,A161))</f>
        <v>0</v>
      </c>
    </row>
    <row r="162" spans="1:6" x14ac:dyDescent="0.25">
      <c r="A162" s="4">
        <f>Pracownicy!A162</f>
        <v>0</v>
      </c>
      <c r="B162" s="4">
        <f>Pracownicy!B162</f>
        <v>0</v>
      </c>
      <c r="C162" s="4">
        <f>Pracownicy!C162</f>
        <v>0</v>
      </c>
      <c r="D162" s="4">
        <f>Pracownicy!D162</f>
        <v>0</v>
      </c>
      <c r="E162" s="4">
        <f>IF(A162="","",SUMIF(Wyniki!$A$2:$A$501,A162,Wyniki!$O$2:$O$501))</f>
        <v>0</v>
      </c>
      <c r="F162" s="4">
        <f>IF(A162="","",COUNTIF(Wyniki!$A$2:$A$501,A162))</f>
        <v>0</v>
      </c>
    </row>
    <row r="163" spans="1:6" x14ac:dyDescent="0.25">
      <c r="A163" s="4">
        <f>Pracownicy!A163</f>
        <v>0</v>
      </c>
      <c r="B163" s="4">
        <f>Pracownicy!B163</f>
        <v>0</v>
      </c>
      <c r="C163" s="4">
        <f>Pracownicy!C163</f>
        <v>0</v>
      </c>
      <c r="D163" s="4">
        <f>Pracownicy!D163</f>
        <v>0</v>
      </c>
      <c r="E163" s="4">
        <f>IF(A163="","",SUMIF(Wyniki!$A$2:$A$501,A163,Wyniki!$O$2:$O$501))</f>
        <v>0</v>
      </c>
      <c r="F163" s="4">
        <f>IF(A163="","",COUNTIF(Wyniki!$A$2:$A$501,A163))</f>
        <v>0</v>
      </c>
    </row>
    <row r="164" spans="1:6" x14ac:dyDescent="0.25">
      <c r="A164" s="4">
        <f>Pracownicy!A164</f>
        <v>0</v>
      </c>
      <c r="B164" s="4">
        <f>Pracownicy!B164</f>
        <v>0</v>
      </c>
      <c r="C164" s="4">
        <f>Pracownicy!C164</f>
        <v>0</v>
      </c>
      <c r="D164" s="4">
        <f>Pracownicy!D164</f>
        <v>0</v>
      </c>
      <c r="E164" s="4">
        <f>IF(A164="","",SUMIF(Wyniki!$A$2:$A$501,A164,Wyniki!$O$2:$O$501))</f>
        <v>0</v>
      </c>
      <c r="F164" s="4">
        <f>IF(A164="","",COUNTIF(Wyniki!$A$2:$A$501,A164))</f>
        <v>0</v>
      </c>
    </row>
    <row r="165" spans="1:6" x14ac:dyDescent="0.25">
      <c r="A165" s="4">
        <f>Pracownicy!A165</f>
        <v>0</v>
      </c>
      <c r="B165" s="4">
        <f>Pracownicy!B165</f>
        <v>0</v>
      </c>
      <c r="C165" s="4">
        <f>Pracownicy!C165</f>
        <v>0</v>
      </c>
      <c r="D165" s="4">
        <f>Pracownicy!D165</f>
        <v>0</v>
      </c>
      <c r="E165" s="4">
        <f>IF(A165="","",SUMIF(Wyniki!$A$2:$A$501,A165,Wyniki!$O$2:$O$501))</f>
        <v>0</v>
      </c>
      <c r="F165" s="4">
        <f>IF(A165="","",COUNTIF(Wyniki!$A$2:$A$501,A165))</f>
        <v>0</v>
      </c>
    </row>
    <row r="166" spans="1:6" x14ac:dyDescent="0.25">
      <c r="A166" s="4">
        <f>Pracownicy!A166</f>
        <v>0</v>
      </c>
      <c r="B166" s="4">
        <f>Pracownicy!B166</f>
        <v>0</v>
      </c>
      <c r="C166" s="4">
        <f>Pracownicy!C166</f>
        <v>0</v>
      </c>
      <c r="D166" s="4">
        <f>Pracownicy!D166</f>
        <v>0</v>
      </c>
      <c r="E166" s="4">
        <f>IF(A166="","",SUMIF(Wyniki!$A$2:$A$501,A166,Wyniki!$O$2:$O$501))</f>
        <v>0</v>
      </c>
      <c r="F166" s="4">
        <f>IF(A166="","",COUNTIF(Wyniki!$A$2:$A$501,A166))</f>
        <v>0</v>
      </c>
    </row>
    <row r="167" spans="1:6" x14ac:dyDescent="0.25">
      <c r="A167" s="4">
        <f>Pracownicy!A167</f>
        <v>0</v>
      </c>
      <c r="B167" s="4">
        <f>Pracownicy!B167</f>
        <v>0</v>
      </c>
      <c r="C167" s="4">
        <f>Pracownicy!C167</f>
        <v>0</v>
      </c>
      <c r="D167" s="4">
        <f>Pracownicy!D167</f>
        <v>0</v>
      </c>
      <c r="E167" s="4">
        <f>IF(A167="","",SUMIF(Wyniki!$A$2:$A$501,A167,Wyniki!$O$2:$O$501))</f>
        <v>0</v>
      </c>
      <c r="F167" s="4">
        <f>IF(A167="","",COUNTIF(Wyniki!$A$2:$A$501,A167))</f>
        <v>0</v>
      </c>
    </row>
    <row r="168" spans="1:6" x14ac:dyDescent="0.25">
      <c r="A168" s="4">
        <f>Pracownicy!A168</f>
        <v>0</v>
      </c>
      <c r="B168" s="4">
        <f>Pracownicy!B168</f>
        <v>0</v>
      </c>
      <c r="C168" s="4">
        <f>Pracownicy!C168</f>
        <v>0</v>
      </c>
      <c r="D168" s="4">
        <f>Pracownicy!D168</f>
        <v>0</v>
      </c>
      <c r="E168" s="4">
        <f>IF(A168="","",SUMIF(Wyniki!$A$2:$A$501,A168,Wyniki!$O$2:$O$501))</f>
        <v>0</v>
      </c>
      <c r="F168" s="4">
        <f>IF(A168="","",COUNTIF(Wyniki!$A$2:$A$501,A168))</f>
        <v>0</v>
      </c>
    </row>
    <row r="169" spans="1:6" x14ac:dyDescent="0.25">
      <c r="A169" s="4">
        <f>Pracownicy!A169</f>
        <v>0</v>
      </c>
      <c r="B169" s="4">
        <f>Pracownicy!B169</f>
        <v>0</v>
      </c>
      <c r="C169" s="4">
        <f>Pracownicy!C169</f>
        <v>0</v>
      </c>
      <c r="D169" s="4">
        <f>Pracownicy!D169</f>
        <v>0</v>
      </c>
      <c r="E169" s="4">
        <f>IF(A169="","",SUMIF(Wyniki!$A$2:$A$501,A169,Wyniki!$O$2:$O$501))</f>
        <v>0</v>
      </c>
      <c r="F169" s="4">
        <f>IF(A169="","",COUNTIF(Wyniki!$A$2:$A$501,A169))</f>
        <v>0</v>
      </c>
    </row>
    <row r="170" spans="1:6" x14ac:dyDescent="0.25">
      <c r="A170" s="4">
        <f>Pracownicy!A170</f>
        <v>0</v>
      </c>
      <c r="B170" s="4">
        <f>Pracownicy!B170</f>
        <v>0</v>
      </c>
      <c r="C170" s="4">
        <f>Pracownicy!C170</f>
        <v>0</v>
      </c>
      <c r="D170" s="4">
        <f>Pracownicy!D170</f>
        <v>0</v>
      </c>
      <c r="E170" s="4">
        <f>IF(A170="","",SUMIF(Wyniki!$A$2:$A$501,A170,Wyniki!$O$2:$O$501))</f>
        <v>0</v>
      </c>
      <c r="F170" s="4">
        <f>IF(A170="","",COUNTIF(Wyniki!$A$2:$A$501,A170))</f>
        <v>0</v>
      </c>
    </row>
    <row r="171" spans="1:6" x14ac:dyDescent="0.25">
      <c r="A171" s="4">
        <f>Pracownicy!A171</f>
        <v>0</v>
      </c>
      <c r="B171" s="4">
        <f>Pracownicy!B171</f>
        <v>0</v>
      </c>
      <c r="C171" s="4">
        <f>Pracownicy!C171</f>
        <v>0</v>
      </c>
      <c r="D171" s="4">
        <f>Pracownicy!D171</f>
        <v>0</v>
      </c>
      <c r="E171" s="4">
        <f>IF(A171="","",SUMIF(Wyniki!$A$2:$A$501,A171,Wyniki!$O$2:$O$501))</f>
        <v>0</v>
      </c>
      <c r="F171" s="4">
        <f>IF(A171="","",COUNTIF(Wyniki!$A$2:$A$501,A171))</f>
        <v>0</v>
      </c>
    </row>
    <row r="172" spans="1:6" x14ac:dyDescent="0.25">
      <c r="A172" s="4">
        <f>Pracownicy!A172</f>
        <v>0</v>
      </c>
      <c r="B172" s="4">
        <f>Pracownicy!B172</f>
        <v>0</v>
      </c>
      <c r="C172" s="4">
        <f>Pracownicy!C172</f>
        <v>0</v>
      </c>
      <c r="D172" s="4">
        <f>Pracownicy!D172</f>
        <v>0</v>
      </c>
      <c r="E172" s="4">
        <f>IF(A172="","",SUMIF(Wyniki!$A$2:$A$501,A172,Wyniki!$O$2:$O$501))</f>
        <v>0</v>
      </c>
      <c r="F172" s="4">
        <f>IF(A172="","",COUNTIF(Wyniki!$A$2:$A$501,A172))</f>
        <v>0</v>
      </c>
    </row>
    <row r="173" spans="1:6" x14ac:dyDescent="0.25">
      <c r="A173" s="4">
        <f>Pracownicy!A173</f>
        <v>0</v>
      </c>
      <c r="B173" s="4">
        <f>Pracownicy!B173</f>
        <v>0</v>
      </c>
      <c r="C173" s="4">
        <f>Pracownicy!C173</f>
        <v>0</v>
      </c>
      <c r="D173" s="4">
        <f>Pracownicy!D173</f>
        <v>0</v>
      </c>
      <c r="E173" s="4">
        <f>IF(A173="","",SUMIF(Wyniki!$A$2:$A$501,A173,Wyniki!$O$2:$O$501))</f>
        <v>0</v>
      </c>
      <c r="F173" s="4">
        <f>IF(A173="","",COUNTIF(Wyniki!$A$2:$A$501,A173))</f>
        <v>0</v>
      </c>
    </row>
    <row r="174" spans="1:6" x14ac:dyDescent="0.25">
      <c r="A174" s="4">
        <f>Pracownicy!A174</f>
        <v>0</v>
      </c>
      <c r="B174" s="4">
        <f>Pracownicy!B174</f>
        <v>0</v>
      </c>
      <c r="C174" s="4">
        <f>Pracownicy!C174</f>
        <v>0</v>
      </c>
      <c r="D174" s="4">
        <f>Pracownicy!D174</f>
        <v>0</v>
      </c>
      <c r="E174" s="4">
        <f>IF(A174="","",SUMIF(Wyniki!$A$2:$A$501,A174,Wyniki!$O$2:$O$501))</f>
        <v>0</v>
      </c>
      <c r="F174" s="4">
        <f>IF(A174="","",COUNTIF(Wyniki!$A$2:$A$501,A174))</f>
        <v>0</v>
      </c>
    </row>
    <row r="175" spans="1:6" x14ac:dyDescent="0.25">
      <c r="A175" s="4">
        <f>Pracownicy!A175</f>
        <v>0</v>
      </c>
      <c r="B175" s="4">
        <f>Pracownicy!B175</f>
        <v>0</v>
      </c>
      <c r="C175" s="4">
        <f>Pracownicy!C175</f>
        <v>0</v>
      </c>
      <c r="D175" s="4">
        <f>Pracownicy!D175</f>
        <v>0</v>
      </c>
      <c r="E175" s="4">
        <f>IF(A175="","",SUMIF(Wyniki!$A$2:$A$501,A175,Wyniki!$O$2:$O$501))</f>
        <v>0</v>
      </c>
      <c r="F175" s="4">
        <f>IF(A175="","",COUNTIF(Wyniki!$A$2:$A$501,A175))</f>
        <v>0</v>
      </c>
    </row>
    <row r="176" spans="1:6" x14ac:dyDescent="0.25">
      <c r="A176" s="4">
        <f>Pracownicy!A176</f>
        <v>0</v>
      </c>
      <c r="B176" s="4">
        <f>Pracownicy!B176</f>
        <v>0</v>
      </c>
      <c r="C176" s="4">
        <f>Pracownicy!C176</f>
        <v>0</v>
      </c>
      <c r="D176" s="4">
        <f>Pracownicy!D176</f>
        <v>0</v>
      </c>
      <c r="E176" s="4">
        <f>IF(A176="","",SUMIF(Wyniki!$A$2:$A$501,A176,Wyniki!$O$2:$O$501))</f>
        <v>0</v>
      </c>
      <c r="F176" s="4">
        <f>IF(A176="","",COUNTIF(Wyniki!$A$2:$A$501,A176))</f>
        <v>0</v>
      </c>
    </row>
    <row r="177" spans="1:6" x14ac:dyDescent="0.25">
      <c r="A177" s="4">
        <f>Pracownicy!A177</f>
        <v>0</v>
      </c>
      <c r="B177" s="4">
        <f>Pracownicy!B177</f>
        <v>0</v>
      </c>
      <c r="C177" s="4">
        <f>Pracownicy!C177</f>
        <v>0</v>
      </c>
      <c r="D177" s="4">
        <f>Pracownicy!D177</f>
        <v>0</v>
      </c>
      <c r="E177" s="4">
        <f>IF(A177="","",SUMIF(Wyniki!$A$2:$A$501,A177,Wyniki!$O$2:$O$501))</f>
        <v>0</v>
      </c>
      <c r="F177" s="4">
        <f>IF(A177="","",COUNTIF(Wyniki!$A$2:$A$501,A177))</f>
        <v>0</v>
      </c>
    </row>
    <row r="178" spans="1:6" x14ac:dyDescent="0.25">
      <c r="A178" s="4">
        <f>Pracownicy!A178</f>
        <v>0</v>
      </c>
      <c r="B178" s="4">
        <f>Pracownicy!B178</f>
        <v>0</v>
      </c>
      <c r="C178" s="4">
        <f>Pracownicy!C178</f>
        <v>0</v>
      </c>
      <c r="D178" s="4">
        <f>Pracownicy!D178</f>
        <v>0</v>
      </c>
      <c r="E178" s="4">
        <f>IF(A178="","",SUMIF(Wyniki!$A$2:$A$501,A178,Wyniki!$O$2:$O$501))</f>
        <v>0</v>
      </c>
      <c r="F178" s="4">
        <f>IF(A178="","",COUNTIF(Wyniki!$A$2:$A$501,A178))</f>
        <v>0</v>
      </c>
    </row>
    <row r="179" spans="1:6" x14ac:dyDescent="0.25">
      <c r="A179" s="4">
        <f>Pracownicy!A179</f>
        <v>0</v>
      </c>
      <c r="B179" s="4">
        <f>Pracownicy!B179</f>
        <v>0</v>
      </c>
      <c r="C179" s="4">
        <f>Pracownicy!C179</f>
        <v>0</v>
      </c>
      <c r="D179" s="4">
        <f>Pracownicy!D179</f>
        <v>0</v>
      </c>
      <c r="E179" s="4">
        <f>IF(A179="","",SUMIF(Wyniki!$A$2:$A$501,A179,Wyniki!$O$2:$O$501))</f>
        <v>0</v>
      </c>
      <c r="F179" s="4">
        <f>IF(A179="","",COUNTIF(Wyniki!$A$2:$A$501,A179))</f>
        <v>0</v>
      </c>
    </row>
    <row r="180" spans="1:6" x14ac:dyDescent="0.25">
      <c r="A180" s="4">
        <f>Pracownicy!A180</f>
        <v>0</v>
      </c>
      <c r="B180" s="4">
        <f>Pracownicy!B180</f>
        <v>0</v>
      </c>
      <c r="C180" s="4">
        <f>Pracownicy!C180</f>
        <v>0</v>
      </c>
      <c r="D180" s="4">
        <f>Pracownicy!D180</f>
        <v>0</v>
      </c>
      <c r="E180" s="4">
        <f>IF(A180="","",SUMIF(Wyniki!$A$2:$A$501,A180,Wyniki!$O$2:$O$501))</f>
        <v>0</v>
      </c>
      <c r="F180" s="4">
        <f>IF(A180="","",COUNTIF(Wyniki!$A$2:$A$501,A180))</f>
        <v>0</v>
      </c>
    </row>
    <row r="181" spans="1:6" x14ac:dyDescent="0.25">
      <c r="A181" s="4">
        <f>Pracownicy!A181</f>
        <v>0</v>
      </c>
      <c r="B181" s="4">
        <f>Pracownicy!B181</f>
        <v>0</v>
      </c>
      <c r="C181" s="4">
        <f>Pracownicy!C181</f>
        <v>0</v>
      </c>
      <c r="D181" s="4">
        <f>Pracownicy!D181</f>
        <v>0</v>
      </c>
      <c r="E181" s="4">
        <f>IF(A181="","",SUMIF(Wyniki!$A$2:$A$501,A181,Wyniki!$O$2:$O$501))</f>
        <v>0</v>
      </c>
      <c r="F181" s="4">
        <f>IF(A181="","",COUNTIF(Wyniki!$A$2:$A$501,A181))</f>
        <v>0</v>
      </c>
    </row>
    <row r="182" spans="1:6" x14ac:dyDescent="0.25">
      <c r="A182" s="4">
        <f>Pracownicy!A182</f>
        <v>0</v>
      </c>
      <c r="B182" s="4">
        <f>Pracownicy!B182</f>
        <v>0</v>
      </c>
      <c r="C182" s="4">
        <f>Pracownicy!C182</f>
        <v>0</v>
      </c>
      <c r="D182" s="4">
        <f>Pracownicy!D182</f>
        <v>0</v>
      </c>
      <c r="E182" s="4">
        <f>IF(A182="","",SUMIF(Wyniki!$A$2:$A$501,A182,Wyniki!$O$2:$O$501))</f>
        <v>0</v>
      </c>
      <c r="F182" s="4">
        <f>IF(A182="","",COUNTIF(Wyniki!$A$2:$A$501,A182))</f>
        <v>0</v>
      </c>
    </row>
    <row r="183" spans="1:6" x14ac:dyDescent="0.25">
      <c r="A183" s="4">
        <f>Pracownicy!A183</f>
        <v>0</v>
      </c>
      <c r="B183" s="4">
        <f>Pracownicy!B183</f>
        <v>0</v>
      </c>
      <c r="C183" s="4">
        <f>Pracownicy!C183</f>
        <v>0</v>
      </c>
      <c r="D183" s="4">
        <f>Pracownicy!D183</f>
        <v>0</v>
      </c>
      <c r="E183" s="4">
        <f>IF(A183="","",SUMIF(Wyniki!$A$2:$A$501,A183,Wyniki!$O$2:$O$501))</f>
        <v>0</v>
      </c>
      <c r="F183" s="4">
        <f>IF(A183="","",COUNTIF(Wyniki!$A$2:$A$501,A183))</f>
        <v>0</v>
      </c>
    </row>
    <row r="184" spans="1:6" x14ac:dyDescent="0.25">
      <c r="A184" s="4">
        <f>Pracownicy!A184</f>
        <v>0</v>
      </c>
      <c r="B184" s="4">
        <f>Pracownicy!B184</f>
        <v>0</v>
      </c>
      <c r="C184" s="4">
        <f>Pracownicy!C184</f>
        <v>0</v>
      </c>
      <c r="D184" s="4">
        <f>Pracownicy!D184</f>
        <v>0</v>
      </c>
      <c r="E184" s="4">
        <f>IF(A184="","",SUMIF(Wyniki!$A$2:$A$501,A184,Wyniki!$O$2:$O$501))</f>
        <v>0</v>
      </c>
      <c r="F184" s="4">
        <f>IF(A184="","",COUNTIF(Wyniki!$A$2:$A$501,A184))</f>
        <v>0</v>
      </c>
    </row>
    <row r="185" spans="1:6" x14ac:dyDescent="0.25">
      <c r="A185" s="4">
        <f>Pracownicy!A185</f>
        <v>0</v>
      </c>
      <c r="B185" s="4">
        <f>Pracownicy!B185</f>
        <v>0</v>
      </c>
      <c r="C185" s="4">
        <f>Pracownicy!C185</f>
        <v>0</v>
      </c>
      <c r="D185" s="4">
        <f>Pracownicy!D185</f>
        <v>0</v>
      </c>
      <c r="E185" s="4">
        <f>IF(A185="","",SUMIF(Wyniki!$A$2:$A$501,A185,Wyniki!$O$2:$O$501))</f>
        <v>0</v>
      </c>
      <c r="F185" s="4">
        <f>IF(A185="","",COUNTIF(Wyniki!$A$2:$A$501,A185))</f>
        <v>0</v>
      </c>
    </row>
    <row r="186" spans="1:6" x14ac:dyDescent="0.25">
      <c r="A186" s="4">
        <f>Pracownicy!A186</f>
        <v>0</v>
      </c>
      <c r="B186" s="4">
        <f>Pracownicy!B186</f>
        <v>0</v>
      </c>
      <c r="C186" s="4">
        <f>Pracownicy!C186</f>
        <v>0</v>
      </c>
      <c r="D186" s="4">
        <f>Pracownicy!D186</f>
        <v>0</v>
      </c>
      <c r="E186" s="4">
        <f>IF(A186="","",SUMIF(Wyniki!$A$2:$A$501,A186,Wyniki!$O$2:$O$501))</f>
        <v>0</v>
      </c>
      <c r="F186" s="4">
        <f>IF(A186="","",COUNTIF(Wyniki!$A$2:$A$501,A186))</f>
        <v>0</v>
      </c>
    </row>
    <row r="187" spans="1:6" x14ac:dyDescent="0.25">
      <c r="A187" s="4">
        <f>Pracownicy!A187</f>
        <v>0</v>
      </c>
      <c r="B187" s="4">
        <f>Pracownicy!B187</f>
        <v>0</v>
      </c>
      <c r="C187" s="4">
        <f>Pracownicy!C187</f>
        <v>0</v>
      </c>
      <c r="D187" s="4">
        <f>Pracownicy!D187</f>
        <v>0</v>
      </c>
      <c r="E187" s="4">
        <f>IF(A187="","",SUMIF(Wyniki!$A$2:$A$501,A187,Wyniki!$O$2:$O$501))</f>
        <v>0</v>
      </c>
      <c r="F187" s="4">
        <f>IF(A187="","",COUNTIF(Wyniki!$A$2:$A$501,A187))</f>
        <v>0</v>
      </c>
    </row>
    <row r="188" spans="1:6" x14ac:dyDescent="0.25">
      <c r="A188" s="4">
        <f>Pracownicy!A188</f>
        <v>0</v>
      </c>
      <c r="B188" s="4">
        <f>Pracownicy!B188</f>
        <v>0</v>
      </c>
      <c r="C188" s="4">
        <f>Pracownicy!C188</f>
        <v>0</v>
      </c>
      <c r="D188" s="4">
        <f>Pracownicy!D188</f>
        <v>0</v>
      </c>
      <c r="E188" s="4">
        <f>IF(A188="","",SUMIF(Wyniki!$A$2:$A$501,A188,Wyniki!$O$2:$O$501))</f>
        <v>0</v>
      </c>
      <c r="F188" s="4">
        <f>IF(A188="","",COUNTIF(Wyniki!$A$2:$A$501,A188))</f>
        <v>0</v>
      </c>
    </row>
    <row r="189" spans="1:6" x14ac:dyDescent="0.25">
      <c r="A189" s="4">
        <f>Pracownicy!A189</f>
        <v>0</v>
      </c>
      <c r="B189" s="4">
        <f>Pracownicy!B189</f>
        <v>0</v>
      </c>
      <c r="C189" s="4">
        <f>Pracownicy!C189</f>
        <v>0</v>
      </c>
      <c r="D189" s="4">
        <f>Pracownicy!D189</f>
        <v>0</v>
      </c>
      <c r="E189" s="4">
        <f>IF(A189="","",SUMIF(Wyniki!$A$2:$A$501,A189,Wyniki!$O$2:$O$501))</f>
        <v>0</v>
      </c>
      <c r="F189" s="4">
        <f>IF(A189="","",COUNTIF(Wyniki!$A$2:$A$501,A189))</f>
        <v>0</v>
      </c>
    </row>
    <row r="190" spans="1:6" x14ac:dyDescent="0.25">
      <c r="A190" s="4">
        <f>Pracownicy!A190</f>
        <v>0</v>
      </c>
      <c r="B190" s="4">
        <f>Pracownicy!B190</f>
        <v>0</v>
      </c>
      <c r="C190" s="4">
        <f>Pracownicy!C190</f>
        <v>0</v>
      </c>
      <c r="D190" s="4">
        <f>Pracownicy!D190</f>
        <v>0</v>
      </c>
      <c r="E190" s="4">
        <f>IF(A190="","",SUMIF(Wyniki!$A$2:$A$501,A190,Wyniki!$O$2:$O$501))</f>
        <v>0</v>
      </c>
      <c r="F190" s="4">
        <f>IF(A190="","",COUNTIF(Wyniki!$A$2:$A$501,A190))</f>
        <v>0</v>
      </c>
    </row>
    <row r="191" spans="1:6" x14ac:dyDescent="0.25">
      <c r="A191" s="4">
        <f>Pracownicy!A191</f>
        <v>0</v>
      </c>
      <c r="B191" s="4">
        <f>Pracownicy!B191</f>
        <v>0</v>
      </c>
      <c r="C191" s="4">
        <f>Pracownicy!C191</f>
        <v>0</v>
      </c>
      <c r="D191" s="4">
        <f>Pracownicy!D191</f>
        <v>0</v>
      </c>
      <c r="E191" s="4">
        <f>IF(A191="","",SUMIF(Wyniki!$A$2:$A$501,A191,Wyniki!$O$2:$O$501))</f>
        <v>0</v>
      </c>
      <c r="F191" s="4">
        <f>IF(A191="","",COUNTIF(Wyniki!$A$2:$A$501,A191))</f>
        <v>0</v>
      </c>
    </row>
    <row r="192" spans="1:6" x14ac:dyDescent="0.25">
      <c r="A192" s="4">
        <f>Pracownicy!A192</f>
        <v>0</v>
      </c>
      <c r="B192" s="4">
        <f>Pracownicy!B192</f>
        <v>0</v>
      </c>
      <c r="C192" s="4">
        <f>Pracownicy!C192</f>
        <v>0</v>
      </c>
      <c r="D192" s="4">
        <f>Pracownicy!D192</f>
        <v>0</v>
      </c>
      <c r="E192" s="4">
        <f>IF(A192="","",SUMIF(Wyniki!$A$2:$A$501,A192,Wyniki!$O$2:$O$501))</f>
        <v>0</v>
      </c>
      <c r="F192" s="4">
        <f>IF(A192="","",COUNTIF(Wyniki!$A$2:$A$501,A192))</f>
        <v>0</v>
      </c>
    </row>
    <row r="193" spans="1:6" x14ac:dyDescent="0.25">
      <c r="A193" s="4">
        <f>Pracownicy!A193</f>
        <v>0</v>
      </c>
      <c r="B193" s="4">
        <f>Pracownicy!B193</f>
        <v>0</v>
      </c>
      <c r="C193" s="4">
        <f>Pracownicy!C193</f>
        <v>0</v>
      </c>
      <c r="D193" s="4">
        <f>Pracownicy!D193</f>
        <v>0</v>
      </c>
      <c r="E193" s="4">
        <f>IF(A193="","",SUMIF(Wyniki!$A$2:$A$501,A193,Wyniki!$O$2:$O$501))</f>
        <v>0</v>
      </c>
      <c r="F193" s="4">
        <f>IF(A193="","",COUNTIF(Wyniki!$A$2:$A$501,A193))</f>
        <v>0</v>
      </c>
    </row>
    <row r="194" spans="1:6" x14ac:dyDescent="0.25">
      <c r="A194" s="4">
        <f>Pracownicy!A194</f>
        <v>0</v>
      </c>
      <c r="B194" s="4">
        <f>Pracownicy!B194</f>
        <v>0</v>
      </c>
      <c r="C194" s="4">
        <f>Pracownicy!C194</f>
        <v>0</v>
      </c>
      <c r="D194" s="4">
        <f>Pracownicy!D194</f>
        <v>0</v>
      </c>
      <c r="E194" s="4">
        <f>IF(A194="","",SUMIF(Wyniki!$A$2:$A$501,A194,Wyniki!$O$2:$O$501))</f>
        <v>0</v>
      </c>
      <c r="F194" s="4">
        <f>IF(A194="","",COUNTIF(Wyniki!$A$2:$A$501,A194))</f>
        <v>0</v>
      </c>
    </row>
    <row r="195" spans="1:6" x14ac:dyDescent="0.25">
      <c r="A195" s="4">
        <f>Pracownicy!A195</f>
        <v>0</v>
      </c>
      <c r="B195" s="4">
        <f>Pracownicy!B195</f>
        <v>0</v>
      </c>
      <c r="C195" s="4">
        <f>Pracownicy!C195</f>
        <v>0</v>
      </c>
      <c r="D195" s="4">
        <f>Pracownicy!D195</f>
        <v>0</v>
      </c>
      <c r="E195" s="4">
        <f>IF(A195="","",SUMIF(Wyniki!$A$2:$A$501,A195,Wyniki!$O$2:$O$501))</f>
        <v>0</v>
      </c>
      <c r="F195" s="4">
        <f>IF(A195="","",COUNTIF(Wyniki!$A$2:$A$501,A195))</f>
        <v>0</v>
      </c>
    </row>
    <row r="196" spans="1:6" x14ac:dyDescent="0.25">
      <c r="A196" s="4">
        <f>Pracownicy!A196</f>
        <v>0</v>
      </c>
      <c r="B196" s="4">
        <f>Pracownicy!B196</f>
        <v>0</v>
      </c>
      <c r="C196" s="4">
        <f>Pracownicy!C196</f>
        <v>0</v>
      </c>
      <c r="D196" s="4">
        <f>Pracownicy!D196</f>
        <v>0</v>
      </c>
      <c r="E196" s="4">
        <f>IF(A196="","",SUMIF(Wyniki!$A$2:$A$501,A196,Wyniki!$O$2:$O$501))</f>
        <v>0</v>
      </c>
      <c r="F196" s="4">
        <f>IF(A196="","",COUNTIF(Wyniki!$A$2:$A$501,A196))</f>
        <v>0</v>
      </c>
    </row>
    <row r="197" spans="1:6" x14ac:dyDescent="0.25">
      <c r="A197" s="4">
        <f>Pracownicy!A197</f>
        <v>0</v>
      </c>
      <c r="B197" s="4">
        <f>Pracownicy!B197</f>
        <v>0</v>
      </c>
      <c r="C197" s="4">
        <f>Pracownicy!C197</f>
        <v>0</v>
      </c>
      <c r="D197" s="4">
        <f>Pracownicy!D197</f>
        <v>0</v>
      </c>
      <c r="E197" s="4">
        <f>IF(A197="","",SUMIF(Wyniki!$A$2:$A$501,A197,Wyniki!$O$2:$O$501))</f>
        <v>0</v>
      </c>
      <c r="F197" s="4">
        <f>IF(A197="","",COUNTIF(Wyniki!$A$2:$A$501,A197))</f>
        <v>0</v>
      </c>
    </row>
    <row r="198" spans="1:6" x14ac:dyDescent="0.25">
      <c r="A198" s="4">
        <f>Pracownicy!A198</f>
        <v>0</v>
      </c>
      <c r="B198" s="4">
        <f>Pracownicy!B198</f>
        <v>0</v>
      </c>
      <c r="C198" s="4">
        <f>Pracownicy!C198</f>
        <v>0</v>
      </c>
      <c r="D198" s="4">
        <f>Pracownicy!D198</f>
        <v>0</v>
      </c>
      <c r="E198" s="4">
        <f>IF(A198="","",SUMIF(Wyniki!$A$2:$A$501,A198,Wyniki!$O$2:$O$501))</f>
        <v>0</v>
      </c>
      <c r="F198" s="4">
        <f>IF(A198="","",COUNTIF(Wyniki!$A$2:$A$501,A198))</f>
        <v>0</v>
      </c>
    </row>
    <row r="199" spans="1:6" x14ac:dyDescent="0.25">
      <c r="A199" s="4">
        <f>Pracownicy!A199</f>
        <v>0</v>
      </c>
      <c r="B199" s="4">
        <f>Pracownicy!B199</f>
        <v>0</v>
      </c>
      <c r="C199" s="4">
        <f>Pracownicy!C199</f>
        <v>0</v>
      </c>
      <c r="D199" s="4">
        <f>Pracownicy!D199</f>
        <v>0</v>
      </c>
      <c r="E199" s="4">
        <f>IF(A199="","",SUMIF(Wyniki!$A$2:$A$501,A199,Wyniki!$O$2:$O$501))</f>
        <v>0</v>
      </c>
      <c r="F199" s="4">
        <f>IF(A199="","",COUNTIF(Wyniki!$A$2:$A$501,A199))</f>
        <v>0</v>
      </c>
    </row>
    <row r="200" spans="1:6" x14ac:dyDescent="0.25">
      <c r="A200" s="4">
        <f>Pracownicy!A200</f>
        <v>0</v>
      </c>
      <c r="B200" s="4">
        <f>Pracownicy!B200</f>
        <v>0</v>
      </c>
      <c r="C200" s="4">
        <f>Pracownicy!C200</f>
        <v>0</v>
      </c>
      <c r="D200" s="4">
        <f>Pracownicy!D200</f>
        <v>0</v>
      </c>
      <c r="E200" s="4">
        <f>IF(A200="","",SUMIF(Wyniki!$A$2:$A$501,A200,Wyniki!$O$2:$O$501))</f>
        <v>0</v>
      </c>
      <c r="F200" s="4">
        <f>IF(A200="","",COUNTIF(Wyniki!$A$2:$A$501,A200))</f>
        <v>0</v>
      </c>
    </row>
    <row r="201" spans="1:6" x14ac:dyDescent="0.25">
      <c r="A201" s="4">
        <f>Pracownicy!A201</f>
        <v>0</v>
      </c>
      <c r="B201" s="4">
        <f>Pracownicy!B201</f>
        <v>0</v>
      </c>
      <c r="C201" s="4">
        <f>Pracownicy!C201</f>
        <v>0</v>
      </c>
      <c r="D201" s="4">
        <f>Pracownicy!D201</f>
        <v>0</v>
      </c>
      <c r="E201" s="4">
        <f>IF(A201="","",SUMIF(Wyniki!$A$2:$A$501,A201,Wyniki!$O$2:$O$501))</f>
        <v>0</v>
      </c>
      <c r="F201" s="4">
        <f>IF(A201="","",COUNTIF(Wyniki!$A$2:$A$501,A201))</f>
        <v>0</v>
      </c>
    </row>
    <row r="202" spans="1:6" x14ac:dyDescent="0.25">
      <c r="A202" s="4">
        <f>Pracownicy!A202</f>
        <v>0</v>
      </c>
      <c r="B202" s="4">
        <f>Pracownicy!B202</f>
        <v>0</v>
      </c>
      <c r="C202" s="4">
        <f>Pracownicy!C202</f>
        <v>0</v>
      </c>
      <c r="D202" s="4">
        <f>Pracownicy!D202</f>
        <v>0</v>
      </c>
      <c r="E202" s="4">
        <f>IF(A202="","",SUMIF(Wyniki!$A$2:$A$501,A202,Wyniki!$O$2:$O$501))</f>
        <v>0</v>
      </c>
      <c r="F202" s="4">
        <f>IF(A202="","",COUNTIF(Wyniki!$A$2:$A$501,A202))</f>
        <v>0</v>
      </c>
    </row>
    <row r="203" spans="1:6" x14ac:dyDescent="0.25">
      <c r="A203" s="4">
        <f>Pracownicy!A203</f>
        <v>0</v>
      </c>
      <c r="B203" s="4">
        <f>Pracownicy!B203</f>
        <v>0</v>
      </c>
      <c r="C203" s="4">
        <f>Pracownicy!C203</f>
        <v>0</v>
      </c>
      <c r="D203" s="4">
        <f>Pracownicy!D203</f>
        <v>0</v>
      </c>
      <c r="E203" s="4">
        <f>IF(A203="","",SUMIF(Wyniki!$A$2:$A$501,A203,Wyniki!$O$2:$O$501))</f>
        <v>0</v>
      </c>
      <c r="F203" s="4">
        <f>IF(A203="","",COUNTIF(Wyniki!$A$2:$A$501,A203))</f>
        <v>0</v>
      </c>
    </row>
    <row r="204" spans="1:6" x14ac:dyDescent="0.25">
      <c r="A204" s="4">
        <f>Pracownicy!A204</f>
        <v>0</v>
      </c>
      <c r="B204" s="4">
        <f>Pracownicy!B204</f>
        <v>0</v>
      </c>
      <c r="C204" s="4">
        <f>Pracownicy!C204</f>
        <v>0</v>
      </c>
      <c r="D204" s="4">
        <f>Pracownicy!D204</f>
        <v>0</v>
      </c>
      <c r="E204" s="4">
        <f>IF(A204="","",SUMIF(Wyniki!$A$2:$A$501,A204,Wyniki!$O$2:$O$501))</f>
        <v>0</v>
      </c>
      <c r="F204" s="4">
        <f>IF(A204="","",COUNTIF(Wyniki!$A$2:$A$501,A204))</f>
        <v>0</v>
      </c>
    </row>
    <row r="205" spans="1:6" x14ac:dyDescent="0.25">
      <c r="A205" s="4">
        <f>Pracownicy!A205</f>
        <v>0</v>
      </c>
      <c r="B205" s="4">
        <f>Pracownicy!B205</f>
        <v>0</v>
      </c>
      <c r="C205" s="4">
        <f>Pracownicy!C205</f>
        <v>0</v>
      </c>
      <c r="D205" s="4">
        <f>Pracownicy!D205</f>
        <v>0</v>
      </c>
      <c r="E205" s="4">
        <f>IF(A205="","",SUMIF(Wyniki!$A$2:$A$501,A205,Wyniki!$O$2:$O$501))</f>
        <v>0</v>
      </c>
      <c r="F205" s="4">
        <f>IF(A205="","",COUNTIF(Wyniki!$A$2:$A$501,A205))</f>
        <v>0</v>
      </c>
    </row>
    <row r="206" spans="1:6" x14ac:dyDescent="0.25">
      <c r="A206" s="4">
        <f>Pracownicy!A206</f>
        <v>0</v>
      </c>
      <c r="B206" s="4">
        <f>Pracownicy!B206</f>
        <v>0</v>
      </c>
      <c r="C206" s="4">
        <f>Pracownicy!C206</f>
        <v>0</v>
      </c>
      <c r="D206" s="4">
        <f>Pracownicy!D206</f>
        <v>0</v>
      </c>
      <c r="E206" s="4">
        <f>IF(A206="","",SUMIF(Wyniki!$A$2:$A$501,A206,Wyniki!$O$2:$O$501))</f>
        <v>0</v>
      </c>
      <c r="F206" s="4">
        <f>IF(A206="","",COUNTIF(Wyniki!$A$2:$A$501,A206))</f>
        <v>0</v>
      </c>
    </row>
    <row r="207" spans="1:6" x14ac:dyDescent="0.25">
      <c r="A207" s="4">
        <f>Pracownicy!A207</f>
        <v>0</v>
      </c>
      <c r="B207" s="4">
        <f>Pracownicy!B207</f>
        <v>0</v>
      </c>
      <c r="C207" s="4">
        <f>Pracownicy!C207</f>
        <v>0</v>
      </c>
      <c r="D207" s="4">
        <f>Pracownicy!D207</f>
        <v>0</v>
      </c>
      <c r="E207" s="4">
        <f>IF(A207="","",SUMIF(Wyniki!$A$2:$A$501,A207,Wyniki!$O$2:$O$501))</f>
        <v>0</v>
      </c>
      <c r="F207" s="4">
        <f>IF(A207="","",COUNTIF(Wyniki!$A$2:$A$501,A207))</f>
        <v>0</v>
      </c>
    </row>
    <row r="208" spans="1:6" x14ac:dyDescent="0.25">
      <c r="A208" s="4">
        <f>Pracownicy!A208</f>
        <v>0</v>
      </c>
      <c r="B208" s="4">
        <f>Pracownicy!B208</f>
        <v>0</v>
      </c>
      <c r="C208" s="4">
        <f>Pracownicy!C208</f>
        <v>0</v>
      </c>
      <c r="D208" s="4">
        <f>Pracownicy!D208</f>
        <v>0</v>
      </c>
      <c r="E208" s="4">
        <f>IF(A208="","",SUMIF(Wyniki!$A$2:$A$501,A208,Wyniki!$O$2:$O$501))</f>
        <v>0</v>
      </c>
      <c r="F208" s="4">
        <f>IF(A208="","",COUNTIF(Wyniki!$A$2:$A$501,A208))</f>
        <v>0</v>
      </c>
    </row>
    <row r="209" spans="1:6" x14ac:dyDescent="0.25">
      <c r="A209" s="4">
        <f>Pracownicy!A209</f>
        <v>0</v>
      </c>
      <c r="B209" s="4">
        <f>Pracownicy!B209</f>
        <v>0</v>
      </c>
      <c r="C209" s="4">
        <f>Pracownicy!C209</f>
        <v>0</v>
      </c>
      <c r="D209" s="4">
        <f>Pracownicy!D209</f>
        <v>0</v>
      </c>
      <c r="E209" s="4">
        <f>IF(A209="","",SUMIF(Wyniki!$A$2:$A$501,A209,Wyniki!$O$2:$O$501))</f>
        <v>0</v>
      </c>
      <c r="F209" s="4">
        <f>IF(A209="","",COUNTIF(Wyniki!$A$2:$A$501,A209))</f>
        <v>0</v>
      </c>
    </row>
    <row r="210" spans="1:6" x14ac:dyDescent="0.25">
      <c r="A210" s="4">
        <f>Pracownicy!A210</f>
        <v>0</v>
      </c>
      <c r="B210" s="4">
        <f>Pracownicy!B210</f>
        <v>0</v>
      </c>
      <c r="C210" s="4">
        <f>Pracownicy!C210</f>
        <v>0</v>
      </c>
      <c r="D210" s="4">
        <f>Pracownicy!D210</f>
        <v>0</v>
      </c>
      <c r="E210" s="4">
        <f>IF(A210="","",SUMIF(Wyniki!$A$2:$A$501,A210,Wyniki!$O$2:$O$501))</f>
        <v>0</v>
      </c>
      <c r="F210" s="4">
        <f>IF(A210="","",COUNTIF(Wyniki!$A$2:$A$501,A210))</f>
        <v>0</v>
      </c>
    </row>
    <row r="211" spans="1:6" x14ac:dyDescent="0.25">
      <c r="A211" s="4">
        <f>Pracownicy!A211</f>
        <v>0</v>
      </c>
      <c r="B211" s="4">
        <f>Pracownicy!B211</f>
        <v>0</v>
      </c>
      <c r="C211" s="4">
        <f>Pracownicy!C211</f>
        <v>0</v>
      </c>
      <c r="D211" s="4">
        <f>Pracownicy!D211</f>
        <v>0</v>
      </c>
      <c r="E211" s="4">
        <f>IF(A211="","",SUMIF(Wyniki!$A$2:$A$501,A211,Wyniki!$O$2:$O$501))</f>
        <v>0</v>
      </c>
      <c r="F211" s="4">
        <f>IF(A211="","",COUNTIF(Wyniki!$A$2:$A$501,A211))</f>
        <v>0</v>
      </c>
    </row>
    <row r="212" spans="1:6" x14ac:dyDescent="0.25">
      <c r="A212" s="4">
        <f>Pracownicy!A212</f>
        <v>0</v>
      </c>
      <c r="B212" s="4">
        <f>Pracownicy!B212</f>
        <v>0</v>
      </c>
      <c r="C212" s="4">
        <f>Pracownicy!C212</f>
        <v>0</v>
      </c>
      <c r="D212" s="4">
        <f>Pracownicy!D212</f>
        <v>0</v>
      </c>
      <c r="E212" s="4">
        <f>IF(A212="","",SUMIF(Wyniki!$A$2:$A$501,A212,Wyniki!$O$2:$O$501))</f>
        <v>0</v>
      </c>
      <c r="F212" s="4">
        <f>IF(A212="","",COUNTIF(Wyniki!$A$2:$A$501,A212))</f>
        <v>0</v>
      </c>
    </row>
    <row r="213" spans="1:6" x14ac:dyDescent="0.25">
      <c r="A213" s="4">
        <f>Pracownicy!A213</f>
        <v>0</v>
      </c>
      <c r="B213" s="4">
        <f>Pracownicy!B213</f>
        <v>0</v>
      </c>
      <c r="C213" s="4">
        <f>Pracownicy!C213</f>
        <v>0</v>
      </c>
      <c r="D213" s="4">
        <f>Pracownicy!D213</f>
        <v>0</v>
      </c>
      <c r="E213" s="4">
        <f>IF(A213="","",SUMIF(Wyniki!$A$2:$A$501,A213,Wyniki!$O$2:$O$501))</f>
        <v>0</v>
      </c>
      <c r="F213" s="4">
        <f>IF(A213="","",COUNTIF(Wyniki!$A$2:$A$501,A213))</f>
        <v>0</v>
      </c>
    </row>
    <row r="214" spans="1:6" x14ac:dyDescent="0.25">
      <c r="A214" s="4">
        <f>Pracownicy!A214</f>
        <v>0</v>
      </c>
      <c r="B214" s="4">
        <f>Pracownicy!B214</f>
        <v>0</v>
      </c>
      <c r="C214" s="4">
        <f>Pracownicy!C214</f>
        <v>0</v>
      </c>
      <c r="D214" s="4">
        <f>Pracownicy!D214</f>
        <v>0</v>
      </c>
      <c r="E214" s="4">
        <f>IF(A214="","",SUMIF(Wyniki!$A$2:$A$501,A214,Wyniki!$O$2:$O$501))</f>
        <v>0</v>
      </c>
      <c r="F214" s="4">
        <f>IF(A214="","",COUNTIF(Wyniki!$A$2:$A$501,A214))</f>
        <v>0</v>
      </c>
    </row>
    <row r="215" spans="1:6" x14ac:dyDescent="0.25">
      <c r="A215" s="4">
        <f>Pracownicy!A215</f>
        <v>0</v>
      </c>
      <c r="B215" s="4">
        <f>Pracownicy!B215</f>
        <v>0</v>
      </c>
      <c r="C215" s="4">
        <f>Pracownicy!C215</f>
        <v>0</v>
      </c>
      <c r="D215" s="4">
        <f>Pracownicy!D215</f>
        <v>0</v>
      </c>
      <c r="E215" s="4">
        <f>IF(A215="","",SUMIF(Wyniki!$A$2:$A$501,A215,Wyniki!$O$2:$O$501))</f>
        <v>0</v>
      </c>
      <c r="F215" s="4">
        <f>IF(A215="","",COUNTIF(Wyniki!$A$2:$A$501,A215))</f>
        <v>0</v>
      </c>
    </row>
    <row r="216" spans="1:6" x14ac:dyDescent="0.25">
      <c r="A216" s="4">
        <f>Pracownicy!A216</f>
        <v>0</v>
      </c>
      <c r="B216" s="4">
        <f>Pracownicy!B216</f>
        <v>0</v>
      </c>
      <c r="C216" s="4">
        <f>Pracownicy!C216</f>
        <v>0</v>
      </c>
      <c r="D216" s="4">
        <f>Pracownicy!D216</f>
        <v>0</v>
      </c>
      <c r="E216" s="4">
        <f>IF(A216="","",SUMIF(Wyniki!$A$2:$A$501,A216,Wyniki!$O$2:$O$501))</f>
        <v>0</v>
      </c>
      <c r="F216" s="4">
        <f>IF(A216="","",COUNTIF(Wyniki!$A$2:$A$501,A216))</f>
        <v>0</v>
      </c>
    </row>
    <row r="217" spans="1:6" x14ac:dyDescent="0.25">
      <c r="A217" s="4">
        <f>Pracownicy!A217</f>
        <v>0</v>
      </c>
      <c r="B217" s="4">
        <f>Pracownicy!B217</f>
        <v>0</v>
      </c>
      <c r="C217" s="4">
        <f>Pracownicy!C217</f>
        <v>0</v>
      </c>
      <c r="D217" s="4">
        <f>Pracownicy!D217</f>
        <v>0</v>
      </c>
      <c r="E217" s="4">
        <f>IF(A217="","",SUMIF(Wyniki!$A$2:$A$501,A217,Wyniki!$O$2:$O$501))</f>
        <v>0</v>
      </c>
      <c r="F217" s="4">
        <f>IF(A217="","",COUNTIF(Wyniki!$A$2:$A$501,A217))</f>
        <v>0</v>
      </c>
    </row>
    <row r="218" spans="1:6" x14ac:dyDescent="0.25">
      <c r="A218" s="4">
        <f>Pracownicy!A218</f>
        <v>0</v>
      </c>
      <c r="B218" s="4">
        <f>Pracownicy!B218</f>
        <v>0</v>
      </c>
      <c r="C218" s="4">
        <f>Pracownicy!C218</f>
        <v>0</v>
      </c>
      <c r="D218" s="4">
        <f>Pracownicy!D218</f>
        <v>0</v>
      </c>
      <c r="E218" s="4">
        <f>IF(A218="","",SUMIF(Wyniki!$A$2:$A$501,A218,Wyniki!$O$2:$O$501))</f>
        <v>0</v>
      </c>
      <c r="F218" s="4">
        <f>IF(A218="","",COUNTIF(Wyniki!$A$2:$A$501,A218))</f>
        <v>0</v>
      </c>
    </row>
    <row r="219" spans="1:6" x14ac:dyDescent="0.25">
      <c r="A219" s="4">
        <f>Pracownicy!A219</f>
        <v>0</v>
      </c>
      <c r="B219" s="4">
        <f>Pracownicy!B219</f>
        <v>0</v>
      </c>
      <c r="C219" s="4">
        <f>Pracownicy!C219</f>
        <v>0</v>
      </c>
      <c r="D219" s="4">
        <f>Pracownicy!D219</f>
        <v>0</v>
      </c>
      <c r="E219" s="4">
        <f>IF(A219="","",SUMIF(Wyniki!$A$2:$A$501,A219,Wyniki!$O$2:$O$501))</f>
        <v>0</v>
      </c>
      <c r="F219" s="4">
        <f>IF(A219="","",COUNTIF(Wyniki!$A$2:$A$501,A219))</f>
        <v>0</v>
      </c>
    </row>
    <row r="220" spans="1:6" x14ac:dyDescent="0.25">
      <c r="A220" s="4">
        <f>Pracownicy!A220</f>
        <v>0</v>
      </c>
      <c r="B220" s="4">
        <f>Pracownicy!B220</f>
        <v>0</v>
      </c>
      <c r="C220" s="4">
        <f>Pracownicy!C220</f>
        <v>0</v>
      </c>
      <c r="D220" s="4">
        <f>Pracownicy!D220</f>
        <v>0</v>
      </c>
      <c r="E220" s="4">
        <f>IF(A220="","",SUMIF(Wyniki!$A$2:$A$501,A220,Wyniki!$O$2:$O$501))</f>
        <v>0</v>
      </c>
      <c r="F220" s="4">
        <f>IF(A220="","",COUNTIF(Wyniki!$A$2:$A$501,A220))</f>
        <v>0</v>
      </c>
    </row>
    <row r="221" spans="1:6" x14ac:dyDescent="0.25">
      <c r="A221" s="4">
        <f>Pracownicy!A221</f>
        <v>0</v>
      </c>
      <c r="B221" s="4">
        <f>Pracownicy!B221</f>
        <v>0</v>
      </c>
      <c r="C221" s="4">
        <f>Pracownicy!C221</f>
        <v>0</v>
      </c>
      <c r="D221" s="4">
        <f>Pracownicy!D221</f>
        <v>0</v>
      </c>
      <c r="E221" s="4">
        <f>IF(A221="","",SUMIF(Wyniki!$A$2:$A$501,A221,Wyniki!$O$2:$O$501))</f>
        <v>0</v>
      </c>
      <c r="F221" s="4">
        <f>IF(A221="","",COUNTIF(Wyniki!$A$2:$A$501,A221))</f>
        <v>0</v>
      </c>
    </row>
    <row r="222" spans="1:6" x14ac:dyDescent="0.25">
      <c r="A222" s="4">
        <f>Pracownicy!A222</f>
        <v>0</v>
      </c>
      <c r="B222" s="4">
        <f>Pracownicy!B222</f>
        <v>0</v>
      </c>
      <c r="C222" s="4">
        <f>Pracownicy!C222</f>
        <v>0</v>
      </c>
      <c r="D222" s="4">
        <f>Pracownicy!D222</f>
        <v>0</v>
      </c>
      <c r="E222" s="4">
        <f>IF(A222="","",SUMIF(Wyniki!$A$2:$A$501,A222,Wyniki!$O$2:$O$501))</f>
        <v>0</v>
      </c>
      <c r="F222" s="4">
        <f>IF(A222="","",COUNTIF(Wyniki!$A$2:$A$501,A222))</f>
        <v>0</v>
      </c>
    </row>
    <row r="223" spans="1:6" x14ac:dyDescent="0.25">
      <c r="A223" s="4">
        <f>Pracownicy!A223</f>
        <v>0</v>
      </c>
      <c r="B223" s="4">
        <f>Pracownicy!B223</f>
        <v>0</v>
      </c>
      <c r="C223" s="4">
        <f>Pracownicy!C223</f>
        <v>0</v>
      </c>
      <c r="D223" s="4">
        <f>Pracownicy!D223</f>
        <v>0</v>
      </c>
      <c r="E223" s="4">
        <f>IF(A223="","",SUMIF(Wyniki!$A$2:$A$501,A223,Wyniki!$O$2:$O$501))</f>
        <v>0</v>
      </c>
      <c r="F223" s="4">
        <f>IF(A223="","",COUNTIF(Wyniki!$A$2:$A$501,A223))</f>
        <v>0</v>
      </c>
    </row>
    <row r="224" spans="1:6" x14ac:dyDescent="0.25">
      <c r="A224" s="4">
        <f>Pracownicy!A224</f>
        <v>0</v>
      </c>
      <c r="B224" s="4">
        <f>Pracownicy!B224</f>
        <v>0</v>
      </c>
      <c r="C224" s="4">
        <f>Pracownicy!C224</f>
        <v>0</v>
      </c>
      <c r="D224" s="4">
        <f>Pracownicy!D224</f>
        <v>0</v>
      </c>
      <c r="E224" s="4">
        <f>IF(A224="","",SUMIF(Wyniki!$A$2:$A$501,A224,Wyniki!$O$2:$O$501))</f>
        <v>0</v>
      </c>
      <c r="F224" s="4">
        <f>IF(A224="","",COUNTIF(Wyniki!$A$2:$A$501,A224))</f>
        <v>0</v>
      </c>
    </row>
    <row r="225" spans="1:6" x14ac:dyDescent="0.25">
      <c r="A225" s="4">
        <f>Pracownicy!A225</f>
        <v>0</v>
      </c>
      <c r="B225" s="4">
        <f>Pracownicy!B225</f>
        <v>0</v>
      </c>
      <c r="C225" s="4">
        <f>Pracownicy!C225</f>
        <v>0</v>
      </c>
      <c r="D225" s="4">
        <f>Pracownicy!D225</f>
        <v>0</v>
      </c>
      <c r="E225" s="4">
        <f>IF(A225="","",SUMIF(Wyniki!$A$2:$A$501,A225,Wyniki!$O$2:$O$501))</f>
        <v>0</v>
      </c>
      <c r="F225" s="4">
        <f>IF(A225="","",COUNTIF(Wyniki!$A$2:$A$501,A225))</f>
        <v>0</v>
      </c>
    </row>
    <row r="226" spans="1:6" x14ac:dyDescent="0.25">
      <c r="A226" s="4">
        <f>Pracownicy!A226</f>
        <v>0</v>
      </c>
      <c r="B226" s="4">
        <f>Pracownicy!B226</f>
        <v>0</v>
      </c>
      <c r="C226" s="4">
        <f>Pracownicy!C226</f>
        <v>0</v>
      </c>
      <c r="D226" s="4">
        <f>Pracownicy!D226</f>
        <v>0</v>
      </c>
      <c r="E226" s="4">
        <f>IF(A226="","",SUMIF(Wyniki!$A$2:$A$501,A226,Wyniki!$O$2:$O$501))</f>
        <v>0</v>
      </c>
      <c r="F226" s="4">
        <f>IF(A226="","",COUNTIF(Wyniki!$A$2:$A$501,A226))</f>
        <v>0</v>
      </c>
    </row>
    <row r="227" spans="1:6" x14ac:dyDescent="0.25">
      <c r="A227" s="4">
        <f>Pracownicy!A227</f>
        <v>0</v>
      </c>
      <c r="B227" s="4">
        <f>Pracownicy!B227</f>
        <v>0</v>
      </c>
      <c r="C227" s="4">
        <f>Pracownicy!C227</f>
        <v>0</v>
      </c>
      <c r="D227" s="4">
        <f>Pracownicy!D227</f>
        <v>0</v>
      </c>
      <c r="E227" s="4">
        <f>IF(A227="","",SUMIF(Wyniki!$A$2:$A$501,A227,Wyniki!$O$2:$O$501))</f>
        <v>0</v>
      </c>
      <c r="F227" s="4">
        <f>IF(A227="","",COUNTIF(Wyniki!$A$2:$A$501,A227))</f>
        <v>0</v>
      </c>
    </row>
    <row r="228" spans="1:6" x14ac:dyDescent="0.25">
      <c r="A228" s="4">
        <f>Pracownicy!A228</f>
        <v>0</v>
      </c>
      <c r="B228" s="4">
        <f>Pracownicy!B228</f>
        <v>0</v>
      </c>
      <c r="C228" s="4">
        <f>Pracownicy!C228</f>
        <v>0</v>
      </c>
      <c r="D228" s="4">
        <f>Pracownicy!D228</f>
        <v>0</v>
      </c>
      <c r="E228" s="4">
        <f>IF(A228="","",SUMIF(Wyniki!$A$2:$A$501,A228,Wyniki!$O$2:$O$501))</f>
        <v>0</v>
      </c>
      <c r="F228" s="4">
        <f>IF(A228="","",COUNTIF(Wyniki!$A$2:$A$501,A228))</f>
        <v>0</v>
      </c>
    </row>
    <row r="229" spans="1:6" x14ac:dyDescent="0.25">
      <c r="A229" s="4">
        <f>Pracownicy!A229</f>
        <v>0</v>
      </c>
      <c r="B229" s="4">
        <f>Pracownicy!B229</f>
        <v>0</v>
      </c>
      <c r="C229" s="4">
        <f>Pracownicy!C229</f>
        <v>0</v>
      </c>
      <c r="D229" s="4">
        <f>Pracownicy!D229</f>
        <v>0</v>
      </c>
      <c r="E229" s="4">
        <f>IF(A229="","",SUMIF(Wyniki!$A$2:$A$501,A229,Wyniki!$O$2:$O$501))</f>
        <v>0</v>
      </c>
      <c r="F229" s="4">
        <f>IF(A229="","",COUNTIF(Wyniki!$A$2:$A$501,A229))</f>
        <v>0</v>
      </c>
    </row>
    <row r="230" spans="1:6" x14ac:dyDescent="0.25">
      <c r="A230" s="4">
        <f>Pracownicy!A230</f>
        <v>0</v>
      </c>
      <c r="B230" s="4">
        <f>Pracownicy!B230</f>
        <v>0</v>
      </c>
      <c r="C230" s="4">
        <f>Pracownicy!C230</f>
        <v>0</v>
      </c>
      <c r="D230" s="4">
        <f>Pracownicy!D230</f>
        <v>0</v>
      </c>
      <c r="E230" s="4">
        <f>IF(A230="","",SUMIF(Wyniki!$A$2:$A$501,A230,Wyniki!$O$2:$O$501))</f>
        <v>0</v>
      </c>
      <c r="F230" s="4">
        <f>IF(A230="","",COUNTIF(Wyniki!$A$2:$A$501,A230))</f>
        <v>0</v>
      </c>
    </row>
    <row r="231" spans="1:6" x14ac:dyDescent="0.25">
      <c r="A231" s="4">
        <f>Pracownicy!A231</f>
        <v>0</v>
      </c>
      <c r="B231" s="4">
        <f>Pracownicy!B231</f>
        <v>0</v>
      </c>
      <c r="C231" s="4">
        <f>Pracownicy!C231</f>
        <v>0</v>
      </c>
      <c r="D231" s="4">
        <f>Pracownicy!D231</f>
        <v>0</v>
      </c>
      <c r="E231" s="4">
        <f>IF(A231="","",SUMIF(Wyniki!$A$2:$A$501,A231,Wyniki!$O$2:$O$501))</f>
        <v>0</v>
      </c>
      <c r="F231" s="4">
        <f>IF(A231="","",COUNTIF(Wyniki!$A$2:$A$501,A231))</f>
        <v>0</v>
      </c>
    </row>
    <row r="232" spans="1:6" x14ac:dyDescent="0.25">
      <c r="A232" s="4">
        <f>Pracownicy!A232</f>
        <v>0</v>
      </c>
      <c r="B232" s="4">
        <f>Pracownicy!B232</f>
        <v>0</v>
      </c>
      <c r="C232" s="4">
        <f>Pracownicy!C232</f>
        <v>0</v>
      </c>
      <c r="D232" s="4">
        <f>Pracownicy!D232</f>
        <v>0</v>
      </c>
      <c r="E232" s="4">
        <f>IF(A232="","",SUMIF(Wyniki!$A$2:$A$501,A232,Wyniki!$O$2:$O$501))</f>
        <v>0</v>
      </c>
      <c r="F232" s="4">
        <f>IF(A232="","",COUNTIF(Wyniki!$A$2:$A$501,A232))</f>
        <v>0</v>
      </c>
    </row>
    <row r="233" spans="1:6" x14ac:dyDescent="0.25">
      <c r="A233" s="4">
        <f>Pracownicy!A233</f>
        <v>0</v>
      </c>
      <c r="B233" s="4">
        <f>Pracownicy!B233</f>
        <v>0</v>
      </c>
      <c r="C233" s="4">
        <f>Pracownicy!C233</f>
        <v>0</v>
      </c>
      <c r="D233" s="4">
        <f>Pracownicy!D233</f>
        <v>0</v>
      </c>
      <c r="E233" s="4">
        <f>IF(A233="","",SUMIF(Wyniki!$A$2:$A$501,A233,Wyniki!$O$2:$O$501))</f>
        <v>0</v>
      </c>
      <c r="F233" s="4">
        <f>IF(A233="","",COUNTIF(Wyniki!$A$2:$A$501,A233))</f>
        <v>0</v>
      </c>
    </row>
    <row r="234" spans="1:6" x14ac:dyDescent="0.25">
      <c r="A234" s="4">
        <f>Pracownicy!A234</f>
        <v>0</v>
      </c>
      <c r="B234" s="4">
        <f>Pracownicy!B234</f>
        <v>0</v>
      </c>
      <c r="C234" s="4">
        <f>Pracownicy!C234</f>
        <v>0</v>
      </c>
      <c r="D234" s="4">
        <f>Pracownicy!D234</f>
        <v>0</v>
      </c>
      <c r="E234" s="4">
        <f>IF(A234="","",SUMIF(Wyniki!$A$2:$A$501,A234,Wyniki!$O$2:$O$501))</f>
        <v>0</v>
      </c>
      <c r="F234" s="4">
        <f>IF(A234="","",COUNTIF(Wyniki!$A$2:$A$501,A234))</f>
        <v>0</v>
      </c>
    </row>
    <row r="235" spans="1:6" x14ac:dyDescent="0.25">
      <c r="A235" s="4">
        <f>Pracownicy!A235</f>
        <v>0</v>
      </c>
      <c r="B235" s="4">
        <f>Pracownicy!B235</f>
        <v>0</v>
      </c>
      <c r="C235" s="4">
        <f>Pracownicy!C235</f>
        <v>0</v>
      </c>
      <c r="D235" s="4">
        <f>Pracownicy!D235</f>
        <v>0</v>
      </c>
      <c r="E235" s="4">
        <f>IF(A235="","",SUMIF(Wyniki!$A$2:$A$501,A235,Wyniki!$O$2:$O$501))</f>
        <v>0</v>
      </c>
      <c r="F235" s="4">
        <f>IF(A235="","",COUNTIF(Wyniki!$A$2:$A$501,A235))</f>
        <v>0</v>
      </c>
    </row>
    <row r="236" spans="1:6" x14ac:dyDescent="0.25">
      <c r="A236" s="4">
        <f>Pracownicy!A236</f>
        <v>0</v>
      </c>
      <c r="B236" s="4">
        <f>Pracownicy!B236</f>
        <v>0</v>
      </c>
      <c r="C236" s="4">
        <f>Pracownicy!C236</f>
        <v>0</v>
      </c>
      <c r="D236" s="4">
        <f>Pracownicy!D236</f>
        <v>0</v>
      </c>
      <c r="E236" s="4">
        <f>IF(A236="","",SUMIF(Wyniki!$A$2:$A$501,A236,Wyniki!$O$2:$O$501))</f>
        <v>0</v>
      </c>
      <c r="F236" s="4">
        <f>IF(A236="","",COUNTIF(Wyniki!$A$2:$A$501,A236))</f>
        <v>0</v>
      </c>
    </row>
    <row r="237" spans="1:6" x14ac:dyDescent="0.25">
      <c r="A237" s="4">
        <f>Pracownicy!A237</f>
        <v>0</v>
      </c>
      <c r="B237" s="4">
        <f>Pracownicy!B237</f>
        <v>0</v>
      </c>
      <c r="C237" s="4">
        <f>Pracownicy!C237</f>
        <v>0</v>
      </c>
      <c r="D237" s="4">
        <f>Pracownicy!D237</f>
        <v>0</v>
      </c>
      <c r="E237" s="4">
        <f>IF(A237="","",SUMIF(Wyniki!$A$2:$A$501,A237,Wyniki!$O$2:$O$501))</f>
        <v>0</v>
      </c>
      <c r="F237" s="4">
        <f>IF(A237="","",COUNTIF(Wyniki!$A$2:$A$501,A237))</f>
        <v>0</v>
      </c>
    </row>
    <row r="238" spans="1:6" x14ac:dyDescent="0.25">
      <c r="A238" s="4">
        <f>Pracownicy!A238</f>
        <v>0</v>
      </c>
      <c r="B238" s="4">
        <f>Pracownicy!B238</f>
        <v>0</v>
      </c>
      <c r="C238" s="4">
        <f>Pracownicy!C238</f>
        <v>0</v>
      </c>
      <c r="D238" s="4">
        <f>Pracownicy!D238</f>
        <v>0</v>
      </c>
      <c r="E238" s="4">
        <f>IF(A238="","",SUMIF(Wyniki!$A$2:$A$501,A238,Wyniki!$O$2:$O$501))</f>
        <v>0</v>
      </c>
      <c r="F238" s="4">
        <f>IF(A238="","",COUNTIF(Wyniki!$A$2:$A$501,A238))</f>
        <v>0</v>
      </c>
    </row>
    <row r="239" spans="1:6" x14ac:dyDescent="0.25">
      <c r="A239" s="4">
        <f>Pracownicy!A239</f>
        <v>0</v>
      </c>
      <c r="B239" s="4">
        <f>Pracownicy!B239</f>
        <v>0</v>
      </c>
      <c r="C239" s="4">
        <f>Pracownicy!C239</f>
        <v>0</v>
      </c>
      <c r="D239" s="4">
        <f>Pracownicy!D239</f>
        <v>0</v>
      </c>
      <c r="E239" s="4">
        <f>IF(A239="","",SUMIF(Wyniki!$A$2:$A$501,A239,Wyniki!$O$2:$O$501))</f>
        <v>0</v>
      </c>
      <c r="F239" s="4">
        <f>IF(A239="","",COUNTIF(Wyniki!$A$2:$A$501,A239))</f>
        <v>0</v>
      </c>
    </row>
    <row r="240" spans="1:6" x14ac:dyDescent="0.25">
      <c r="A240" s="4">
        <f>Pracownicy!A240</f>
        <v>0</v>
      </c>
      <c r="B240" s="4">
        <f>Pracownicy!B240</f>
        <v>0</v>
      </c>
      <c r="C240" s="4">
        <f>Pracownicy!C240</f>
        <v>0</v>
      </c>
      <c r="D240" s="4">
        <f>Pracownicy!D240</f>
        <v>0</v>
      </c>
      <c r="E240" s="4">
        <f>IF(A240="","",SUMIF(Wyniki!$A$2:$A$501,A240,Wyniki!$O$2:$O$501))</f>
        <v>0</v>
      </c>
      <c r="F240" s="4">
        <f>IF(A240="","",COUNTIF(Wyniki!$A$2:$A$501,A240))</f>
        <v>0</v>
      </c>
    </row>
    <row r="241" spans="1:6" x14ac:dyDescent="0.25">
      <c r="A241" s="4">
        <f>Pracownicy!A241</f>
        <v>0</v>
      </c>
      <c r="B241" s="4">
        <f>Pracownicy!B241</f>
        <v>0</v>
      </c>
      <c r="C241" s="4">
        <f>Pracownicy!C241</f>
        <v>0</v>
      </c>
      <c r="D241" s="4">
        <f>Pracownicy!D241</f>
        <v>0</v>
      </c>
      <c r="E241" s="4">
        <f>IF(A241="","",SUMIF(Wyniki!$A$2:$A$501,A241,Wyniki!$O$2:$O$501))</f>
        <v>0</v>
      </c>
      <c r="F241" s="4">
        <f>IF(A241="","",COUNTIF(Wyniki!$A$2:$A$501,A241))</f>
        <v>0</v>
      </c>
    </row>
    <row r="242" spans="1:6" x14ac:dyDescent="0.25">
      <c r="A242" s="4">
        <f>Pracownicy!A242</f>
        <v>0</v>
      </c>
      <c r="B242" s="4">
        <f>Pracownicy!B242</f>
        <v>0</v>
      </c>
      <c r="C242" s="4">
        <f>Pracownicy!C242</f>
        <v>0</v>
      </c>
      <c r="D242" s="4">
        <f>Pracownicy!D242</f>
        <v>0</v>
      </c>
      <c r="E242" s="4">
        <f>IF(A242="","",SUMIF(Wyniki!$A$2:$A$501,A242,Wyniki!$O$2:$O$501))</f>
        <v>0</v>
      </c>
      <c r="F242" s="4">
        <f>IF(A242="","",COUNTIF(Wyniki!$A$2:$A$501,A242))</f>
        <v>0</v>
      </c>
    </row>
    <row r="243" spans="1:6" x14ac:dyDescent="0.25">
      <c r="A243" s="4">
        <f>Pracownicy!A243</f>
        <v>0</v>
      </c>
      <c r="B243" s="4">
        <f>Pracownicy!B243</f>
        <v>0</v>
      </c>
      <c r="C243" s="4">
        <f>Pracownicy!C243</f>
        <v>0</v>
      </c>
      <c r="D243" s="4">
        <f>Pracownicy!D243</f>
        <v>0</v>
      </c>
      <c r="E243" s="4">
        <f>IF(A243="","",SUMIF(Wyniki!$A$2:$A$501,A243,Wyniki!$O$2:$O$501))</f>
        <v>0</v>
      </c>
      <c r="F243" s="4">
        <f>IF(A243="","",COUNTIF(Wyniki!$A$2:$A$501,A243))</f>
        <v>0</v>
      </c>
    </row>
    <row r="244" spans="1:6" x14ac:dyDescent="0.25">
      <c r="A244" s="4">
        <f>Pracownicy!A244</f>
        <v>0</v>
      </c>
      <c r="B244" s="4">
        <f>Pracownicy!B244</f>
        <v>0</v>
      </c>
      <c r="C244" s="4">
        <f>Pracownicy!C244</f>
        <v>0</v>
      </c>
      <c r="D244" s="4">
        <f>Pracownicy!D244</f>
        <v>0</v>
      </c>
      <c r="E244" s="4">
        <f>IF(A244="","",SUMIF(Wyniki!$A$2:$A$501,A244,Wyniki!$O$2:$O$501))</f>
        <v>0</v>
      </c>
      <c r="F244" s="4">
        <f>IF(A244="","",COUNTIF(Wyniki!$A$2:$A$501,A244))</f>
        <v>0</v>
      </c>
    </row>
    <row r="245" spans="1:6" x14ac:dyDescent="0.25">
      <c r="A245" s="4">
        <f>Pracownicy!A245</f>
        <v>0</v>
      </c>
      <c r="B245" s="4">
        <f>Pracownicy!B245</f>
        <v>0</v>
      </c>
      <c r="C245" s="4">
        <f>Pracownicy!C245</f>
        <v>0</v>
      </c>
      <c r="D245" s="4">
        <f>Pracownicy!D245</f>
        <v>0</v>
      </c>
      <c r="E245" s="4">
        <f>IF(A245="","",SUMIF(Wyniki!$A$2:$A$501,A245,Wyniki!$O$2:$O$501))</f>
        <v>0</v>
      </c>
      <c r="F245" s="4">
        <f>IF(A245="","",COUNTIF(Wyniki!$A$2:$A$501,A245))</f>
        <v>0</v>
      </c>
    </row>
    <row r="246" spans="1:6" x14ac:dyDescent="0.25">
      <c r="A246" s="4">
        <f>Pracownicy!A246</f>
        <v>0</v>
      </c>
      <c r="B246" s="4">
        <f>Pracownicy!B246</f>
        <v>0</v>
      </c>
      <c r="C246" s="4">
        <f>Pracownicy!C246</f>
        <v>0</v>
      </c>
      <c r="D246" s="4">
        <f>Pracownicy!D246</f>
        <v>0</v>
      </c>
      <c r="E246" s="4">
        <f>IF(A246="","",SUMIF(Wyniki!$A$2:$A$501,A246,Wyniki!$O$2:$O$501))</f>
        <v>0</v>
      </c>
      <c r="F246" s="4">
        <f>IF(A246="","",COUNTIF(Wyniki!$A$2:$A$501,A246))</f>
        <v>0</v>
      </c>
    </row>
    <row r="247" spans="1:6" x14ac:dyDescent="0.25">
      <c r="A247" s="4">
        <f>Pracownicy!A247</f>
        <v>0</v>
      </c>
      <c r="B247" s="4">
        <f>Pracownicy!B247</f>
        <v>0</v>
      </c>
      <c r="C247" s="4">
        <f>Pracownicy!C247</f>
        <v>0</v>
      </c>
      <c r="D247" s="4">
        <f>Pracownicy!D247</f>
        <v>0</v>
      </c>
      <c r="E247" s="4">
        <f>IF(A247="","",SUMIF(Wyniki!$A$2:$A$501,A247,Wyniki!$O$2:$O$501))</f>
        <v>0</v>
      </c>
      <c r="F247" s="4">
        <f>IF(A247="","",COUNTIF(Wyniki!$A$2:$A$501,A247))</f>
        <v>0</v>
      </c>
    </row>
    <row r="248" spans="1:6" x14ac:dyDescent="0.25">
      <c r="A248" s="4">
        <f>Pracownicy!A248</f>
        <v>0</v>
      </c>
      <c r="B248" s="4">
        <f>Pracownicy!B248</f>
        <v>0</v>
      </c>
      <c r="C248" s="4">
        <f>Pracownicy!C248</f>
        <v>0</v>
      </c>
      <c r="D248" s="4">
        <f>Pracownicy!D248</f>
        <v>0</v>
      </c>
      <c r="E248" s="4">
        <f>IF(A248="","",SUMIF(Wyniki!$A$2:$A$501,A248,Wyniki!$O$2:$O$501))</f>
        <v>0</v>
      </c>
      <c r="F248" s="4">
        <f>IF(A248="","",COUNTIF(Wyniki!$A$2:$A$501,A248))</f>
        <v>0</v>
      </c>
    </row>
    <row r="249" spans="1:6" x14ac:dyDescent="0.25">
      <c r="A249" s="4">
        <f>Pracownicy!A249</f>
        <v>0</v>
      </c>
      <c r="B249" s="4">
        <f>Pracownicy!B249</f>
        <v>0</v>
      </c>
      <c r="C249" s="4">
        <f>Pracownicy!C249</f>
        <v>0</v>
      </c>
      <c r="D249" s="4">
        <f>Pracownicy!D249</f>
        <v>0</v>
      </c>
      <c r="E249" s="4">
        <f>IF(A249="","",SUMIF(Wyniki!$A$2:$A$501,A249,Wyniki!$O$2:$O$501))</f>
        <v>0</v>
      </c>
      <c r="F249" s="4">
        <f>IF(A249="","",COUNTIF(Wyniki!$A$2:$A$501,A249))</f>
        <v>0</v>
      </c>
    </row>
    <row r="250" spans="1:6" x14ac:dyDescent="0.25">
      <c r="A250" s="4">
        <f>Pracownicy!A250</f>
        <v>0</v>
      </c>
      <c r="B250" s="4">
        <f>Pracownicy!B250</f>
        <v>0</v>
      </c>
      <c r="C250" s="4">
        <f>Pracownicy!C250</f>
        <v>0</v>
      </c>
      <c r="D250" s="4">
        <f>Pracownicy!D250</f>
        <v>0</v>
      </c>
      <c r="E250" s="4">
        <f>IF(A250="","",SUMIF(Wyniki!$A$2:$A$501,A250,Wyniki!$O$2:$O$501))</f>
        <v>0</v>
      </c>
      <c r="F250" s="4">
        <f>IF(A250="","",COUNTIF(Wyniki!$A$2:$A$501,A250))</f>
        <v>0</v>
      </c>
    </row>
    <row r="251" spans="1:6" x14ac:dyDescent="0.25">
      <c r="A251" s="4">
        <f>Pracownicy!A251</f>
        <v>0</v>
      </c>
      <c r="B251" s="4">
        <f>Pracownicy!B251</f>
        <v>0</v>
      </c>
      <c r="C251" s="4">
        <f>Pracownicy!C251</f>
        <v>0</v>
      </c>
      <c r="D251" s="4">
        <f>Pracownicy!D251</f>
        <v>0</v>
      </c>
      <c r="E251" s="4">
        <f>IF(A251="","",SUMIF(Wyniki!$A$2:$A$501,A251,Wyniki!$O$2:$O$501))</f>
        <v>0</v>
      </c>
      <c r="F251" s="4">
        <f>IF(A251="","",COUNTIF(Wyniki!$A$2:$A$501,A251))</f>
        <v>0</v>
      </c>
    </row>
    <row r="252" spans="1:6" x14ac:dyDescent="0.25">
      <c r="A252" s="4">
        <f>Pracownicy!A252</f>
        <v>0</v>
      </c>
      <c r="B252" s="4">
        <f>Pracownicy!B252</f>
        <v>0</v>
      </c>
      <c r="C252" s="4">
        <f>Pracownicy!C252</f>
        <v>0</v>
      </c>
      <c r="D252" s="4">
        <f>Pracownicy!D252</f>
        <v>0</v>
      </c>
      <c r="E252" s="4">
        <f>IF(A252="","",SUMIF(Wyniki!$A$2:$A$501,A252,Wyniki!$O$2:$O$501))</f>
        <v>0</v>
      </c>
      <c r="F252" s="4">
        <f>IF(A252="","",COUNTIF(Wyniki!$A$2:$A$501,A252))</f>
        <v>0</v>
      </c>
    </row>
    <row r="253" spans="1:6" x14ac:dyDescent="0.25">
      <c r="A253" s="4">
        <f>Pracownicy!A253</f>
        <v>0</v>
      </c>
      <c r="B253" s="4">
        <f>Pracownicy!B253</f>
        <v>0</v>
      </c>
      <c r="C253" s="4">
        <f>Pracownicy!C253</f>
        <v>0</v>
      </c>
      <c r="D253" s="4">
        <f>Pracownicy!D253</f>
        <v>0</v>
      </c>
      <c r="E253" s="4">
        <f>IF(A253="","",SUMIF(Wyniki!$A$2:$A$501,A253,Wyniki!$O$2:$O$501))</f>
        <v>0</v>
      </c>
      <c r="F253" s="4">
        <f>IF(A253="","",COUNTIF(Wyniki!$A$2:$A$501,A253))</f>
        <v>0</v>
      </c>
    </row>
    <row r="254" spans="1:6" x14ac:dyDescent="0.25">
      <c r="A254" s="4">
        <f>Pracownicy!A254</f>
        <v>0</v>
      </c>
      <c r="B254" s="4">
        <f>Pracownicy!B254</f>
        <v>0</v>
      </c>
      <c r="C254" s="4">
        <f>Pracownicy!C254</f>
        <v>0</v>
      </c>
      <c r="D254" s="4">
        <f>Pracownicy!D254</f>
        <v>0</v>
      </c>
      <c r="E254" s="4">
        <f>IF(A254="","",SUMIF(Wyniki!$A$2:$A$501,A254,Wyniki!$O$2:$O$501))</f>
        <v>0</v>
      </c>
      <c r="F254" s="4">
        <f>IF(A254="","",COUNTIF(Wyniki!$A$2:$A$501,A254))</f>
        <v>0</v>
      </c>
    </row>
    <row r="255" spans="1:6" x14ac:dyDescent="0.25">
      <c r="A255" s="4">
        <f>Pracownicy!A255</f>
        <v>0</v>
      </c>
      <c r="B255" s="4">
        <f>Pracownicy!B255</f>
        <v>0</v>
      </c>
      <c r="C255" s="4">
        <f>Pracownicy!C255</f>
        <v>0</v>
      </c>
      <c r="D255" s="4">
        <f>Pracownicy!D255</f>
        <v>0</v>
      </c>
      <c r="E255" s="4">
        <f>IF(A255="","",SUMIF(Wyniki!$A$2:$A$501,A255,Wyniki!$O$2:$O$501))</f>
        <v>0</v>
      </c>
      <c r="F255" s="4">
        <f>IF(A255="","",COUNTIF(Wyniki!$A$2:$A$501,A255))</f>
        <v>0</v>
      </c>
    </row>
    <row r="256" spans="1:6" x14ac:dyDescent="0.25">
      <c r="A256" s="4">
        <f>Pracownicy!A256</f>
        <v>0</v>
      </c>
      <c r="B256" s="4">
        <f>Pracownicy!B256</f>
        <v>0</v>
      </c>
      <c r="C256" s="4">
        <f>Pracownicy!C256</f>
        <v>0</v>
      </c>
      <c r="D256" s="4">
        <f>Pracownicy!D256</f>
        <v>0</v>
      </c>
      <c r="E256" s="4">
        <f>IF(A256="","",SUMIF(Wyniki!$A$2:$A$501,A256,Wyniki!$O$2:$O$501))</f>
        <v>0</v>
      </c>
      <c r="F256" s="4">
        <f>IF(A256="","",COUNTIF(Wyniki!$A$2:$A$501,A256))</f>
        <v>0</v>
      </c>
    </row>
    <row r="257" spans="1:6" x14ac:dyDescent="0.25">
      <c r="A257" s="4">
        <f>Pracownicy!A257</f>
        <v>0</v>
      </c>
      <c r="B257" s="4">
        <f>Pracownicy!B257</f>
        <v>0</v>
      </c>
      <c r="C257" s="4">
        <f>Pracownicy!C257</f>
        <v>0</v>
      </c>
      <c r="D257" s="4">
        <f>Pracownicy!D257</f>
        <v>0</v>
      </c>
      <c r="E257" s="4">
        <f>IF(A257="","",SUMIF(Wyniki!$A$2:$A$501,A257,Wyniki!$O$2:$O$501))</f>
        <v>0</v>
      </c>
      <c r="F257" s="4">
        <f>IF(A257="","",COUNTIF(Wyniki!$A$2:$A$501,A257))</f>
        <v>0</v>
      </c>
    </row>
    <row r="258" spans="1:6" x14ac:dyDescent="0.25">
      <c r="A258" s="4">
        <f>Pracownicy!A258</f>
        <v>0</v>
      </c>
      <c r="B258" s="4">
        <f>Pracownicy!B258</f>
        <v>0</v>
      </c>
      <c r="C258" s="4">
        <f>Pracownicy!C258</f>
        <v>0</v>
      </c>
      <c r="D258" s="4">
        <f>Pracownicy!D258</f>
        <v>0</v>
      </c>
      <c r="E258" s="4">
        <f>IF(A258="","",SUMIF(Wyniki!$A$2:$A$501,A258,Wyniki!$O$2:$O$501))</f>
        <v>0</v>
      </c>
      <c r="F258" s="4">
        <f>IF(A258="","",COUNTIF(Wyniki!$A$2:$A$501,A258))</f>
        <v>0</v>
      </c>
    </row>
    <row r="259" spans="1:6" x14ac:dyDescent="0.25">
      <c r="A259" s="4">
        <f>Pracownicy!A259</f>
        <v>0</v>
      </c>
      <c r="B259" s="4">
        <f>Pracownicy!B259</f>
        <v>0</v>
      </c>
      <c r="C259" s="4">
        <f>Pracownicy!C259</f>
        <v>0</v>
      </c>
      <c r="D259" s="4">
        <f>Pracownicy!D259</f>
        <v>0</v>
      </c>
      <c r="E259" s="4">
        <f>IF(A259="","",SUMIF(Wyniki!$A$2:$A$501,A259,Wyniki!$O$2:$O$501))</f>
        <v>0</v>
      </c>
      <c r="F259" s="4">
        <f>IF(A259="","",COUNTIF(Wyniki!$A$2:$A$501,A259))</f>
        <v>0</v>
      </c>
    </row>
    <row r="260" spans="1:6" x14ac:dyDescent="0.25">
      <c r="A260" s="4">
        <f>Pracownicy!A260</f>
        <v>0</v>
      </c>
      <c r="B260" s="4">
        <f>Pracownicy!B260</f>
        <v>0</v>
      </c>
      <c r="C260" s="4">
        <f>Pracownicy!C260</f>
        <v>0</v>
      </c>
      <c r="D260" s="4">
        <f>Pracownicy!D260</f>
        <v>0</v>
      </c>
      <c r="E260" s="4">
        <f>IF(A260="","",SUMIF(Wyniki!$A$2:$A$501,A260,Wyniki!$O$2:$O$501))</f>
        <v>0</v>
      </c>
      <c r="F260" s="4">
        <f>IF(A260="","",COUNTIF(Wyniki!$A$2:$A$501,A260))</f>
        <v>0</v>
      </c>
    </row>
    <row r="261" spans="1:6" x14ac:dyDescent="0.25">
      <c r="A261" s="4">
        <f>Pracownicy!A261</f>
        <v>0</v>
      </c>
      <c r="B261" s="4">
        <f>Pracownicy!B261</f>
        <v>0</v>
      </c>
      <c r="C261" s="4">
        <f>Pracownicy!C261</f>
        <v>0</v>
      </c>
      <c r="D261" s="4">
        <f>Pracownicy!D261</f>
        <v>0</v>
      </c>
      <c r="E261" s="4">
        <f>IF(A261="","",SUMIF(Wyniki!$A$2:$A$501,A261,Wyniki!$O$2:$O$501))</f>
        <v>0</v>
      </c>
      <c r="F261" s="4">
        <f>IF(A261="","",COUNTIF(Wyniki!$A$2:$A$501,A261))</f>
        <v>0</v>
      </c>
    </row>
    <row r="262" spans="1:6" x14ac:dyDescent="0.25">
      <c r="A262" s="4">
        <f>Pracownicy!A262</f>
        <v>0</v>
      </c>
      <c r="B262" s="4">
        <f>Pracownicy!B262</f>
        <v>0</v>
      </c>
      <c r="C262" s="4">
        <f>Pracownicy!C262</f>
        <v>0</v>
      </c>
      <c r="D262" s="4">
        <f>Pracownicy!D262</f>
        <v>0</v>
      </c>
      <c r="E262" s="4">
        <f>IF(A262="","",SUMIF(Wyniki!$A$2:$A$501,A262,Wyniki!$O$2:$O$501))</f>
        <v>0</v>
      </c>
      <c r="F262" s="4">
        <f>IF(A262="","",COUNTIF(Wyniki!$A$2:$A$501,A262))</f>
        <v>0</v>
      </c>
    </row>
    <row r="263" spans="1:6" x14ac:dyDescent="0.25">
      <c r="A263" s="4">
        <f>Pracownicy!A263</f>
        <v>0</v>
      </c>
      <c r="B263" s="4">
        <f>Pracownicy!B263</f>
        <v>0</v>
      </c>
      <c r="C263" s="4">
        <f>Pracownicy!C263</f>
        <v>0</v>
      </c>
      <c r="D263" s="4">
        <f>Pracownicy!D263</f>
        <v>0</v>
      </c>
      <c r="E263" s="4">
        <f>IF(A263="","",SUMIF(Wyniki!$A$2:$A$501,A263,Wyniki!$O$2:$O$501))</f>
        <v>0</v>
      </c>
      <c r="F263" s="4">
        <f>IF(A263="","",COUNTIF(Wyniki!$A$2:$A$501,A263))</f>
        <v>0</v>
      </c>
    </row>
    <row r="264" spans="1:6" x14ac:dyDescent="0.25">
      <c r="A264" s="4">
        <f>Pracownicy!A264</f>
        <v>0</v>
      </c>
      <c r="B264" s="4">
        <f>Pracownicy!B264</f>
        <v>0</v>
      </c>
      <c r="C264" s="4">
        <f>Pracownicy!C264</f>
        <v>0</v>
      </c>
      <c r="D264" s="4">
        <f>Pracownicy!D264</f>
        <v>0</v>
      </c>
      <c r="E264" s="4">
        <f>IF(A264="","",SUMIF(Wyniki!$A$2:$A$501,A264,Wyniki!$O$2:$O$501))</f>
        <v>0</v>
      </c>
      <c r="F264" s="4">
        <f>IF(A264="","",COUNTIF(Wyniki!$A$2:$A$501,A264))</f>
        <v>0</v>
      </c>
    </row>
    <row r="265" spans="1:6" x14ac:dyDescent="0.25">
      <c r="A265" s="4">
        <f>Pracownicy!A265</f>
        <v>0</v>
      </c>
      <c r="B265" s="4">
        <f>Pracownicy!B265</f>
        <v>0</v>
      </c>
      <c r="C265" s="4">
        <f>Pracownicy!C265</f>
        <v>0</v>
      </c>
      <c r="D265" s="4">
        <f>Pracownicy!D265</f>
        <v>0</v>
      </c>
      <c r="E265" s="4">
        <f>IF(A265="","",SUMIF(Wyniki!$A$2:$A$501,A265,Wyniki!$O$2:$O$501))</f>
        <v>0</v>
      </c>
      <c r="F265" s="4">
        <f>IF(A265="","",COUNTIF(Wyniki!$A$2:$A$501,A265))</f>
        <v>0</v>
      </c>
    </row>
    <row r="266" spans="1:6" x14ac:dyDescent="0.25">
      <c r="A266" s="4">
        <f>Pracownicy!A266</f>
        <v>0</v>
      </c>
      <c r="B266" s="4">
        <f>Pracownicy!B266</f>
        <v>0</v>
      </c>
      <c r="C266" s="4">
        <f>Pracownicy!C266</f>
        <v>0</v>
      </c>
      <c r="D266" s="4">
        <f>Pracownicy!D266</f>
        <v>0</v>
      </c>
      <c r="E266" s="4">
        <f>IF(A266="","",SUMIF(Wyniki!$A$2:$A$501,A266,Wyniki!$O$2:$O$501))</f>
        <v>0</v>
      </c>
      <c r="F266" s="4">
        <f>IF(A266="","",COUNTIF(Wyniki!$A$2:$A$501,A266))</f>
        <v>0</v>
      </c>
    </row>
    <row r="267" spans="1:6" x14ac:dyDescent="0.25">
      <c r="A267" s="4">
        <f>Pracownicy!A267</f>
        <v>0</v>
      </c>
      <c r="B267" s="4">
        <f>Pracownicy!B267</f>
        <v>0</v>
      </c>
      <c r="C267" s="4">
        <f>Pracownicy!C267</f>
        <v>0</v>
      </c>
      <c r="D267" s="4">
        <f>Pracownicy!D267</f>
        <v>0</v>
      </c>
      <c r="E267" s="4">
        <f>IF(A267="","",SUMIF(Wyniki!$A$2:$A$501,A267,Wyniki!$O$2:$O$501))</f>
        <v>0</v>
      </c>
      <c r="F267" s="4">
        <f>IF(A267="","",COUNTIF(Wyniki!$A$2:$A$501,A267))</f>
        <v>0</v>
      </c>
    </row>
    <row r="268" spans="1:6" x14ac:dyDescent="0.25">
      <c r="A268" s="4">
        <f>Pracownicy!A268</f>
        <v>0</v>
      </c>
      <c r="B268" s="4">
        <f>Pracownicy!B268</f>
        <v>0</v>
      </c>
      <c r="C268" s="4">
        <f>Pracownicy!C268</f>
        <v>0</v>
      </c>
      <c r="D268" s="4">
        <f>Pracownicy!D268</f>
        <v>0</v>
      </c>
      <c r="E268" s="4">
        <f>IF(A268="","",SUMIF(Wyniki!$A$2:$A$501,A268,Wyniki!$O$2:$O$501))</f>
        <v>0</v>
      </c>
      <c r="F268" s="4">
        <f>IF(A268="","",COUNTIF(Wyniki!$A$2:$A$501,A268))</f>
        <v>0</v>
      </c>
    </row>
    <row r="269" spans="1:6" x14ac:dyDescent="0.25">
      <c r="A269" s="4">
        <f>Pracownicy!A269</f>
        <v>0</v>
      </c>
      <c r="B269" s="4">
        <f>Pracownicy!B269</f>
        <v>0</v>
      </c>
      <c r="C269" s="4">
        <f>Pracownicy!C269</f>
        <v>0</v>
      </c>
      <c r="D269" s="4">
        <f>Pracownicy!D269</f>
        <v>0</v>
      </c>
      <c r="E269" s="4">
        <f>IF(A269="","",SUMIF(Wyniki!$A$2:$A$501,A269,Wyniki!$O$2:$O$501))</f>
        <v>0</v>
      </c>
      <c r="F269" s="4">
        <f>IF(A269="","",COUNTIF(Wyniki!$A$2:$A$501,A269))</f>
        <v>0</v>
      </c>
    </row>
    <row r="270" spans="1:6" x14ac:dyDescent="0.25">
      <c r="A270" s="4">
        <f>Pracownicy!A270</f>
        <v>0</v>
      </c>
      <c r="B270" s="4">
        <f>Pracownicy!B270</f>
        <v>0</v>
      </c>
      <c r="C270" s="4">
        <f>Pracownicy!C270</f>
        <v>0</v>
      </c>
      <c r="D270" s="4">
        <f>Pracownicy!D270</f>
        <v>0</v>
      </c>
      <c r="E270" s="4">
        <f>IF(A270="","",SUMIF(Wyniki!$A$2:$A$501,A270,Wyniki!$O$2:$O$501))</f>
        <v>0</v>
      </c>
      <c r="F270" s="4">
        <f>IF(A270="","",COUNTIF(Wyniki!$A$2:$A$501,A270))</f>
        <v>0</v>
      </c>
    </row>
    <row r="271" spans="1:6" x14ac:dyDescent="0.25">
      <c r="A271" s="4">
        <f>Pracownicy!A271</f>
        <v>0</v>
      </c>
      <c r="B271" s="4">
        <f>Pracownicy!B271</f>
        <v>0</v>
      </c>
      <c r="C271" s="4">
        <f>Pracownicy!C271</f>
        <v>0</v>
      </c>
      <c r="D271" s="4">
        <f>Pracownicy!D271</f>
        <v>0</v>
      </c>
      <c r="E271" s="4">
        <f>IF(A271="","",SUMIF(Wyniki!$A$2:$A$501,A271,Wyniki!$O$2:$O$501))</f>
        <v>0</v>
      </c>
      <c r="F271" s="4">
        <f>IF(A271="","",COUNTIF(Wyniki!$A$2:$A$501,A271))</f>
        <v>0</v>
      </c>
    </row>
    <row r="272" spans="1:6" x14ac:dyDescent="0.25">
      <c r="A272" s="4">
        <f>Pracownicy!A272</f>
        <v>0</v>
      </c>
      <c r="B272" s="4">
        <f>Pracownicy!B272</f>
        <v>0</v>
      </c>
      <c r="C272" s="4">
        <f>Pracownicy!C272</f>
        <v>0</v>
      </c>
      <c r="D272" s="4">
        <f>Pracownicy!D272</f>
        <v>0</v>
      </c>
      <c r="E272" s="4">
        <f>IF(A272="","",SUMIF(Wyniki!$A$2:$A$501,A272,Wyniki!$O$2:$O$501))</f>
        <v>0</v>
      </c>
      <c r="F272" s="4">
        <f>IF(A272="","",COUNTIF(Wyniki!$A$2:$A$501,A272))</f>
        <v>0</v>
      </c>
    </row>
    <row r="273" spans="1:6" x14ac:dyDescent="0.25">
      <c r="A273" s="4">
        <f>Pracownicy!A273</f>
        <v>0</v>
      </c>
      <c r="B273" s="4">
        <f>Pracownicy!B273</f>
        <v>0</v>
      </c>
      <c r="C273" s="4">
        <f>Pracownicy!C273</f>
        <v>0</v>
      </c>
      <c r="D273" s="4">
        <f>Pracownicy!D273</f>
        <v>0</v>
      </c>
      <c r="E273" s="4">
        <f>IF(A273="","",SUMIF(Wyniki!$A$2:$A$501,A273,Wyniki!$O$2:$O$501))</f>
        <v>0</v>
      </c>
      <c r="F273" s="4">
        <f>IF(A273="","",COUNTIF(Wyniki!$A$2:$A$501,A273))</f>
        <v>0</v>
      </c>
    </row>
    <row r="274" spans="1:6" x14ac:dyDescent="0.25">
      <c r="A274" s="4">
        <f>Pracownicy!A274</f>
        <v>0</v>
      </c>
      <c r="B274" s="4">
        <f>Pracownicy!B274</f>
        <v>0</v>
      </c>
      <c r="C274" s="4">
        <f>Pracownicy!C274</f>
        <v>0</v>
      </c>
      <c r="D274" s="4">
        <f>Pracownicy!D274</f>
        <v>0</v>
      </c>
      <c r="E274" s="4">
        <f>IF(A274="","",SUMIF(Wyniki!$A$2:$A$501,A274,Wyniki!$O$2:$O$501))</f>
        <v>0</v>
      </c>
      <c r="F274" s="4">
        <f>IF(A274="","",COUNTIF(Wyniki!$A$2:$A$501,A274))</f>
        <v>0</v>
      </c>
    </row>
    <row r="275" spans="1:6" x14ac:dyDescent="0.25">
      <c r="A275" s="4">
        <f>Pracownicy!A275</f>
        <v>0</v>
      </c>
      <c r="B275" s="4">
        <f>Pracownicy!B275</f>
        <v>0</v>
      </c>
      <c r="C275" s="4">
        <f>Pracownicy!C275</f>
        <v>0</v>
      </c>
      <c r="D275" s="4">
        <f>Pracownicy!D275</f>
        <v>0</v>
      </c>
      <c r="E275" s="4">
        <f>IF(A275="","",SUMIF(Wyniki!$A$2:$A$501,A275,Wyniki!$O$2:$O$501))</f>
        <v>0</v>
      </c>
      <c r="F275" s="4">
        <f>IF(A275="","",COUNTIF(Wyniki!$A$2:$A$501,A275))</f>
        <v>0</v>
      </c>
    </row>
    <row r="276" spans="1:6" x14ac:dyDescent="0.25">
      <c r="A276" s="4">
        <f>Pracownicy!A276</f>
        <v>0</v>
      </c>
      <c r="B276" s="4">
        <f>Pracownicy!B276</f>
        <v>0</v>
      </c>
      <c r="C276" s="4">
        <f>Pracownicy!C276</f>
        <v>0</v>
      </c>
      <c r="D276" s="4">
        <f>Pracownicy!D276</f>
        <v>0</v>
      </c>
      <c r="E276" s="4">
        <f>IF(A276="","",SUMIF(Wyniki!$A$2:$A$501,A276,Wyniki!$O$2:$O$501))</f>
        <v>0</v>
      </c>
      <c r="F276" s="4">
        <f>IF(A276="","",COUNTIF(Wyniki!$A$2:$A$501,A276))</f>
        <v>0</v>
      </c>
    </row>
    <row r="277" spans="1:6" x14ac:dyDescent="0.25">
      <c r="A277" s="4">
        <f>Pracownicy!A277</f>
        <v>0</v>
      </c>
      <c r="B277" s="4">
        <f>Pracownicy!B277</f>
        <v>0</v>
      </c>
      <c r="C277" s="4">
        <f>Pracownicy!C277</f>
        <v>0</v>
      </c>
      <c r="D277" s="4">
        <f>Pracownicy!D277</f>
        <v>0</v>
      </c>
      <c r="E277" s="4">
        <f>IF(A277="","",SUMIF(Wyniki!$A$2:$A$501,A277,Wyniki!$O$2:$O$501))</f>
        <v>0</v>
      </c>
      <c r="F277" s="4">
        <f>IF(A277="","",COUNTIF(Wyniki!$A$2:$A$501,A277))</f>
        <v>0</v>
      </c>
    </row>
    <row r="278" spans="1:6" x14ac:dyDescent="0.25">
      <c r="A278" s="4">
        <f>Pracownicy!A278</f>
        <v>0</v>
      </c>
      <c r="B278" s="4">
        <f>Pracownicy!B278</f>
        <v>0</v>
      </c>
      <c r="C278" s="4">
        <f>Pracownicy!C278</f>
        <v>0</v>
      </c>
      <c r="D278" s="4">
        <f>Pracownicy!D278</f>
        <v>0</v>
      </c>
      <c r="E278" s="4">
        <f>IF(A278="","",SUMIF(Wyniki!$A$2:$A$501,A278,Wyniki!$O$2:$O$501))</f>
        <v>0</v>
      </c>
      <c r="F278" s="4">
        <f>IF(A278="","",COUNTIF(Wyniki!$A$2:$A$501,A278))</f>
        <v>0</v>
      </c>
    </row>
    <row r="279" spans="1:6" x14ac:dyDescent="0.25">
      <c r="A279" s="4">
        <f>Pracownicy!A279</f>
        <v>0</v>
      </c>
      <c r="B279" s="4">
        <f>Pracownicy!B279</f>
        <v>0</v>
      </c>
      <c r="C279" s="4">
        <f>Pracownicy!C279</f>
        <v>0</v>
      </c>
      <c r="D279" s="4">
        <f>Pracownicy!D279</f>
        <v>0</v>
      </c>
      <c r="E279" s="4">
        <f>IF(A279="","",SUMIF(Wyniki!$A$2:$A$501,A279,Wyniki!$O$2:$O$501))</f>
        <v>0</v>
      </c>
      <c r="F279" s="4">
        <f>IF(A279="","",COUNTIF(Wyniki!$A$2:$A$501,A279))</f>
        <v>0</v>
      </c>
    </row>
    <row r="280" spans="1:6" x14ac:dyDescent="0.25">
      <c r="A280" s="4">
        <f>Pracownicy!A280</f>
        <v>0</v>
      </c>
      <c r="B280" s="4">
        <f>Pracownicy!B280</f>
        <v>0</v>
      </c>
      <c r="C280" s="4">
        <f>Pracownicy!C280</f>
        <v>0</v>
      </c>
      <c r="D280" s="4">
        <f>Pracownicy!D280</f>
        <v>0</v>
      </c>
      <c r="E280" s="4">
        <f>IF(A280="","",SUMIF(Wyniki!$A$2:$A$501,A280,Wyniki!$O$2:$O$501))</f>
        <v>0</v>
      </c>
      <c r="F280" s="4">
        <f>IF(A280="","",COUNTIF(Wyniki!$A$2:$A$501,A280))</f>
        <v>0</v>
      </c>
    </row>
    <row r="281" spans="1:6" x14ac:dyDescent="0.25">
      <c r="A281" s="4">
        <f>Pracownicy!A281</f>
        <v>0</v>
      </c>
      <c r="B281" s="4">
        <f>Pracownicy!B281</f>
        <v>0</v>
      </c>
      <c r="C281" s="4">
        <f>Pracownicy!C281</f>
        <v>0</v>
      </c>
      <c r="D281" s="4">
        <f>Pracownicy!D281</f>
        <v>0</v>
      </c>
      <c r="E281" s="4">
        <f>IF(A281="","",SUMIF(Wyniki!$A$2:$A$501,A281,Wyniki!$O$2:$O$501))</f>
        <v>0</v>
      </c>
      <c r="F281" s="4">
        <f>IF(A281="","",COUNTIF(Wyniki!$A$2:$A$501,A281))</f>
        <v>0</v>
      </c>
    </row>
    <row r="282" spans="1:6" x14ac:dyDescent="0.25">
      <c r="A282" s="4">
        <f>Pracownicy!A282</f>
        <v>0</v>
      </c>
      <c r="B282" s="4">
        <f>Pracownicy!B282</f>
        <v>0</v>
      </c>
      <c r="C282" s="4">
        <f>Pracownicy!C282</f>
        <v>0</v>
      </c>
      <c r="D282" s="4">
        <f>Pracownicy!D282</f>
        <v>0</v>
      </c>
      <c r="E282" s="4">
        <f>IF(A282="","",SUMIF(Wyniki!$A$2:$A$501,A282,Wyniki!$O$2:$O$501))</f>
        <v>0</v>
      </c>
      <c r="F282" s="4">
        <f>IF(A282="","",COUNTIF(Wyniki!$A$2:$A$501,A282))</f>
        <v>0</v>
      </c>
    </row>
    <row r="283" spans="1:6" x14ac:dyDescent="0.25">
      <c r="A283" s="4">
        <f>Pracownicy!A283</f>
        <v>0</v>
      </c>
      <c r="B283" s="4">
        <f>Pracownicy!B283</f>
        <v>0</v>
      </c>
      <c r="C283" s="4">
        <f>Pracownicy!C283</f>
        <v>0</v>
      </c>
      <c r="D283" s="4">
        <f>Pracownicy!D283</f>
        <v>0</v>
      </c>
      <c r="E283" s="4">
        <f>IF(A283="","",SUMIF(Wyniki!$A$2:$A$501,A283,Wyniki!$O$2:$O$501))</f>
        <v>0</v>
      </c>
      <c r="F283" s="4">
        <f>IF(A283="","",COUNTIF(Wyniki!$A$2:$A$501,A283))</f>
        <v>0</v>
      </c>
    </row>
    <row r="284" spans="1:6" x14ac:dyDescent="0.25">
      <c r="A284" s="4">
        <f>Pracownicy!A284</f>
        <v>0</v>
      </c>
      <c r="B284" s="4">
        <f>Pracownicy!B284</f>
        <v>0</v>
      </c>
      <c r="C284" s="4">
        <f>Pracownicy!C284</f>
        <v>0</v>
      </c>
      <c r="D284" s="4">
        <f>Pracownicy!D284</f>
        <v>0</v>
      </c>
      <c r="E284" s="4">
        <f>IF(A284="","",SUMIF(Wyniki!$A$2:$A$501,A284,Wyniki!$O$2:$O$501))</f>
        <v>0</v>
      </c>
      <c r="F284" s="4">
        <f>IF(A284="","",COUNTIF(Wyniki!$A$2:$A$501,A284))</f>
        <v>0</v>
      </c>
    </row>
    <row r="285" spans="1:6" x14ac:dyDescent="0.25">
      <c r="A285" s="4">
        <f>Pracownicy!A285</f>
        <v>0</v>
      </c>
      <c r="B285" s="4">
        <f>Pracownicy!B285</f>
        <v>0</v>
      </c>
      <c r="C285" s="4">
        <f>Pracownicy!C285</f>
        <v>0</v>
      </c>
      <c r="D285" s="4">
        <f>Pracownicy!D285</f>
        <v>0</v>
      </c>
      <c r="E285" s="4">
        <f>IF(A285="","",SUMIF(Wyniki!$A$2:$A$501,A285,Wyniki!$O$2:$O$501))</f>
        <v>0</v>
      </c>
      <c r="F285" s="4">
        <f>IF(A285="","",COUNTIF(Wyniki!$A$2:$A$501,A285))</f>
        <v>0</v>
      </c>
    </row>
    <row r="286" spans="1:6" x14ac:dyDescent="0.25">
      <c r="A286" s="4">
        <f>Pracownicy!A286</f>
        <v>0</v>
      </c>
      <c r="B286" s="4">
        <f>Pracownicy!B286</f>
        <v>0</v>
      </c>
      <c r="C286" s="4">
        <f>Pracownicy!C286</f>
        <v>0</v>
      </c>
      <c r="D286" s="4">
        <f>Pracownicy!D286</f>
        <v>0</v>
      </c>
      <c r="E286" s="4">
        <f>IF(A286="","",SUMIF(Wyniki!$A$2:$A$501,A286,Wyniki!$O$2:$O$501))</f>
        <v>0</v>
      </c>
      <c r="F286" s="4">
        <f>IF(A286="","",COUNTIF(Wyniki!$A$2:$A$501,A286))</f>
        <v>0</v>
      </c>
    </row>
    <row r="287" spans="1:6" x14ac:dyDescent="0.25">
      <c r="A287" s="4">
        <f>Pracownicy!A287</f>
        <v>0</v>
      </c>
      <c r="B287" s="4">
        <f>Pracownicy!B287</f>
        <v>0</v>
      </c>
      <c r="C287" s="4">
        <f>Pracownicy!C287</f>
        <v>0</v>
      </c>
      <c r="D287" s="4">
        <f>Pracownicy!D287</f>
        <v>0</v>
      </c>
      <c r="E287" s="4">
        <f>IF(A287="","",SUMIF(Wyniki!$A$2:$A$501,A287,Wyniki!$O$2:$O$501))</f>
        <v>0</v>
      </c>
      <c r="F287" s="4">
        <f>IF(A287="","",COUNTIF(Wyniki!$A$2:$A$501,A287))</f>
        <v>0</v>
      </c>
    </row>
    <row r="288" spans="1:6" x14ac:dyDescent="0.25">
      <c r="A288" s="4">
        <f>Pracownicy!A288</f>
        <v>0</v>
      </c>
      <c r="B288" s="4">
        <f>Pracownicy!B288</f>
        <v>0</v>
      </c>
      <c r="C288" s="4">
        <f>Pracownicy!C288</f>
        <v>0</v>
      </c>
      <c r="D288" s="4">
        <f>Pracownicy!D288</f>
        <v>0</v>
      </c>
      <c r="E288" s="4">
        <f>IF(A288="","",SUMIF(Wyniki!$A$2:$A$501,A288,Wyniki!$O$2:$O$501))</f>
        <v>0</v>
      </c>
      <c r="F288" s="4">
        <f>IF(A288="","",COUNTIF(Wyniki!$A$2:$A$501,A288))</f>
        <v>0</v>
      </c>
    </row>
    <row r="289" spans="1:6" x14ac:dyDescent="0.25">
      <c r="A289" s="4">
        <f>Pracownicy!A289</f>
        <v>0</v>
      </c>
      <c r="B289" s="4">
        <f>Pracownicy!B289</f>
        <v>0</v>
      </c>
      <c r="C289" s="4">
        <f>Pracownicy!C289</f>
        <v>0</v>
      </c>
      <c r="D289" s="4">
        <f>Pracownicy!D289</f>
        <v>0</v>
      </c>
      <c r="E289" s="4">
        <f>IF(A289="","",SUMIF(Wyniki!$A$2:$A$501,A289,Wyniki!$O$2:$O$501))</f>
        <v>0</v>
      </c>
      <c r="F289" s="4">
        <f>IF(A289="","",COUNTIF(Wyniki!$A$2:$A$501,A289))</f>
        <v>0</v>
      </c>
    </row>
    <row r="290" spans="1:6" x14ac:dyDescent="0.25">
      <c r="A290" s="4">
        <f>Pracownicy!A290</f>
        <v>0</v>
      </c>
      <c r="B290" s="4">
        <f>Pracownicy!B290</f>
        <v>0</v>
      </c>
      <c r="C290" s="4">
        <f>Pracownicy!C290</f>
        <v>0</v>
      </c>
      <c r="D290" s="4">
        <f>Pracownicy!D290</f>
        <v>0</v>
      </c>
      <c r="E290" s="4">
        <f>IF(A290="","",SUMIF(Wyniki!$A$2:$A$501,A290,Wyniki!$O$2:$O$501))</f>
        <v>0</v>
      </c>
      <c r="F290" s="4">
        <f>IF(A290="","",COUNTIF(Wyniki!$A$2:$A$501,A290))</f>
        <v>0</v>
      </c>
    </row>
    <row r="291" spans="1:6" x14ac:dyDescent="0.25">
      <c r="A291" s="4">
        <f>Pracownicy!A291</f>
        <v>0</v>
      </c>
      <c r="B291" s="4">
        <f>Pracownicy!B291</f>
        <v>0</v>
      </c>
      <c r="C291" s="4">
        <f>Pracownicy!C291</f>
        <v>0</v>
      </c>
      <c r="D291" s="4">
        <f>Pracownicy!D291</f>
        <v>0</v>
      </c>
      <c r="E291" s="4">
        <f>IF(A291="","",SUMIF(Wyniki!$A$2:$A$501,A291,Wyniki!$O$2:$O$501))</f>
        <v>0</v>
      </c>
      <c r="F291" s="4">
        <f>IF(A291="","",COUNTIF(Wyniki!$A$2:$A$501,A291))</f>
        <v>0</v>
      </c>
    </row>
    <row r="292" spans="1:6" x14ac:dyDescent="0.25">
      <c r="A292" s="4">
        <f>Pracownicy!A292</f>
        <v>0</v>
      </c>
      <c r="B292" s="4">
        <f>Pracownicy!B292</f>
        <v>0</v>
      </c>
      <c r="C292" s="4">
        <f>Pracownicy!C292</f>
        <v>0</v>
      </c>
      <c r="D292" s="4">
        <f>Pracownicy!D292</f>
        <v>0</v>
      </c>
      <c r="E292" s="4">
        <f>IF(A292="","",SUMIF(Wyniki!$A$2:$A$501,A292,Wyniki!$O$2:$O$501))</f>
        <v>0</v>
      </c>
      <c r="F292" s="4">
        <f>IF(A292="","",COUNTIF(Wyniki!$A$2:$A$501,A292))</f>
        <v>0</v>
      </c>
    </row>
    <row r="293" spans="1:6" x14ac:dyDescent="0.25">
      <c r="A293" s="4">
        <f>Pracownicy!A293</f>
        <v>0</v>
      </c>
      <c r="B293" s="4">
        <f>Pracownicy!B293</f>
        <v>0</v>
      </c>
      <c r="C293" s="4">
        <f>Pracownicy!C293</f>
        <v>0</v>
      </c>
      <c r="D293" s="4">
        <f>Pracownicy!D293</f>
        <v>0</v>
      </c>
      <c r="E293" s="4">
        <f>IF(A293="","",SUMIF(Wyniki!$A$2:$A$501,A293,Wyniki!$O$2:$O$501))</f>
        <v>0</v>
      </c>
      <c r="F293" s="4">
        <f>IF(A293="","",COUNTIF(Wyniki!$A$2:$A$501,A293))</f>
        <v>0</v>
      </c>
    </row>
    <row r="294" spans="1:6" x14ac:dyDescent="0.25">
      <c r="A294" s="4">
        <f>Pracownicy!A294</f>
        <v>0</v>
      </c>
      <c r="B294" s="4">
        <f>Pracownicy!B294</f>
        <v>0</v>
      </c>
      <c r="C294" s="4">
        <f>Pracownicy!C294</f>
        <v>0</v>
      </c>
      <c r="D294" s="4">
        <f>Pracownicy!D294</f>
        <v>0</v>
      </c>
      <c r="E294" s="4">
        <f>IF(A294="","",SUMIF(Wyniki!$A$2:$A$501,A294,Wyniki!$O$2:$O$501))</f>
        <v>0</v>
      </c>
      <c r="F294" s="4">
        <f>IF(A294="","",COUNTIF(Wyniki!$A$2:$A$501,A294))</f>
        <v>0</v>
      </c>
    </row>
    <row r="295" spans="1:6" x14ac:dyDescent="0.25">
      <c r="A295" s="4">
        <f>Pracownicy!A295</f>
        <v>0</v>
      </c>
      <c r="B295" s="4">
        <f>Pracownicy!B295</f>
        <v>0</v>
      </c>
      <c r="C295" s="4">
        <f>Pracownicy!C295</f>
        <v>0</v>
      </c>
      <c r="D295" s="4">
        <f>Pracownicy!D295</f>
        <v>0</v>
      </c>
      <c r="E295" s="4">
        <f>IF(A295="","",SUMIF(Wyniki!$A$2:$A$501,A295,Wyniki!$O$2:$O$501))</f>
        <v>0</v>
      </c>
      <c r="F295" s="4">
        <f>IF(A295="","",COUNTIF(Wyniki!$A$2:$A$501,A295))</f>
        <v>0</v>
      </c>
    </row>
    <row r="296" spans="1:6" x14ac:dyDescent="0.25">
      <c r="A296" s="4">
        <f>Pracownicy!A296</f>
        <v>0</v>
      </c>
      <c r="B296" s="4">
        <f>Pracownicy!B296</f>
        <v>0</v>
      </c>
      <c r="C296" s="4">
        <f>Pracownicy!C296</f>
        <v>0</v>
      </c>
      <c r="D296" s="4">
        <f>Pracownicy!D296</f>
        <v>0</v>
      </c>
      <c r="E296" s="4">
        <f>IF(A296="","",SUMIF(Wyniki!$A$2:$A$501,A296,Wyniki!$O$2:$O$501))</f>
        <v>0</v>
      </c>
      <c r="F296" s="4">
        <f>IF(A296="","",COUNTIF(Wyniki!$A$2:$A$501,A296))</f>
        <v>0</v>
      </c>
    </row>
    <row r="297" spans="1:6" x14ac:dyDescent="0.25">
      <c r="A297" s="4">
        <f>Pracownicy!A297</f>
        <v>0</v>
      </c>
      <c r="B297" s="4">
        <f>Pracownicy!B297</f>
        <v>0</v>
      </c>
      <c r="C297" s="4">
        <f>Pracownicy!C297</f>
        <v>0</v>
      </c>
      <c r="D297" s="4">
        <f>Pracownicy!D297</f>
        <v>0</v>
      </c>
      <c r="E297" s="4">
        <f>IF(A297="","",SUMIF(Wyniki!$A$2:$A$501,A297,Wyniki!$O$2:$O$501))</f>
        <v>0</v>
      </c>
      <c r="F297" s="4">
        <f>IF(A297="","",COUNTIF(Wyniki!$A$2:$A$501,A297))</f>
        <v>0</v>
      </c>
    </row>
    <row r="298" spans="1:6" x14ac:dyDescent="0.25">
      <c r="A298" s="4">
        <f>Pracownicy!A298</f>
        <v>0</v>
      </c>
      <c r="B298" s="4">
        <f>Pracownicy!B298</f>
        <v>0</v>
      </c>
      <c r="C298" s="4">
        <f>Pracownicy!C298</f>
        <v>0</v>
      </c>
      <c r="D298" s="4">
        <f>Pracownicy!D298</f>
        <v>0</v>
      </c>
      <c r="E298" s="4">
        <f>IF(A298="","",SUMIF(Wyniki!$A$2:$A$501,A298,Wyniki!$O$2:$O$501))</f>
        <v>0</v>
      </c>
      <c r="F298" s="4">
        <f>IF(A298="","",COUNTIF(Wyniki!$A$2:$A$501,A298))</f>
        <v>0</v>
      </c>
    </row>
    <row r="299" spans="1:6" x14ac:dyDescent="0.25">
      <c r="A299" s="4">
        <f>Pracownicy!A299</f>
        <v>0</v>
      </c>
      <c r="B299" s="4">
        <f>Pracownicy!B299</f>
        <v>0</v>
      </c>
      <c r="C299" s="4">
        <f>Pracownicy!C299</f>
        <v>0</v>
      </c>
      <c r="D299" s="4">
        <f>Pracownicy!D299</f>
        <v>0</v>
      </c>
      <c r="E299" s="4">
        <f>IF(A299="","",SUMIF(Wyniki!$A$2:$A$501,A299,Wyniki!$O$2:$O$501))</f>
        <v>0</v>
      </c>
      <c r="F299" s="4">
        <f>IF(A299="","",COUNTIF(Wyniki!$A$2:$A$501,A299))</f>
        <v>0</v>
      </c>
    </row>
    <row r="300" spans="1:6" x14ac:dyDescent="0.25">
      <c r="A300" s="4">
        <f>Pracownicy!A300</f>
        <v>0</v>
      </c>
      <c r="B300" s="4">
        <f>Pracownicy!B300</f>
        <v>0</v>
      </c>
      <c r="C300" s="4">
        <f>Pracownicy!C300</f>
        <v>0</v>
      </c>
      <c r="D300" s="4">
        <f>Pracownicy!D300</f>
        <v>0</v>
      </c>
      <c r="E300" s="4">
        <f>IF(A300="","",SUMIF(Wyniki!$A$2:$A$501,A300,Wyniki!$O$2:$O$501))</f>
        <v>0</v>
      </c>
      <c r="F300" s="4">
        <f>IF(A300="","",COUNTIF(Wyniki!$A$2:$A$501,A300))</f>
        <v>0</v>
      </c>
    </row>
    <row r="301" spans="1:6" x14ac:dyDescent="0.25">
      <c r="A301" s="4">
        <f>Pracownicy!A301</f>
        <v>0</v>
      </c>
      <c r="B301" s="4">
        <f>Pracownicy!B301</f>
        <v>0</v>
      </c>
      <c r="C301" s="4">
        <f>Pracownicy!C301</f>
        <v>0</v>
      </c>
      <c r="D301" s="4">
        <f>Pracownicy!D301</f>
        <v>0</v>
      </c>
      <c r="E301" s="4">
        <f>IF(A301="","",SUMIF(Wyniki!$A$2:$A$501,A301,Wyniki!$O$2:$O$501))</f>
        <v>0</v>
      </c>
      <c r="F301" s="4">
        <f>IF(A301="","",COUNTIF(Wyniki!$A$2:$A$501,A301))</f>
        <v>0</v>
      </c>
    </row>
    <row r="302" spans="1:6" x14ac:dyDescent="0.25">
      <c r="A302" s="4">
        <f>Pracownicy!A302</f>
        <v>0</v>
      </c>
      <c r="B302" s="4">
        <f>Pracownicy!B302</f>
        <v>0</v>
      </c>
      <c r="C302" s="4">
        <f>Pracownicy!C302</f>
        <v>0</v>
      </c>
      <c r="D302" s="4">
        <f>Pracownicy!D302</f>
        <v>0</v>
      </c>
      <c r="E302" s="4">
        <f>IF(A302="","",SUMIF(Wyniki!$A$2:$A$501,A302,Wyniki!$O$2:$O$501))</f>
        <v>0</v>
      </c>
      <c r="F302" s="4">
        <f>IF(A302="","",COUNTIF(Wyniki!$A$2:$A$501,A302))</f>
        <v>0</v>
      </c>
    </row>
    <row r="303" spans="1:6" x14ac:dyDescent="0.25">
      <c r="A303" s="4">
        <f>Pracownicy!A303</f>
        <v>0</v>
      </c>
      <c r="B303" s="4">
        <f>Pracownicy!B303</f>
        <v>0</v>
      </c>
      <c r="C303" s="4">
        <f>Pracownicy!C303</f>
        <v>0</v>
      </c>
      <c r="D303" s="4">
        <f>Pracownicy!D303</f>
        <v>0</v>
      </c>
      <c r="E303" s="4">
        <f>IF(A303="","",SUMIF(Wyniki!$A$2:$A$501,A303,Wyniki!$O$2:$O$501))</f>
        <v>0</v>
      </c>
      <c r="F303" s="4">
        <f>IF(A303="","",COUNTIF(Wyniki!$A$2:$A$501,A303))</f>
        <v>0</v>
      </c>
    </row>
    <row r="304" spans="1:6" x14ac:dyDescent="0.25">
      <c r="A304" s="4">
        <f>Pracownicy!A304</f>
        <v>0</v>
      </c>
      <c r="B304" s="4">
        <f>Pracownicy!B304</f>
        <v>0</v>
      </c>
      <c r="C304" s="4">
        <f>Pracownicy!C304</f>
        <v>0</v>
      </c>
      <c r="D304" s="4">
        <f>Pracownicy!D304</f>
        <v>0</v>
      </c>
      <c r="E304" s="4">
        <f>IF(A304="","",SUMIF(Wyniki!$A$2:$A$501,A304,Wyniki!$O$2:$O$501))</f>
        <v>0</v>
      </c>
      <c r="F304" s="4">
        <f>IF(A304="","",COUNTIF(Wyniki!$A$2:$A$501,A304))</f>
        <v>0</v>
      </c>
    </row>
    <row r="305" spans="1:6" x14ac:dyDescent="0.25">
      <c r="A305" s="4">
        <f>Pracownicy!A305</f>
        <v>0</v>
      </c>
      <c r="B305" s="4">
        <f>Pracownicy!B305</f>
        <v>0</v>
      </c>
      <c r="C305" s="4">
        <f>Pracownicy!C305</f>
        <v>0</v>
      </c>
      <c r="D305" s="4">
        <f>Pracownicy!D305</f>
        <v>0</v>
      </c>
      <c r="E305" s="4">
        <f>IF(A305="","",SUMIF(Wyniki!$A$2:$A$501,A305,Wyniki!$O$2:$O$501))</f>
        <v>0</v>
      </c>
      <c r="F305" s="4">
        <f>IF(A305="","",COUNTIF(Wyniki!$A$2:$A$501,A305))</f>
        <v>0</v>
      </c>
    </row>
    <row r="306" spans="1:6" x14ac:dyDescent="0.25">
      <c r="A306" s="4">
        <f>Pracownicy!A306</f>
        <v>0</v>
      </c>
      <c r="B306" s="4">
        <f>Pracownicy!B306</f>
        <v>0</v>
      </c>
      <c r="C306" s="4">
        <f>Pracownicy!C306</f>
        <v>0</v>
      </c>
      <c r="D306" s="4">
        <f>Pracownicy!D306</f>
        <v>0</v>
      </c>
      <c r="E306" s="4">
        <f>IF(A306="","",SUMIF(Wyniki!$A$2:$A$501,A306,Wyniki!$O$2:$O$501))</f>
        <v>0</v>
      </c>
      <c r="F306" s="4">
        <f>IF(A306="","",COUNTIF(Wyniki!$A$2:$A$501,A306))</f>
        <v>0</v>
      </c>
    </row>
    <row r="307" spans="1:6" x14ac:dyDescent="0.25">
      <c r="A307" s="4">
        <f>Pracownicy!A307</f>
        <v>0</v>
      </c>
      <c r="B307" s="4">
        <f>Pracownicy!B307</f>
        <v>0</v>
      </c>
      <c r="C307" s="4">
        <f>Pracownicy!C307</f>
        <v>0</v>
      </c>
      <c r="D307" s="4">
        <f>Pracownicy!D307</f>
        <v>0</v>
      </c>
      <c r="E307" s="4">
        <f>IF(A307="","",SUMIF(Wyniki!$A$2:$A$501,A307,Wyniki!$O$2:$O$501))</f>
        <v>0</v>
      </c>
      <c r="F307" s="4">
        <f>IF(A307="","",COUNTIF(Wyniki!$A$2:$A$501,A307))</f>
        <v>0</v>
      </c>
    </row>
    <row r="308" spans="1:6" x14ac:dyDescent="0.25">
      <c r="A308" s="4">
        <f>Pracownicy!A308</f>
        <v>0</v>
      </c>
      <c r="B308" s="4">
        <f>Pracownicy!B308</f>
        <v>0</v>
      </c>
      <c r="C308" s="4">
        <f>Pracownicy!C308</f>
        <v>0</v>
      </c>
      <c r="D308" s="4">
        <f>Pracownicy!D308</f>
        <v>0</v>
      </c>
      <c r="E308" s="4">
        <f>IF(A308="","",SUMIF(Wyniki!$A$2:$A$501,A308,Wyniki!$O$2:$O$501))</f>
        <v>0</v>
      </c>
      <c r="F308" s="4">
        <f>IF(A308="","",COUNTIF(Wyniki!$A$2:$A$501,A308))</f>
        <v>0</v>
      </c>
    </row>
    <row r="309" spans="1:6" x14ac:dyDescent="0.25">
      <c r="A309" s="4">
        <f>Pracownicy!A309</f>
        <v>0</v>
      </c>
      <c r="B309" s="4">
        <f>Pracownicy!B309</f>
        <v>0</v>
      </c>
      <c r="C309" s="4">
        <f>Pracownicy!C309</f>
        <v>0</v>
      </c>
      <c r="D309" s="4">
        <f>Pracownicy!D309</f>
        <v>0</v>
      </c>
      <c r="E309" s="4">
        <f>IF(A309="","",SUMIF(Wyniki!$A$2:$A$501,A309,Wyniki!$O$2:$O$501))</f>
        <v>0</v>
      </c>
      <c r="F309" s="4">
        <f>IF(A309="","",COUNTIF(Wyniki!$A$2:$A$501,A309))</f>
        <v>0</v>
      </c>
    </row>
    <row r="310" spans="1:6" x14ac:dyDescent="0.25">
      <c r="A310" s="4">
        <f>Pracownicy!A310</f>
        <v>0</v>
      </c>
      <c r="B310" s="4">
        <f>Pracownicy!B310</f>
        <v>0</v>
      </c>
      <c r="C310" s="4">
        <f>Pracownicy!C310</f>
        <v>0</v>
      </c>
      <c r="D310" s="4">
        <f>Pracownicy!D310</f>
        <v>0</v>
      </c>
      <c r="E310" s="4">
        <f>IF(A310="","",SUMIF(Wyniki!$A$2:$A$501,A310,Wyniki!$O$2:$O$501))</f>
        <v>0</v>
      </c>
      <c r="F310" s="4">
        <f>IF(A310="","",COUNTIF(Wyniki!$A$2:$A$501,A310))</f>
        <v>0</v>
      </c>
    </row>
    <row r="311" spans="1:6" x14ac:dyDescent="0.25">
      <c r="A311" s="4">
        <f>Pracownicy!A311</f>
        <v>0</v>
      </c>
      <c r="B311" s="4">
        <f>Pracownicy!B311</f>
        <v>0</v>
      </c>
      <c r="C311" s="4">
        <f>Pracownicy!C311</f>
        <v>0</v>
      </c>
      <c r="D311" s="4">
        <f>Pracownicy!D311</f>
        <v>0</v>
      </c>
      <c r="E311" s="4">
        <f>IF(A311="","",SUMIF(Wyniki!$A$2:$A$501,A311,Wyniki!$O$2:$O$501))</f>
        <v>0</v>
      </c>
      <c r="F311" s="4">
        <f>IF(A311="","",COUNTIF(Wyniki!$A$2:$A$501,A311))</f>
        <v>0</v>
      </c>
    </row>
    <row r="312" spans="1:6" x14ac:dyDescent="0.25">
      <c r="A312" s="4">
        <f>Pracownicy!A312</f>
        <v>0</v>
      </c>
      <c r="B312" s="4">
        <f>Pracownicy!B312</f>
        <v>0</v>
      </c>
      <c r="C312" s="4">
        <f>Pracownicy!C312</f>
        <v>0</v>
      </c>
      <c r="D312" s="4">
        <f>Pracownicy!D312</f>
        <v>0</v>
      </c>
      <c r="E312" s="4">
        <f>IF(A312="","",SUMIF(Wyniki!$A$2:$A$501,A312,Wyniki!$O$2:$O$501))</f>
        <v>0</v>
      </c>
      <c r="F312" s="4">
        <f>IF(A312="","",COUNTIF(Wyniki!$A$2:$A$501,A312))</f>
        <v>0</v>
      </c>
    </row>
    <row r="313" spans="1:6" x14ac:dyDescent="0.25">
      <c r="A313" s="4">
        <f>Pracownicy!A313</f>
        <v>0</v>
      </c>
      <c r="B313" s="4">
        <f>Pracownicy!B313</f>
        <v>0</v>
      </c>
      <c r="C313" s="4">
        <f>Pracownicy!C313</f>
        <v>0</v>
      </c>
      <c r="D313" s="4">
        <f>Pracownicy!D313</f>
        <v>0</v>
      </c>
      <c r="E313" s="4">
        <f>IF(A313="","",SUMIF(Wyniki!$A$2:$A$501,A313,Wyniki!$O$2:$O$501))</f>
        <v>0</v>
      </c>
      <c r="F313" s="4">
        <f>IF(A313="","",COUNTIF(Wyniki!$A$2:$A$501,A313))</f>
        <v>0</v>
      </c>
    </row>
    <row r="314" spans="1:6" x14ac:dyDescent="0.25">
      <c r="A314" s="4">
        <f>Pracownicy!A314</f>
        <v>0</v>
      </c>
      <c r="B314" s="4">
        <f>Pracownicy!B314</f>
        <v>0</v>
      </c>
      <c r="C314" s="4">
        <f>Pracownicy!C314</f>
        <v>0</v>
      </c>
      <c r="D314" s="4">
        <f>Pracownicy!D314</f>
        <v>0</v>
      </c>
      <c r="E314" s="4">
        <f>IF(A314="","",SUMIF(Wyniki!$A$2:$A$501,A314,Wyniki!$O$2:$O$501))</f>
        <v>0</v>
      </c>
      <c r="F314" s="4">
        <f>IF(A314="","",COUNTIF(Wyniki!$A$2:$A$501,A314))</f>
        <v>0</v>
      </c>
    </row>
    <row r="315" spans="1:6" x14ac:dyDescent="0.25">
      <c r="A315" s="4">
        <f>Pracownicy!A315</f>
        <v>0</v>
      </c>
      <c r="B315" s="4">
        <f>Pracownicy!B315</f>
        <v>0</v>
      </c>
      <c r="C315" s="4">
        <f>Pracownicy!C315</f>
        <v>0</v>
      </c>
      <c r="D315" s="4">
        <f>Pracownicy!D315</f>
        <v>0</v>
      </c>
      <c r="E315" s="4">
        <f>IF(A315="","",SUMIF(Wyniki!$A$2:$A$501,A315,Wyniki!$O$2:$O$501))</f>
        <v>0</v>
      </c>
      <c r="F315" s="4">
        <f>IF(A315="","",COUNTIF(Wyniki!$A$2:$A$501,A315))</f>
        <v>0</v>
      </c>
    </row>
    <row r="316" spans="1:6" x14ac:dyDescent="0.25">
      <c r="A316" s="4">
        <f>Pracownicy!A316</f>
        <v>0</v>
      </c>
      <c r="B316" s="4">
        <f>Pracownicy!B316</f>
        <v>0</v>
      </c>
      <c r="C316" s="4">
        <f>Pracownicy!C316</f>
        <v>0</v>
      </c>
      <c r="D316" s="4">
        <f>Pracownicy!D316</f>
        <v>0</v>
      </c>
      <c r="E316" s="4">
        <f>IF(A316="","",SUMIF(Wyniki!$A$2:$A$501,A316,Wyniki!$O$2:$O$501))</f>
        <v>0</v>
      </c>
      <c r="F316" s="4">
        <f>IF(A316="","",COUNTIF(Wyniki!$A$2:$A$501,A316))</f>
        <v>0</v>
      </c>
    </row>
    <row r="317" spans="1:6" x14ac:dyDescent="0.25">
      <c r="A317" s="4">
        <f>Pracownicy!A317</f>
        <v>0</v>
      </c>
      <c r="B317" s="4">
        <f>Pracownicy!B317</f>
        <v>0</v>
      </c>
      <c r="C317" s="4">
        <f>Pracownicy!C317</f>
        <v>0</v>
      </c>
      <c r="D317" s="4">
        <f>Pracownicy!D317</f>
        <v>0</v>
      </c>
      <c r="E317" s="4">
        <f>IF(A317="","",SUMIF(Wyniki!$A$2:$A$501,A317,Wyniki!$O$2:$O$501))</f>
        <v>0</v>
      </c>
      <c r="F317" s="4">
        <f>IF(A317="","",COUNTIF(Wyniki!$A$2:$A$501,A317))</f>
        <v>0</v>
      </c>
    </row>
    <row r="318" spans="1:6" x14ac:dyDescent="0.25">
      <c r="A318" s="4">
        <f>Pracownicy!A318</f>
        <v>0</v>
      </c>
      <c r="B318" s="4">
        <f>Pracownicy!B318</f>
        <v>0</v>
      </c>
      <c r="C318" s="4">
        <f>Pracownicy!C318</f>
        <v>0</v>
      </c>
      <c r="D318" s="4">
        <f>Pracownicy!D318</f>
        <v>0</v>
      </c>
      <c r="E318" s="4">
        <f>IF(A318="","",SUMIF(Wyniki!$A$2:$A$501,A318,Wyniki!$O$2:$O$501))</f>
        <v>0</v>
      </c>
      <c r="F318" s="4">
        <f>IF(A318="","",COUNTIF(Wyniki!$A$2:$A$501,A318))</f>
        <v>0</v>
      </c>
    </row>
    <row r="319" spans="1:6" x14ac:dyDescent="0.25">
      <c r="A319" s="4">
        <f>Pracownicy!A319</f>
        <v>0</v>
      </c>
      <c r="B319" s="4">
        <f>Pracownicy!B319</f>
        <v>0</v>
      </c>
      <c r="C319" s="4">
        <f>Pracownicy!C319</f>
        <v>0</v>
      </c>
      <c r="D319" s="4">
        <f>Pracownicy!D319</f>
        <v>0</v>
      </c>
      <c r="E319" s="4">
        <f>IF(A319="","",SUMIF(Wyniki!$A$2:$A$501,A319,Wyniki!$O$2:$O$501))</f>
        <v>0</v>
      </c>
      <c r="F319" s="4">
        <f>IF(A319="","",COUNTIF(Wyniki!$A$2:$A$501,A319))</f>
        <v>0</v>
      </c>
    </row>
    <row r="320" spans="1:6" x14ac:dyDescent="0.25">
      <c r="A320" s="4">
        <f>Pracownicy!A320</f>
        <v>0</v>
      </c>
      <c r="B320" s="4">
        <f>Pracownicy!B320</f>
        <v>0</v>
      </c>
      <c r="C320" s="4">
        <f>Pracownicy!C320</f>
        <v>0</v>
      </c>
      <c r="D320" s="4">
        <f>Pracownicy!D320</f>
        <v>0</v>
      </c>
      <c r="E320" s="4">
        <f>IF(A320="","",SUMIF(Wyniki!$A$2:$A$501,A320,Wyniki!$O$2:$O$501))</f>
        <v>0</v>
      </c>
      <c r="F320" s="4">
        <f>IF(A320="","",COUNTIF(Wyniki!$A$2:$A$501,A320))</f>
        <v>0</v>
      </c>
    </row>
    <row r="321" spans="1:6" x14ac:dyDescent="0.25">
      <c r="A321" s="4">
        <f>Pracownicy!A321</f>
        <v>0</v>
      </c>
      <c r="B321" s="4">
        <f>Pracownicy!B321</f>
        <v>0</v>
      </c>
      <c r="C321" s="4">
        <f>Pracownicy!C321</f>
        <v>0</v>
      </c>
      <c r="D321" s="4">
        <f>Pracownicy!D321</f>
        <v>0</v>
      </c>
      <c r="E321" s="4">
        <f>IF(A321="","",SUMIF(Wyniki!$A$2:$A$501,A321,Wyniki!$O$2:$O$501))</f>
        <v>0</v>
      </c>
      <c r="F321" s="4">
        <f>IF(A321="","",COUNTIF(Wyniki!$A$2:$A$501,A321))</f>
        <v>0</v>
      </c>
    </row>
    <row r="322" spans="1:6" x14ac:dyDescent="0.25">
      <c r="A322" s="4">
        <f>Pracownicy!A322</f>
        <v>0</v>
      </c>
      <c r="B322" s="4">
        <f>Pracownicy!B322</f>
        <v>0</v>
      </c>
      <c r="C322" s="4">
        <f>Pracownicy!C322</f>
        <v>0</v>
      </c>
      <c r="D322" s="4">
        <f>Pracownicy!D322</f>
        <v>0</v>
      </c>
      <c r="E322" s="4">
        <f>IF(A322="","",SUMIF(Wyniki!$A$2:$A$501,A322,Wyniki!$O$2:$O$501))</f>
        <v>0</v>
      </c>
      <c r="F322" s="4">
        <f>IF(A322="","",COUNTIF(Wyniki!$A$2:$A$501,A322))</f>
        <v>0</v>
      </c>
    </row>
    <row r="323" spans="1:6" x14ac:dyDescent="0.25">
      <c r="A323" s="4">
        <f>Pracownicy!A323</f>
        <v>0</v>
      </c>
      <c r="B323" s="4">
        <f>Pracownicy!B323</f>
        <v>0</v>
      </c>
      <c r="C323" s="4">
        <f>Pracownicy!C323</f>
        <v>0</v>
      </c>
      <c r="D323" s="4">
        <f>Pracownicy!D323</f>
        <v>0</v>
      </c>
      <c r="E323" s="4">
        <f>IF(A323="","",SUMIF(Wyniki!$A$2:$A$501,A323,Wyniki!$O$2:$O$501))</f>
        <v>0</v>
      </c>
      <c r="F323" s="4">
        <f>IF(A323="","",COUNTIF(Wyniki!$A$2:$A$501,A323))</f>
        <v>0</v>
      </c>
    </row>
    <row r="324" spans="1:6" x14ac:dyDescent="0.25">
      <c r="A324" s="4">
        <f>Pracownicy!A324</f>
        <v>0</v>
      </c>
      <c r="B324" s="4">
        <f>Pracownicy!B324</f>
        <v>0</v>
      </c>
      <c r="C324" s="4">
        <f>Pracownicy!C324</f>
        <v>0</v>
      </c>
      <c r="D324" s="4">
        <f>Pracownicy!D324</f>
        <v>0</v>
      </c>
      <c r="E324" s="4">
        <f>IF(A324="","",SUMIF(Wyniki!$A$2:$A$501,A324,Wyniki!$O$2:$O$501))</f>
        <v>0</v>
      </c>
      <c r="F324" s="4">
        <f>IF(A324="","",COUNTIF(Wyniki!$A$2:$A$501,A324))</f>
        <v>0</v>
      </c>
    </row>
    <row r="325" spans="1:6" x14ac:dyDescent="0.25">
      <c r="A325" s="4">
        <f>Pracownicy!A325</f>
        <v>0</v>
      </c>
      <c r="B325" s="4">
        <f>Pracownicy!B325</f>
        <v>0</v>
      </c>
      <c r="C325" s="4">
        <f>Pracownicy!C325</f>
        <v>0</v>
      </c>
      <c r="D325" s="4">
        <f>Pracownicy!D325</f>
        <v>0</v>
      </c>
      <c r="E325" s="4">
        <f>IF(A325="","",SUMIF(Wyniki!$A$2:$A$501,A325,Wyniki!$O$2:$O$501))</f>
        <v>0</v>
      </c>
      <c r="F325" s="4">
        <f>IF(A325="","",COUNTIF(Wyniki!$A$2:$A$501,A325))</f>
        <v>0</v>
      </c>
    </row>
    <row r="326" spans="1:6" x14ac:dyDescent="0.25">
      <c r="A326" s="4">
        <f>Pracownicy!A326</f>
        <v>0</v>
      </c>
      <c r="B326" s="4">
        <f>Pracownicy!B326</f>
        <v>0</v>
      </c>
      <c r="C326" s="4">
        <f>Pracownicy!C326</f>
        <v>0</v>
      </c>
      <c r="D326" s="4">
        <f>Pracownicy!D326</f>
        <v>0</v>
      </c>
      <c r="E326" s="4">
        <f>IF(A326="","",SUMIF(Wyniki!$A$2:$A$501,A326,Wyniki!$O$2:$O$501))</f>
        <v>0</v>
      </c>
      <c r="F326" s="4">
        <f>IF(A326="","",COUNTIF(Wyniki!$A$2:$A$501,A326))</f>
        <v>0</v>
      </c>
    </row>
    <row r="327" spans="1:6" x14ac:dyDescent="0.25">
      <c r="A327" s="4">
        <f>Pracownicy!A327</f>
        <v>0</v>
      </c>
      <c r="B327" s="4">
        <f>Pracownicy!B327</f>
        <v>0</v>
      </c>
      <c r="C327" s="4">
        <f>Pracownicy!C327</f>
        <v>0</v>
      </c>
      <c r="D327" s="4">
        <f>Pracownicy!D327</f>
        <v>0</v>
      </c>
      <c r="E327" s="4">
        <f>IF(A327="","",SUMIF(Wyniki!$A$2:$A$501,A327,Wyniki!$O$2:$O$501))</f>
        <v>0</v>
      </c>
      <c r="F327" s="4">
        <f>IF(A327="","",COUNTIF(Wyniki!$A$2:$A$501,A327))</f>
        <v>0</v>
      </c>
    </row>
    <row r="328" spans="1:6" x14ac:dyDescent="0.25">
      <c r="A328" s="4">
        <f>Pracownicy!A328</f>
        <v>0</v>
      </c>
      <c r="B328" s="4">
        <f>Pracownicy!B328</f>
        <v>0</v>
      </c>
      <c r="C328" s="4">
        <f>Pracownicy!C328</f>
        <v>0</v>
      </c>
      <c r="D328" s="4">
        <f>Pracownicy!D328</f>
        <v>0</v>
      </c>
      <c r="E328" s="4">
        <f>IF(A328="","",SUMIF(Wyniki!$A$2:$A$501,A328,Wyniki!$O$2:$O$501))</f>
        <v>0</v>
      </c>
      <c r="F328" s="4">
        <f>IF(A328="","",COUNTIF(Wyniki!$A$2:$A$501,A328))</f>
        <v>0</v>
      </c>
    </row>
    <row r="329" spans="1:6" x14ac:dyDescent="0.25">
      <c r="A329" s="4">
        <f>Pracownicy!A329</f>
        <v>0</v>
      </c>
      <c r="B329" s="4">
        <f>Pracownicy!B329</f>
        <v>0</v>
      </c>
      <c r="C329" s="4">
        <f>Pracownicy!C329</f>
        <v>0</v>
      </c>
      <c r="D329" s="4">
        <f>Pracownicy!D329</f>
        <v>0</v>
      </c>
      <c r="E329" s="4">
        <f>IF(A329="","",SUMIF(Wyniki!$A$2:$A$501,A329,Wyniki!$O$2:$O$501))</f>
        <v>0</v>
      </c>
      <c r="F329" s="4">
        <f>IF(A329="","",COUNTIF(Wyniki!$A$2:$A$501,A329))</f>
        <v>0</v>
      </c>
    </row>
    <row r="330" spans="1:6" x14ac:dyDescent="0.25">
      <c r="A330" s="4">
        <f>Pracownicy!A330</f>
        <v>0</v>
      </c>
      <c r="B330" s="4">
        <f>Pracownicy!B330</f>
        <v>0</v>
      </c>
      <c r="C330" s="4">
        <f>Pracownicy!C330</f>
        <v>0</v>
      </c>
      <c r="D330" s="4">
        <f>Pracownicy!D330</f>
        <v>0</v>
      </c>
      <c r="E330" s="4">
        <f>IF(A330="","",SUMIF(Wyniki!$A$2:$A$501,A330,Wyniki!$O$2:$O$501))</f>
        <v>0</v>
      </c>
      <c r="F330" s="4">
        <f>IF(A330="","",COUNTIF(Wyniki!$A$2:$A$501,A330))</f>
        <v>0</v>
      </c>
    </row>
    <row r="331" spans="1:6" x14ac:dyDescent="0.25">
      <c r="A331" s="4">
        <f>Pracownicy!A331</f>
        <v>0</v>
      </c>
      <c r="B331" s="4">
        <f>Pracownicy!B331</f>
        <v>0</v>
      </c>
      <c r="C331" s="4">
        <f>Pracownicy!C331</f>
        <v>0</v>
      </c>
      <c r="D331" s="4">
        <f>Pracownicy!D331</f>
        <v>0</v>
      </c>
      <c r="E331" s="4">
        <f>IF(A331="","",SUMIF(Wyniki!$A$2:$A$501,A331,Wyniki!$O$2:$O$501))</f>
        <v>0</v>
      </c>
      <c r="F331" s="4">
        <f>IF(A331="","",COUNTIF(Wyniki!$A$2:$A$501,A331))</f>
        <v>0</v>
      </c>
    </row>
    <row r="332" spans="1:6" x14ac:dyDescent="0.25">
      <c r="A332" s="4">
        <f>Pracownicy!A332</f>
        <v>0</v>
      </c>
      <c r="B332" s="4">
        <f>Pracownicy!B332</f>
        <v>0</v>
      </c>
      <c r="C332" s="4">
        <f>Pracownicy!C332</f>
        <v>0</v>
      </c>
      <c r="D332" s="4">
        <f>Pracownicy!D332</f>
        <v>0</v>
      </c>
      <c r="E332" s="4">
        <f>IF(A332="","",SUMIF(Wyniki!$A$2:$A$501,A332,Wyniki!$O$2:$O$501))</f>
        <v>0</v>
      </c>
      <c r="F332" s="4">
        <f>IF(A332="","",COUNTIF(Wyniki!$A$2:$A$501,A332))</f>
        <v>0</v>
      </c>
    </row>
    <row r="333" spans="1:6" x14ac:dyDescent="0.25">
      <c r="A333" s="4">
        <f>Pracownicy!A333</f>
        <v>0</v>
      </c>
      <c r="B333" s="4">
        <f>Pracownicy!B333</f>
        <v>0</v>
      </c>
      <c r="C333" s="4">
        <f>Pracownicy!C333</f>
        <v>0</v>
      </c>
      <c r="D333" s="4">
        <f>Pracownicy!D333</f>
        <v>0</v>
      </c>
      <c r="E333" s="4">
        <f>IF(A333="","",SUMIF(Wyniki!$A$2:$A$501,A333,Wyniki!$O$2:$O$501))</f>
        <v>0</v>
      </c>
      <c r="F333" s="4">
        <f>IF(A333="","",COUNTIF(Wyniki!$A$2:$A$501,A333))</f>
        <v>0</v>
      </c>
    </row>
    <row r="334" spans="1:6" x14ac:dyDescent="0.25">
      <c r="A334" s="4">
        <f>Pracownicy!A334</f>
        <v>0</v>
      </c>
      <c r="B334" s="4">
        <f>Pracownicy!B334</f>
        <v>0</v>
      </c>
      <c r="C334" s="4">
        <f>Pracownicy!C334</f>
        <v>0</v>
      </c>
      <c r="D334" s="4">
        <f>Pracownicy!D334</f>
        <v>0</v>
      </c>
      <c r="E334" s="4">
        <f>IF(A334="","",SUMIF(Wyniki!$A$2:$A$501,A334,Wyniki!$O$2:$O$501))</f>
        <v>0</v>
      </c>
      <c r="F334" s="4">
        <f>IF(A334="","",COUNTIF(Wyniki!$A$2:$A$501,A334))</f>
        <v>0</v>
      </c>
    </row>
    <row r="335" spans="1:6" x14ac:dyDescent="0.25">
      <c r="A335" s="4">
        <f>Pracownicy!A335</f>
        <v>0</v>
      </c>
      <c r="B335" s="4">
        <f>Pracownicy!B335</f>
        <v>0</v>
      </c>
      <c r="C335" s="4">
        <f>Pracownicy!C335</f>
        <v>0</v>
      </c>
      <c r="D335" s="4">
        <f>Pracownicy!D335</f>
        <v>0</v>
      </c>
      <c r="E335" s="4">
        <f>IF(A335="","",SUMIF(Wyniki!$A$2:$A$501,A335,Wyniki!$O$2:$O$501))</f>
        <v>0</v>
      </c>
      <c r="F335" s="4">
        <f>IF(A335="","",COUNTIF(Wyniki!$A$2:$A$501,A335))</f>
        <v>0</v>
      </c>
    </row>
    <row r="336" spans="1:6" x14ac:dyDescent="0.25">
      <c r="A336" s="4">
        <f>Pracownicy!A336</f>
        <v>0</v>
      </c>
      <c r="B336" s="4">
        <f>Pracownicy!B336</f>
        <v>0</v>
      </c>
      <c r="C336" s="4">
        <f>Pracownicy!C336</f>
        <v>0</v>
      </c>
      <c r="D336" s="4">
        <f>Pracownicy!D336</f>
        <v>0</v>
      </c>
      <c r="E336" s="4">
        <f>IF(A336="","",SUMIF(Wyniki!$A$2:$A$501,A336,Wyniki!$O$2:$O$501))</f>
        <v>0</v>
      </c>
      <c r="F336" s="4">
        <f>IF(A336="","",COUNTIF(Wyniki!$A$2:$A$501,A336))</f>
        <v>0</v>
      </c>
    </row>
    <row r="337" spans="1:6" x14ac:dyDescent="0.25">
      <c r="A337" s="4">
        <f>Pracownicy!A337</f>
        <v>0</v>
      </c>
      <c r="B337" s="4">
        <f>Pracownicy!B337</f>
        <v>0</v>
      </c>
      <c r="C337" s="4">
        <f>Pracownicy!C337</f>
        <v>0</v>
      </c>
      <c r="D337" s="4">
        <f>Pracownicy!D337</f>
        <v>0</v>
      </c>
      <c r="E337" s="4">
        <f>IF(A337="","",SUMIF(Wyniki!$A$2:$A$501,A337,Wyniki!$O$2:$O$501))</f>
        <v>0</v>
      </c>
      <c r="F337" s="4">
        <f>IF(A337="","",COUNTIF(Wyniki!$A$2:$A$501,A337))</f>
        <v>0</v>
      </c>
    </row>
    <row r="338" spans="1:6" x14ac:dyDescent="0.25">
      <c r="A338" s="4">
        <f>Pracownicy!A338</f>
        <v>0</v>
      </c>
      <c r="B338" s="4">
        <f>Pracownicy!B338</f>
        <v>0</v>
      </c>
      <c r="C338" s="4">
        <f>Pracownicy!C338</f>
        <v>0</v>
      </c>
      <c r="D338" s="4">
        <f>Pracownicy!D338</f>
        <v>0</v>
      </c>
      <c r="E338" s="4">
        <f>IF(A338="","",SUMIF(Wyniki!$A$2:$A$501,A338,Wyniki!$O$2:$O$501))</f>
        <v>0</v>
      </c>
      <c r="F338" s="4">
        <f>IF(A338="","",COUNTIF(Wyniki!$A$2:$A$501,A338))</f>
        <v>0</v>
      </c>
    </row>
    <row r="339" spans="1:6" x14ac:dyDescent="0.25">
      <c r="A339" s="4">
        <f>Pracownicy!A339</f>
        <v>0</v>
      </c>
      <c r="B339" s="4">
        <f>Pracownicy!B339</f>
        <v>0</v>
      </c>
      <c r="C339" s="4">
        <f>Pracownicy!C339</f>
        <v>0</v>
      </c>
      <c r="D339" s="4">
        <f>Pracownicy!D339</f>
        <v>0</v>
      </c>
      <c r="E339" s="4">
        <f>IF(A339="","",SUMIF(Wyniki!$A$2:$A$501,A339,Wyniki!$O$2:$O$501))</f>
        <v>0</v>
      </c>
      <c r="F339" s="4">
        <f>IF(A339="","",COUNTIF(Wyniki!$A$2:$A$501,A339))</f>
        <v>0</v>
      </c>
    </row>
    <row r="340" spans="1:6" x14ac:dyDescent="0.25">
      <c r="A340" s="4">
        <f>Pracownicy!A340</f>
        <v>0</v>
      </c>
      <c r="B340" s="4">
        <f>Pracownicy!B340</f>
        <v>0</v>
      </c>
      <c r="C340" s="4">
        <f>Pracownicy!C340</f>
        <v>0</v>
      </c>
      <c r="D340" s="4">
        <f>Pracownicy!D340</f>
        <v>0</v>
      </c>
      <c r="E340" s="4">
        <f>IF(A340="","",SUMIF(Wyniki!$A$2:$A$501,A340,Wyniki!$O$2:$O$501))</f>
        <v>0</v>
      </c>
      <c r="F340" s="4">
        <f>IF(A340="","",COUNTIF(Wyniki!$A$2:$A$501,A340))</f>
        <v>0</v>
      </c>
    </row>
    <row r="341" spans="1:6" x14ac:dyDescent="0.25">
      <c r="A341" s="4">
        <f>Pracownicy!A341</f>
        <v>0</v>
      </c>
      <c r="B341" s="4">
        <f>Pracownicy!B341</f>
        <v>0</v>
      </c>
      <c r="C341" s="4">
        <f>Pracownicy!C341</f>
        <v>0</v>
      </c>
      <c r="D341" s="4">
        <f>Pracownicy!D341</f>
        <v>0</v>
      </c>
      <c r="E341" s="4">
        <f>IF(A341="","",SUMIF(Wyniki!$A$2:$A$501,A341,Wyniki!$O$2:$O$501))</f>
        <v>0</v>
      </c>
      <c r="F341" s="4">
        <f>IF(A341="","",COUNTIF(Wyniki!$A$2:$A$501,A341))</f>
        <v>0</v>
      </c>
    </row>
    <row r="342" spans="1:6" x14ac:dyDescent="0.25">
      <c r="A342" s="4">
        <f>Pracownicy!A342</f>
        <v>0</v>
      </c>
      <c r="B342" s="4">
        <f>Pracownicy!B342</f>
        <v>0</v>
      </c>
      <c r="C342" s="4">
        <f>Pracownicy!C342</f>
        <v>0</v>
      </c>
      <c r="D342" s="4">
        <f>Pracownicy!D342</f>
        <v>0</v>
      </c>
      <c r="E342" s="4">
        <f>IF(A342="","",SUMIF(Wyniki!$A$2:$A$501,A342,Wyniki!$O$2:$O$501))</f>
        <v>0</v>
      </c>
      <c r="F342" s="4">
        <f>IF(A342="","",COUNTIF(Wyniki!$A$2:$A$501,A342))</f>
        <v>0</v>
      </c>
    </row>
    <row r="343" spans="1:6" x14ac:dyDescent="0.25">
      <c r="A343" s="4">
        <f>Pracownicy!A343</f>
        <v>0</v>
      </c>
      <c r="B343" s="4">
        <f>Pracownicy!B343</f>
        <v>0</v>
      </c>
      <c r="C343" s="4">
        <f>Pracownicy!C343</f>
        <v>0</v>
      </c>
      <c r="D343" s="4">
        <f>Pracownicy!D343</f>
        <v>0</v>
      </c>
      <c r="E343" s="4">
        <f>IF(A343="","",SUMIF(Wyniki!$A$2:$A$501,A343,Wyniki!$O$2:$O$501))</f>
        <v>0</v>
      </c>
      <c r="F343" s="4">
        <f>IF(A343="","",COUNTIF(Wyniki!$A$2:$A$501,A343))</f>
        <v>0</v>
      </c>
    </row>
    <row r="344" spans="1:6" x14ac:dyDescent="0.25">
      <c r="A344" s="4">
        <f>Pracownicy!A344</f>
        <v>0</v>
      </c>
      <c r="B344" s="4">
        <f>Pracownicy!B344</f>
        <v>0</v>
      </c>
      <c r="C344" s="4">
        <f>Pracownicy!C344</f>
        <v>0</v>
      </c>
      <c r="D344" s="4">
        <f>Pracownicy!D344</f>
        <v>0</v>
      </c>
      <c r="E344" s="4">
        <f>IF(A344="","",SUMIF(Wyniki!$A$2:$A$501,A344,Wyniki!$O$2:$O$501))</f>
        <v>0</v>
      </c>
      <c r="F344" s="4">
        <f>IF(A344="","",COUNTIF(Wyniki!$A$2:$A$501,A344))</f>
        <v>0</v>
      </c>
    </row>
    <row r="345" spans="1:6" x14ac:dyDescent="0.25">
      <c r="A345" s="4">
        <f>Pracownicy!A345</f>
        <v>0</v>
      </c>
      <c r="B345" s="4">
        <f>Pracownicy!B345</f>
        <v>0</v>
      </c>
      <c r="C345" s="4">
        <f>Pracownicy!C345</f>
        <v>0</v>
      </c>
      <c r="D345" s="4">
        <f>Pracownicy!D345</f>
        <v>0</v>
      </c>
      <c r="E345" s="4">
        <f>IF(A345="","",SUMIF(Wyniki!$A$2:$A$501,A345,Wyniki!$O$2:$O$501))</f>
        <v>0</v>
      </c>
      <c r="F345" s="4">
        <f>IF(A345="","",COUNTIF(Wyniki!$A$2:$A$501,A345))</f>
        <v>0</v>
      </c>
    </row>
    <row r="346" spans="1:6" x14ac:dyDescent="0.25">
      <c r="A346" s="4">
        <f>Pracownicy!A346</f>
        <v>0</v>
      </c>
      <c r="B346" s="4">
        <f>Pracownicy!B346</f>
        <v>0</v>
      </c>
      <c r="C346" s="4">
        <f>Pracownicy!C346</f>
        <v>0</v>
      </c>
      <c r="D346" s="4">
        <f>Pracownicy!D346</f>
        <v>0</v>
      </c>
      <c r="E346" s="4">
        <f>IF(A346="","",SUMIF(Wyniki!$A$2:$A$501,A346,Wyniki!$O$2:$O$501))</f>
        <v>0</v>
      </c>
      <c r="F346" s="4">
        <f>IF(A346="","",COUNTIF(Wyniki!$A$2:$A$501,A346))</f>
        <v>0</v>
      </c>
    </row>
    <row r="347" spans="1:6" x14ac:dyDescent="0.25">
      <c r="A347" s="4">
        <f>Pracownicy!A347</f>
        <v>0</v>
      </c>
      <c r="B347" s="4">
        <f>Pracownicy!B347</f>
        <v>0</v>
      </c>
      <c r="C347" s="4">
        <f>Pracownicy!C347</f>
        <v>0</v>
      </c>
      <c r="D347" s="4">
        <f>Pracownicy!D347</f>
        <v>0</v>
      </c>
      <c r="E347" s="4">
        <f>IF(A347="","",SUMIF(Wyniki!$A$2:$A$501,A347,Wyniki!$O$2:$O$501))</f>
        <v>0</v>
      </c>
      <c r="F347" s="4">
        <f>IF(A347="","",COUNTIF(Wyniki!$A$2:$A$501,A347))</f>
        <v>0</v>
      </c>
    </row>
    <row r="348" spans="1:6" x14ac:dyDescent="0.25">
      <c r="A348" s="4">
        <f>Pracownicy!A348</f>
        <v>0</v>
      </c>
      <c r="B348" s="4">
        <f>Pracownicy!B348</f>
        <v>0</v>
      </c>
      <c r="C348" s="4">
        <f>Pracownicy!C348</f>
        <v>0</v>
      </c>
      <c r="D348" s="4">
        <f>Pracownicy!D348</f>
        <v>0</v>
      </c>
      <c r="E348" s="4">
        <f>IF(A348="","",SUMIF(Wyniki!$A$2:$A$501,A348,Wyniki!$O$2:$O$501))</f>
        <v>0</v>
      </c>
      <c r="F348" s="4">
        <f>IF(A348="","",COUNTIF(Wyniki!$A$2:$A$501,A348))</f>
        <v>0</v>
      </c>
    </row>
    <row r="349" spans="1:6" x14ac:dyDescent="0.25">
      <c r="A349" s="4">
        <f>Pracownicy!A349</f>
        <v>0</v>
      </c>
      <c r="B349" s="4">
        <f>Pracownicy!B349</f>
        <v>0</v>
      </c>
      <c r="C349" s="4">
        <f>Pracownicy!C349</f>
        <v>0</v>
      </c>
      <c r="D349" s="4">
        <f>Pracownicy!D349</f>
        <v>0</v>
      </c>
      <c r="E349" s="4">
        <f>IF(A349="","",SUMIF(Wyniki!$A$2:$A$501,A349,Wyniki!$O$2:$O$501))</f>
        <v>0</v>
      </c>
      <c r="F349" s="4">
        <f>IF(A349="","",COUNTIF(Wyniki!$A$2:$A$501,A349))</f>
        <v>0</v>
      </c>
    </row>
    <row r="350" spans="1:6" x14ac:dyDescent="0.25">
      <c r="A350" s="4">
        <f>Pracownicy!A350</f>
        <v>0</v>
      </c>
      <c r="B350" s="4">
        <f>Pracownicy!B350</f>
        <v>0</v>
      </c>
      <c r="C350" s="4">
        <f>Pracownicy!C350</f>
        <v>0</v>
      </c>
      <c r="D350" s="4">
        <f>Pracownicy!D350</f>
        <v>0</v>
      </c>
      <c r="E350" s="4">
        <f>IF(A350="","",SUMIF(Wyniki!$A$2:$A$501,A350,Wyniki!$O$2:$O$501))</f>
        <v>0</v>
      </c>
      <c r="F350" s="4">
        <f>IF(A350="","",COUNTIF(Wyniki!$A$2:$A$501,A350))</f>
        <v>0</v>
      </c>
    </row>
    <row r="351" spans="1:6" x14ac:dyDescent="0.25">
      <c r="A351" s="4">
        <f>Pracownicy!A351</f>
        <v>0</v>
      </c>
      <c r="B351" s="4">
        <f>Pracownicy!B351</f>
        <v>0</v>
      </c>
      <c r="C351" s="4">
        <f>Pracownicy!C351</f>
        <v>0</v>
      </c>
      <c r="D351" s="4">
        <f>Pracownicy!D351</f>
        <v>0</v>
      </c>
      <c r="E351" s="4">
        <f>IF(A351="","",SUMIF(Wyniki!$A$2:$A$501,A351,Wyniki!$O$2:$O$501))</f>
        <v>0</v>
      </c>
      <c r="F351" s="4">
        <f>IF(A351="","",COUNTIF(Wyniki!$A$2:$A$501,A351))</f>
        <v>0</v>
      </c>
    </row>
    <row r="352" spans="1:6" x14ac:dyDescent="0.25">
      <c r="A352" s="4">
        <f>Pracownicy!A352</f>
        <v>0</v>
      </c>
      <c r="B352" s="4">
        <f>Pracownicy!B352</f>
        <v>0</v>
      </c>
      <c r="C352" s="4">
        <f>Pracownicy!C352</f>
        <v>0</v>
      </c>
      <c r="D352" s="4">
        <f>Pracownicy!D352</f>
        <v>0</v>
      </c>
      <c r="E352" s="4">
        <f>IF(A352="","",SUMIF(Wyniki!$A$2:$A$501,A352,Wyniki!$O$2:$O$501))</f>
        <v>0</v>
      </c>
      <c r="F352" s="4">
        <f>IF(A352="","",COUNTIF(Wyniki!$A$2:$A$501,A352))</f>
        <v>0</v>
      </c>
    </row>
    <row r="353" spans="1:6" x14ac:dyDescent="0.25">
      <c r="A353" s="4">
        <f>Pracownicy!A353</f>
        <v>0</v>
      </c>
      <c r="B353" s="4">
        <f>Pracownicy!B353</f>
        <v>0</v>
      </c>
      <c r="C353" s="4">
        <f>Pracownicy!C353</f>
        <v>0</v>
      </c>
      <c r="D353" s="4">
        <f>Pracownicy!D353</f>
        <v>0</v>
      </c>
      <c r="E353" s="4">
        <f>IF(A353="","",SUMIF(Wyniki!$A$2:$A$501,A353,Wyniki!$O$2:$O$501))</f>
        <v>0</v>
      </c>
      <c r="F353" s="4">
        <f>IF(A353="","",COUNTIF(Wyniki!$A$2:$A$501,A353))</f>
        <v>0</v>
      </c>
    </row>
    <row r="354" spans="1:6" x14ac:dyDescent="0.25">
      <c r="A354" s="4">
        <f>Pracownicy!A354</f>
        <v>0</v>
      </c>
      <c r="B354" s="4">
        <f>Pracownicy!B354</f>
        <v>0</v>
      </c>
      <c r="C354" s="4">
        <f>Pracownicy!C354</f>
        <v>0</v>
      </c>
      <c r="D354" s="4">
        <f>Pracownicy!D354</f>
        <v>0</v>
      </c>
      <c r="E354" s="4">
        <f>IF(A354="","",SUMIF(Wyniki!$A$2:$A$501,A354,Wyniki!$O$2:$O$501))</f>
        <v>0</v>
      </c>
      <c r="F354" s="4">
        <f>IF(A354="","",COUNTIF(Wyniki!$A$2:$A$501,A354))</f>
        <v>0</v>
      </c>
    </row>
    <row r="355" spans="1:6" x14ac:dyDescent="0.25">
      <c r="A355" s="4">
        <f>Pracownicy!A355</f>
        <v>0</v>
      </c>
      <c r="B355" s="4">
        <f>Pracownicy!B355</f>
        <v>0</v>
      </c>
      <c r="C355" s="4">
        <f>Pracownicy!C355</f>
        <v>0</v>
      </c>
      <c r="D355" s="4">
        <f>Pracownicy!D355</f>
        <v>0</v>
      </c>
      <c r="E355" s="4">
        <f>IF(A355="","",SUMIF(Wyniki!$A$2:$A$501,A355,Wyniki!$O$2:$O$501))</f>
        <v>0</v>
      </c>
      <c r="F355" s="4">
        <f>IF(A355="","",COUNTIF(Wyniki!$A$2:$A$501,A355))</f>
        <v>0</v>
      </c>
    </row>
    <row r="356" spans="1:6" x14ac:dyDescent="0.25">
      <c r="A356" s="4">
        <f>Pracownicy!A356</f>
        <v>0</v>
      </c>
      <c r="B356" s="4">
        <f>Pracownicy!B356</f>
        <v>0</v>
      </c>
      <c r="C356" s="4">
        <f>Pracownicy!C356</f>
        <v>0</v>
      </c>
      <c r="D356" s="4">
        <f>Pracownicy!D356</f>
        <v>0</v>
      </c>
      <c r="E356" s="4">
        <f>IF(A356="","",SUMIF(Wyniki!$A$2:$A$501,A356,Wyniki!$O$2:$O$501))</f>
        <v>0</v>
      </c>
      <c r="F356" s="4">
        <f>IF(A356="","",COUNTIF(Wyniki!$A$2:$A$501,A356))</f>
        <v>0</v>
      </c>
    </row>
    <row r="357" spans="1:6" x14ac:dyDescent="0.25">
      <c r="A357" s="4">
        <f>Pracownicy!A357</f>
        <v>0</v>
      </c>
      <c r="B357" s="4">
        <f>Pracownicy!B357</f>
        <v>0</v>
      </c>
      <c r="C357" s="4">
        <f>Pracownicy!C357</f>
        <v>0</v>
      </c>
      <c r="D357" s="4">
        <f>Pracownicy!D357</f>
        <v>0</v>
      </c>
      <c r="E357" s="4">
        <f>IF(A357="","",SUMIF(Wyniki!$A$2:$A$501,A357,Wyniki!$O$2:$O$501))</f>
        <v>0</v>
      </c>
      <c r="F357" s="4">
        <f>IF(A357="","",COUNTIF(Wyniki!$A$2:$A$501,A357))</f>
        <v>0</v>
      </c>
    </row>
    <row r="358" spans="1:6" x14ac:dyDescent="0.25">
      <c r="A358" s="4">
        <f>Pracownicy!A358</f>
        <v>0</v>
      </c>
      <c r="B358" s="4">
        <f>Pracownicy!B358</f>
        <v>0</v>
      </c>
      <c r="C358" s="4">
        <f>Pracownicy!C358</f>
        <v>0</v>
      </c>
      <c r="D358" s="4">
        <f>Pracownicy!D358</f>
        <v>0</v>
      </c>
      <c r="E358" s="4">
        <f>IF(A358="","",SUMIF(Wyniki!$A$2:$A$501,A358,Wyniki!$O$2:$O$501))</f>
        <v>0</v>
      </c>
      <c r="F358" s="4">
        <f>IF(A358="","",COUNTIF(Wyniki!$A$2:$A$501,A358))</f>
        <v>0</v>
      </c>
    </row>
    <row r="359" spans="1:6" x14ac:dyDescent="0.25">
      <c r="A359" s="4">
        <f>Pracownicy!A359</f>
        <v>0</v>
      </c>
      <c r="B359" s="4">
        <f>Pracownicy!B359</f>
        <v>0</v>
      </c>
      <c r="C359" s="4">
        <f>Pracownicy!C359</f>
        <v>0</v>
      </c>
      <c r="D359" s="4">
        <f>Pracownicy!D359</f>
        <v>0</v>
      </c>
      <c r="E359" s="4">
        <f>IF(A359="","",SUMIF(Wyniki!$A$2:$A$501,A359,Wyniki!$O$2:$O$501))</f>
        <v>0</v>
      </c>
      <c r="F359" s="4">
        <f>IF(A359="","",COUNTIF(Wyniki!$A$2:$A$501,A359))</f>
        <v>0</v>
      </c>
    </row>
    <row r="360" spans="1:6" x14ac:dyDescent="0.25">
      <c r="A360" s="4">
        <f>Pracownicy!A360</f>
        <v>0</v>
      </c>
      <c r="B360" s="4">
        <f>Pracownicy!B360</f>
        <v>0</v>
      </c>
      <c r="C360" s="4">
        <f>Pracownicy!C360</f>
        <v>0</v>
      </c>
      <c r="D360" s="4">
        <f>Pracownicy!D360</f>
        <v>0</v>
      </c>
      <c r="E360" s="4">
        <f>IF(A360="","",SUMIF(Wyniki!$A$2:$A$501,A360,Wyniki!$O$2:$O$501))</f>
        <v>0</v>
      </c>
      <c r="F360" s="4">
        <f>IF(A360="","",COUNTIF(Wyniki!$A$2:$A$501,A360))</f>
        <v>0</v>
      </c>
    </row>
    <row r="361" spans="1:6" x14ac:dyDescent="0.25">
      <c r="A361" s="4">
        <f>Pracownicy!A361</f>
        <v>0</v>
      </c>
      <c r="B361" s="4">
        <f>Pracownicy!B361</f>
        <v>0</v>
      </c>
      <c r="C361" s="4">
        <f>Pracownicy!C361</f>
        <v>0</v>
      </c>
      <c r="D361" s="4">
        <f>Pracownicy!D361</f>
        <v>0</v>
      </c>
      <c r="E361" s="4">
        <f>IF(A361="","",SUMIF(Wyniki!$A$2:$A$501,A361,Wyniki!$O$2:$O$501))</f>
        <v>0</v>
      </c>
      <c r="F361" s="4">
        <f>IF(A361="","",COUNTIF(Wyniki!$A$2:$A$501,A361))</f>
        <v>0</v>
      </c>
    </row>
    <row r="362" spans="1:6" x14ac:dyDescent="0.25">
      <c r="A362" s="4">
        <f>Pracownicy!A362</f>
        <v>0</v>
      </c>
      <c r="B362" s="4">
        <f>Pracownicy!B362</f>
        <v>0</v>
      </c>
      <c r="C362" s="4">
        <f>Pracownicy!C362</f>
        <v>0</v>
      </c>
      <c r="D362" s="4">
        <f>Pracownicy!D362</f>
        <v>0</v>
      </c>
      <c r="E362" s="4">
        <f>IF(A362="","",SUMIF(Wyniki!$A$2:$A$501,A362,Wyniki!$O$2:$O$501))</f>
        <v>0</v>
      </c>
      <c r="F362" s="4">
        <f>IF(A362="","",COUNTIF(Wyniki!$A$2:$A$501,A362))</f>
        <v>0</v>
      </c>
    </row>
    <row r="363" spans="1:6" x14ac:dyDescent="0.25">
      <c r="A363" s="4">
        <f>Pracownicy!A363</f>
        <v>0</v>
      </c>
      <c r="B363" s="4">
        <f>Pracownicy!B363</f>
        <v>0</v>
      </c>
      <c r="C363" s="4">
        <f>Pracownicy!C363</f>
        <v>0</v>
      </c>
      <c r="D363" s="4">
        <f>Pracownicy!D363</f>
        <v>0</v>
      </c>
      <c r="E363" s="4">
        <f>IF(A363="","",SUMIF(Wyniki!$A$2:$A$501,A363,Wyniki!$O$2:$O$501))</f>
        <v>0</v>
      </c>
      <c r="F363" s="4">
        <f>IF(A363="","",COUNTIF(Wyniki!$A$2:$A$501,A363))</f>
        <v>0</v>
      </c>
    </row>
    <row r="364" spans="1:6" x14ac:dyDescent="0.25">
      <c r="A364" s="4">
        <f>Pracownicy!A364</f>
        <v>0</v>
      </c>
      <c r="B364" s="4">
        <f>Pracownicy!B364</f>
        <v>0</v>
      </c>
      <c r="C364" s="4">
        <f>Pracownicy!C364</f>
        <v>0</v>
      </c>
      <c r="D364" s="4">
        <f>Pracownicy!D364</f>
        <v>0</v>
      </c>
      <c r="E364" s="4">
        <f>IF(A364="","",SUMIF(Wyniki!$A$2:$A$501,A364,Wyniki!$O$2:$O$501))</f>
        <v>0</v>
      </c>
      <c r="F364" s="4">
        <f>IF(A364="","",COUNTIF(Wyniki!$A$2:$A$501,A364))</f>
        <v>0</v>
      </c>
    </row>
    <row r="365" spans="1:6" x14ac:dyDescent="0.25">
      <c r="A365" s="4">
        <f>Pracownicy!A365</f>
        <v>0</v>
      </c>
      <c r="B365" s="4">
        <f>Pracownicy!B365</f>
        <v>0</v>
      </c>
      <c r="C365" s="4">
        <f>Pracownicy!C365</f>
        <v>0</v>
      </c>
      <c r="D365" s="4">
        <f>Pracownicy!D365</f>
        <v>0</v>
      </c>
      <c r="E365" s="4">
        <f>IF(A365="","",SUMIF(Wyniki!$A$2:$A$501,A365,Wyniki!$O$2:$O$501))</f>
        <v>0</v>
      </c>
      <c r="F365" s="4">
        <f>IF(A365="","",COUNTIF(Wyniki!$A$2:$A$501,A365))</f>
        <v>0</v>
      </c>
    </row>
    <row r="366" spans="1:6" x14ac:dyDescent="0.25">
      <c r="A366" s="4">
        <f>Pracownicy!A366</f>
        <v>0</v>
      </c>
      <c r="B366" s="4">
        <f>Pracownicy!B366</f>
        <v>0</v>
      </c>
      <c r="C366" s="4">
        <f>Pracownicy!C366</f>
        <v>0</v>
      </c>
      <c r="D366" s="4">
        <f>Pracownicy!D366</f>
        <v>0</v>
      </c>
      <c r="E366" s="4">
        <f>IF(A366="","",SUMIF(Wyniki!$A$2:$A$501,A366,Wyniki!$O$2:$O$501))</f>
        <v>0</v>
      </c>
      <c r="F366" s="4">
        <f>IF(A366="","",COUNTIF(Wyniki!$A$2:$A$501,A366))</f>
        <v>0</v>
      </c>
    </row>
    <row r="367" spans="1:6" x14ac:dyDescent="0.25">
      <c r="A367" s="4">
        <f>Pracownicy!A367</f>
        <v>0</v>
      </c>
      <c r="B367" s="4">
        <f>Pracownicy!B367</f>
        <v>0</v>
      </c>
      <c r="C367" s="4">
        <f>Pracownicy!C367</f>
        <v>0</v>
      </c>
      <c r="D367" s="4">
        <f>Pracownicy!D367</f>
        <v>0</v>
      </c>
      <c r="E367" s="4">
        <f>IF(A367="","",SUMIF(Wyniki!$A$2:$A$501,A367,Wyniki!$O$2:$O$501))</f>
        <v>0</v>
      </c>
      <c r="F367" s="4">
        <f>IF(A367="","",COUNTIF(Wyniki!$A$2:$A$501,A367))</f>
        <v>0</v>
      </c>
    </row>
    <row r="368" spans="1:6" x14ac:dyDescent="0.25">
      <c r="A368" s="4">
        <f>Pracownicy!A368</f>
        <v>0</v>
      </c>
      <c r="B368" s="4">
        <f>Pracownicy!B368</f>
        <v>0</v>
      </c>
      <c r="C368" s="4">
        <f>Pracownicy!C368</f>
        <v>0</v>
      </c>
      <c r="D368" s="4">
        <f>Pracownicy!D368</f>
        <v>0</v>
      </c>
      <c r="E368" s="4">
        <f>IF(A368="","",SUMIF(Wyniki!$A$2:$A$501,A368,Wyniki!$O$2:$O$501))</f>
        <v>0</v>
      </c>
      <c r="F368" s="4">
        <f>IF(A368="","",COUNTIF(Wyniki!$A$2:$A$501,A368))</f>
        <v>0</v>
      </c>
    </row>
    <row r="369" spans="1:6" x14ac:dyDescent="0.25">
      <c r="A369" s="4">
        <f>Pracownicy!A369</f>
        <v>0</v>
      </c>
      <c r="B369" s="4">
        <f>Pracownicy!B369</f>
        <v>0</v>
      </c>
      <c r="C369" s="4">
        <f>Pracownicy!C369</f>
        <v>0</v>
      </c>
      <c r="D369" s="4">
        <f>Pracownicy!D369</f>
        <v>0</v>
      </c>
      <c r="E369" s="4">
        <f>IF(A369="","",SUMIF(Wyniki!$A$2:$A$501,A369,Wyniki!$O$2:$O$501))</f>
        <v>0</v>
      </c>
      <c r="F369" s="4">
        <f>IF(A369="","",COUNTIF(Wyniki!$A$2:$A$501,A369))</f>
        <v>0</v>
      </c>
    </row>
    <row r="370" spans="1:6" x14ac:dyDescent="0.25">
      <c r="A370" s="4">
        <f>Pracownicy!A370</f>
        <v>0</v>
      </c>
      <c r="B370" s="4">
        <f>Pracownicy!B370</f>
        <v>0</v>
      </c>
      <c r="C370" s="4">
        <f>Pracownicy!C370</f>
        <v>0</v>
      </c>
      <c r="D370" s="4">
        <f>Pracownicy!D370</f>
        <v>0</v>
      </c>
      <c r="E370" s="4">
        <f>IF(A370="","",SUMIF(Wyniki!$A$2:$A$501,A370,Wyniki!$O$2:$O$501))</f>
        <v>0</v>
      </c>
      <c r="F370" s="4">
        <f>IF(A370="","",COUNTIF(Wyniki!$A$2:$A$501,A370))</f>
        <v>0</v>
      </c>
    </row>
    <row r="371" spans="1:6" x14ac:dyDescent="0.25">
      <c r="A371" s="4">
        <f>Pracownicy!A371</f>
        <v>0</v>
      </c>
      <c r="B371" s="4">
        <f>Pracownicy!B371</f>
        <v>0</v>
      </c>
      <c r="C371" s="4">
        <f>Pracownicy!C371</f>
        <v>0</v>
      </c>
      <c r="D371" s="4">
        <f>Pracownicy!D371</f>
        <v>0</v>
      </c>
      <c r="E371" s="4">
        <f>IF(A371="","",SUMIF(Wyniki!$A$2:$A$501,A371,Wyniki!$O$2:$O$501))</f>
        <v>0</v>
      </c>
      <c r="F371" s="4">
        <f>IF(A371="","",COUNTIF(Wyniki!$A$2:$A$501,A371))</f>
        <v>0</v>
      </c>
    </row>
    <row r="372" spans="1:6" x14ac:dyDescent="0.25">
      <c r="A372" s="4">
        <f>Pracownicy!A372</f>
        <v>0</v>
      </c>
      <c r="B372" s="4">
        <f>Pracownicy!B372</f>
        <v>0</v>
      </c>
      <c r="C372" s="4">
        <f>Pracownicy!C372</f>
        <v>0</v>
      </c>
      <c r="D372" s="4">
        <f>Pracownicy!D372</f>
        <v>0</v>
      </c>
      <c r="E372" s="4">
        <f>IF(A372="","",SUMIF(Wyniki!$A$2:$A$501,A372,Wyniki!$O$2:$O$501))</f>
        <v>0</v>
      </c>
      <c r="F372" s="4">
        <f>IF(A372="","",COUNTIF(Wyniki!$A$2:$A$501,A372))</f>
        <v>0</v>
      </c>
    </row>
    <row r="373" spans="1:6" x14ac:dyDescent="0.25">
      <c r="A373" s="4">
        <f>Pracownicy!A373</f>
        <v>0</v>
      </c>
      <c r="B373" s="4">
        <f>Pracownicy!B373</f>
        <v>0</v>
      </c>
      <c r="C373" s="4">
        <f>Pracownicy!C373</f>
        <v>0</v>
      </c>
      <c r="D373" s="4">
        <f>Pracownicy!D373</f>
        <v>0</v>
      </c>
      <c r="E373" s="4">
        <f>IF(A373="","",SUMIF(Wyniki!$A$2:$A$501,A373,Wyniki!$O$2:$O$501))</f>
        <v>0</v>
      </c>
      <c r="F373" s="4">
        <f>IF(A373="","",COUNTIF(Wyniki!$A$2:$A$501,A373))</f>
        <v>0</v>
      </c>
    </row>
    <row r="374" spans="1:6" x14ac:dyDescent="0.25">
      <c r="A374" s="4">
        <f>Pracownicy!A374</f>
        <v>0</v>
      </c>
      <c r="B374" s="4">
        <f>Pracownicy!B374</f>
        <v>0</v>
      </c>
      <c r="C374" s="4">
        <f>Pracownicy!C374</f>
        <v>0</v>
      </c>
      <c r="D374" s="4">
        <f>Pracownicy!D374</f>
        <v>0</v>
      </c>
      <c r="E374" s="4">
        <f>IF(A374="","",SUMIF(Wyniki!$A$2:$A$501,A374,Wyniki!$O$2:$O$501))</f>
        <v>0</v>
      </c>
      <c r="F374" s="4">
        <f>IF(A374="","",COUNTIF(Wyniki!$A$2:$A$501,A374))</f>
        <v>0</v>
      </c>
    </row>
    <row r="375" spans="1:6" x14ac:dyDescent="0.25">
      <c r="A375" s="4">
        <f>Pracownicy!A375</f>
        <v>0</v>
      </c>
      <c r="B375" s="4">
        <f>Pracownicy!B375</f>
        <v>0</v>
      </c>
      <c r="C375" s="4">
        <f>Pracownicy!C375</f>
        <v>0</v>
      </c>
      <c r="D375" s="4">
        <f>Pracownicy!D375</f>
        <v>0</v>
      </c>
      <c r="E375" s="4">
        <f>IF(A375="","",SUMIF(Wyniki!$A$2:$A$501,A375,Wyniki!$O$2:$O$501))</f>
        <v>0</v>
      </c>
      <c r="F375" s="4">
        <f>IF(A375="","",COUNTIF(Wyniki!$A$2:$A$501,A375))</f>
        <v>0</v>
      </c>
    </row>
    <row r="376" spans="1:6" x14ac:dyDescent="0.25">
      <c r="A376" s="4">
        <f>Pracownicy!A376</f>
        <v>0</v>
      </c>
      <c r="B376" s="4">
        <f>Pracownicy!B376</f>
        <v>0</v>
      </c>
      <c r="C376" s="4">
        <f>Pracownicy!C376</f>
        <v>0</v>
      </c>
      <c r="D376" s="4">
        <f>Pracownicy!D376</f>
        <v>0</v>
      </c>
      <c r="E376" s="4">
        <f>IF(A376="","",SUMIF(Wyniki!$A$2:$A$501,A376,Wyniki!$O$2:$O$501))</f>
        <v>0</v>
      </c>
      <c r="F376" s="4">
        <f>IF(A376="","",COUNTIF(Wyniki!$A$2:$A$501,A376))</f>
        <v>0</v>
      </c>
    </row>
    <row r="377" spans="1:6" x14ac:dyDescent="0.25">
      <c r="A377" s="4">
        <f>Pracownicy!A377</f>
        <v>0</v>
      </c>
      <c r="B377" s="4">
        <f>Pracownicy!B377</f>
        <v>0</v>
      </c>
      <c r="C377" s="4">
        <f>Pracownicy!C377</f>
        <v>0</v>
      </c>
      <c r="D377" s="4">
        <f>Pracownicy!D377</f>
        <v>0</v>
      </c>
      <c r="E377" s="4">
        <f>IF(A377="","",SUMIF(Wyniki!$A$2:$A$501,A377,Wyniki!$O$2:$O$501))</f>
        <v>0</v>
      </c>
      <c r="F377" s="4">
        <f>IF(A377="","",COUNTIF(Wyniki!$A$2:$A$501,A377))</f>
        <v>0</v>
      </c>
    </row>
    <row r="378" spans="1:6" x14ac:dyDescent="0.25">
      <c r="A378" s="4">
        <f>Pracownicy!A378</f>
        <v>0</v>
      </c>
      <c r="B378" s="4">
        <f>Pracownicy!B378</f>
        <v>0</v>
      </c>
      <c r="C378" s="4">
        <f>Pracownicy!C378</f>
        <v>0</v>
      </c>
      <c r="D378" s="4">
        <f>Pracownicy!D378</f>
        <v>0</v>
      </c>
      <c r="E378" s="4">
        <f>IF(A378="","",SUMIF(Wyniki!$A$2:$A$501,A378,Wyniki!$O$2:$O$501))</f>
        <v>0</v>
      </c>
      <c r="F378" s="4">
        <f>IF(A378="","",COUNTIF(Wyniki!$A$2:$A$501,A378))</f>
        <v>0</v>
      </c>
    </row>
    <row r="379" spans="1:6" x14ac:dyDescent="0.25">
      <c r="A379" s="4">
        <f>Pracownicy!A379</f>
        <v>0</v>
      </c>
      <c r="B379" s="4">
        <f>Pracownicy!B379</f>
        <v>0</v>
      </c>
      <c r="C379" s="4">
        <f>Pracownicy!C379</f>
        <v>0</v>
      </c>
      <c r="D379" s="4">
        <f>Pracownicy!D379</f>
        <v>0</v>
      </c>
      <c r="E379" s="4">
        <f>IF(A379="","",SUMIF(Wyniki!$A$2:$A$501,A379,Wyniki!$O$2:$O$501))</f>
        <v>0</v>
      </c>
      <c r="F379" s="4">
        <f>IF(A379="","",COUNTIF(Wyniki!$A$2:$A$501,A379))</f>
        <v>0</v>
      </c>
    </row>
    <row r="380" spans="1:6" x14ac:dyDescent="0.25">
      <c r="A380" s="4">
        <f>Pracownicy!A380</f>
        <v>0</v>
      </c>
      <c r="B380" s="4">
        <f>Pracownicy!B380</f>
        <v>0</v>
      </c>
      <c r="C380" s="4">
        <f>Pracownicy!C380</f>
        <v>0</v>
      </c>
      <c r="D380" s="4">
        <f>Pracownicy!D380</f>
        <v>0</v>
      </c>
      <c r="E380" s="4">
        <f>IF(A380="","",SUMIF(Wyniki!$A$2:$A$501,A380,Wyniki!$O$2:$O$501))</f>
        <v>0</v>
      </c>
      <c r="F380" s="4">
        <f>IF(A380="","",COUNTIF(Wyniki!$A$2:$A$501,A380))</f>
        <v>0</v>
      </c>
    </row>
    <row r="381" spans="1:6" x14ac:dyDescent="0.25">
      <c r="A381" s="4">
        <f>Pracownicy!A381</f>
        <v>0</v>
      </c>
      <c r="B381" s="4">
        <f>Pracownicy!B381</f>
        <v>0</v>
      </c>
      <c r="C381" s="4">
        <f>Pracownicy!C381</f>
        <v>0</v>
      </c>
      <c r="D381" s="4">
        <f>Pracownicy!D381</f>
        <v>0</v>
      </c>
      <c r="E381" s="4">
        <f>IF(A381="","",SUMIF(Wyniki!$A$2:$A$501,A381,Wyniki!$O$2:$O$501))</f>
        <v>0</v>
      </c>
      <c r="F381" s="4">
        <f>IF(A381="","",COUNTIF(Wyniki!$A$2:$A$501,A381))</f>
        <v>0</v>
      </c>
    </row>
    <row r="382" spans="1:6" x14ac:dyDescent="0.25">
      <c r="A382" s="4">
        <f>Pracownicy!A382</f>
        <v>0</v>
      </c>
      <c r="B382" s="4">
        <f>Pracownicy!B382</f>
        <v>0</v>
      </c>
      <c r="C382" s="4">
        <f>Pracownicy!C382</f>
        <v>0</v>
      </c>
      <c r="D382" s="4">
        <f>Pracownicy!D382</f>
        <v>0</v>
      </c>
      <c r="E382" s="4">
        <f>IF(A382="","",SUMIF(Wyniki!$A$2:$A$501,A382,Wyniki!$O$2:$O$501))</f>
        <v>0</v>
      </c>
      <c r="F382" s="4">
        <f>IF(A382="","",COUNTIF(Wyniki!$A$2:$A$501,A382))</f>
        <v>0</v>
      </c>
    </row>
    <row r="383" spans="1:6" x14ac:dyDescent="0.25">
      <c r="A383" s="4">
        <f>Pracownicy!A383</f>
        <v>0</v>
      </c>
      <c r="B383" s="4">
        <f>Pracownicy!B383</f>
        <v>0</v>
      </c>
      <c r="C383" s="4">
        <f>Pracownicy!C383</f>
        <v>0</v>
      </c>
      <c r="D383" s="4">
        <f>Pracownicy!D383</f>
        <v>0</v>
      </c>
      <c r="E383" s="4">
        <f>IF(A383="","",SUMIF(Wyniki!$A$2:$A$501,A383,Wyniki!$O$2:$O$501))</f>
        <v>0</v>
      </c>
      <c r="F383" s="4">
        <f>IF(A383="","",COUNTIF(Wyniki!$A$2:$A$501,A383))</f>
        <v>0</v>
      </c>
    </row>
    <row r="384" spans="1:6" x14ac:dyDescent="0.25">
      <c r="A384" s="4">
        <f>Pracownicy!A384</f>
        <v>0</v>
      </c>
      <c r="B384" s="4">
        <f>Pracownicy!B384</f>
        <v>0</v>
      </c>
      <c r="C384" s="4">
        <f>Pracownicy!C384</f>
        <v>0</v>
      </c>
      <c r="D384" s="4">
        <f>Pracownicy!D384</f>
        <v>0</v>
      </c>
      <c r="E384" s="4">
        <f>IF(A384="","",SUMIF(Wyniki!$A$2:$A$501,A384,Wyniki!$O$2:$O$501))</f>
        <v>0</v>
      </c>
      <c r="F384" s="4">
        <f>IF(A384="","",COUNTIF(Wyniki!$A$2:$A$501,A384))</f>
        <v>0</v>
      </c>
    </row>
    <row r="385" spans="1:6" x14ac:dyDescent="0.25">
      <c r="A385" s="4">
        <f>Pracownicy!A385</f>
        <v>0</v>
      </c>
      <c r="B385" s="4">
        <f>Pracownicy!B385</f>
        <v>0</v>
      </c>
      <c r="C385" s="4">
        <f>Pracownicy!C385</f>
        <v>0</v>
      </c>
      <c r="D385" s="4">
        <f>Pracownicy!D385</f>
        <v>0</v>
      </c>
      <c r="E385" s="4">
        <f>IF(A385="","",SUMIF(Wyniki!$A$2:$A$501,A385,Wyniki!$O$2:$O$501))</f>
        <v>0</v>
      </c>
      <c r="F385" s="4">
        <f>IF(A385="","",COUNTIF(Wyniki!$A$2:$A$501,A385))</f>
        <v>0</v>
      </c>
    </row>
    <row r="386" spans="1:6" x14ac:dyDescent="0.25">
      <c r="A386" s="4">
        <f>Pracownicy!A386</f>
        <v>0</v>
      </c>
      <c r="B386" s="4">
        <f>Pracownicy!B386</f>
        <v>0</v>
      </c>
      <c r="C386" s="4">
        <f>Pracownicy!C386</f>
        <v>0</v>
      </c>
      <c r="D386" s="4">
        <f>Pracownicy!D386</f>
        <v>0</v>
      </c>
      <c r="E386" s="4">
        <f>IF(A386="","",SUMIF(Wyniki!$A$2:$A$501,A386,Wyniki!$O$2:$O$501))</f>
        <v>0</v>
      </c>
      <c r="F386" s="4">
        <f>IF(A386="","",COUNTIF(Wyniki!$A$2:$A$501,A386))</f>
        <v>0</v>
      </c>
    </row>
    <row r="387" spans="1:6" x14ac:dyDescent="0.25">
      <c r="A387" s="4">
        <f>Pracownicy!A387</f>
        <v>0</v>
      </c>
      <c r="B387" s="4">
        <f>Pracownicy!B387</f>
        <v>0</v>
      </c>
      <c r="C387" s="4">
        <f>Pracownicy!C387</f>
        <v>0</v>
      </c>
      <c r="D387" s="4">
        <f>Pracownicy!D387</f>
        <v>0</v>
      </c>
      <c r="E387" s="4">
        <f>IF(A387="","",SUMIF(Wyniki!$A$2:$A$501,A387,Wyniki!$O$2:$O$501))</f>
        <v>0</v>
      </c>
      <c r="F387" s="4">
        <f>IF(A387="","",COUNTIF(Wyniki!$A$2:$A$501,A387))</f>
        <v>0</v>
      </c>
    </row>
    <row r="388" spans="1:6" x14ac:dyDescent="0.25">
      <c r="A388" s="4">
        <f>Pracownicy!A388</f>
        <v>0</v>
      </c>
      <c r="B388" s="4">
        <f>Pracownicy!B388</f>
        <v>0</v>
      </c>
      <c r="C388" s="4">
        <f>Pracownicy!C388</f>
        <v>0</v>
      </c>
      <c r="D388" s="4">
        <f>Pracownicy!D388</f>
        <v>0</v>
      </c>
      <c r="E388" s="4">
        <f>IF(A388="","",SUMIF(Wyniki!$A$2:$A$501,A388,Wyniki!$O$2:$O$501))</f>
        <v>0</v>
      </c>
      <c r="F388" s="4">
        <f>IF(A388="","",COUNTIF(Wyniki!$A$2:$A$501,A388))</f>
        <v>0</v>
      </c>
    </row>
    <row r="389" spans="1:6" x14ac:dyDescent="0.25">
      <c r="A389" s="4">
        <f>Pracownicy!A389</f>
        <v>0</v>
      </c>
      <c r="B389" s="4">
        <f>Pracownicy!B389</f>
        <v>0</v>
      </c>
      <c r="C389" s="4">
        <f>Pracownicy!C389</f>
        <v>0</v>
      </c>
      <c r="D389" s="4">
        <f>Pracownicy!D389</f>
        <v>0</v>
      </c>
      <c r="E389" s="4">
        <f>IF(A389="","",SUMIF(Wyniki!$A$2:$A$501,A389,Wyniki!$O$2:$O$501))</f>
        <v>0</v>
      </c>
      <c r="F389" s="4">
        <f>IF(A389="","",COUNTIF(Wyniki!$A$2:$A$501,A389))</f>
        <v>0</v>
      </c>
    </row>
    <row r="390" spans="1:6" x14ac:dyDescent="0.25">
      <c r="A390" s="4">
        <f>Pracownicy!A390</f>
        <v>0</v>
      </c>
      <c r="B390" s="4">
        <f>Pracownicy!B390</f>
        <v>0</v>
      </c>
      <c r="C390" s="4">
        <f>Pracownicy!C390</f>
        <v>0</v>
      </c>
      <c r="D390" s="4">
        <f>Pracownicy!D390</f>
        <v>0</v>
      </c>
      <c r="E390" s="4">
        <f>IF(A390="","",SUMIF(Wyniki!$A$2:$A$501,A390,Wyniki!$O$2:$O$501))</f>
        <v>0</v>
      </c>
      <c r="F390" s="4">
        <f>IF(A390="","",COUNTIF(Wyniki!$A$2:$A$501,A390))</f>
        <v>0</v>
      </c>
    </row>
    <row r="391" spans="1:6" x14ac:dyDescent="0.25">
      <c r="A391" s="4">
        <f>Pracownicy!A391</f>
        <v>0</v>
      </c>
      <c r="B391" s="4">
        <f>Pracownicy!B391</f>
        <v>0</v>
      </c>
      <c r="C391" s="4">
        <f>Pracownicy!C391</f>
        <v>0</v>
      </c>
      <c r="D391" s="4">
        <f>Pracownicy!D391</f>
        <v>0</v>
      </c>
      <c r="E391" s="4">
        <f>IF(A391="","",SUMIF(Wyniki!$A$2:$A$501,A391,Wyniki!$O$2:$O$501))</f>
        <v>0</v>
      </c>
      <c r="F391" s="4">
        <f>IF(A391="","",COUNTIF(Wyniki!$A$2:$A$501,A391))</f>
        <v>0</v>
      </c>
    </row>
    <row r="392" spans="1:6" x14ac:dyDescent="0.25">
      <c r="A392" s="4">
        <f>Pracownicy!A392</f>
        <v>0</v>
      </c>
      <c r="B392" s="4">
        <f>Pracownicy!B392</f>
        <v>0</v>
      </c>
      <c r="C392" s="4">
        <f>Pracownicy!C392</f>
        <v>0</v>
      </c>
      <c r="D392" s="4">
        <f>Pracownicy!D392</f>
        <v>0</v>
      </c>
      <c r="E392" s="4">
        <f>IF(A392="","",SUMIF(Wyniki!$A$2:$A$501,A392,Wyniki!$O$2:$O$501))</f>
        <v>0</v>
      </c>
      <c r="F392" s="4">
        <f>IF(A392="","",COUNTIF(Wyniki!$A$2:$A$501,A392))</f>
        <v>0</v>
      </c>
    </row>
    <row r="393" spans="1:6" x14ac:dyDescent="0.25">
      <c r="A393" s="4">
        <f>Pracownicy!A393</f>
        <v>0</v>
      </c>
      <c r="B393" s="4">
        <f>Pracownicy!B393</f>
        <v>0</v>
      </c>
      <c r="C393" s="4">
        <f>Pracownicy!C393</f>
        <v>0</v>
      </c>
      <c r="D393" s="4">
        <f>Pracownicy!D393</f>
        <v>0</v>
      </c>
      <c r="E393" s="4">
        <f>IF(A393="","",SUMIF(Wyniki!$A$2:$A$501,A393,Wyniki!$O$2:$O$501))</f>
        <v>0</v>
      </c>
      <c r="F393" s="4">
        <f>IF(A393="","",COUNTIF(Wyniki!$A$2:$A$501,A393))</f>
        <v>0</v>
      </c>
    </row>
    <row r="394" spans="1:6" x14ac:dyDescent="0.25">
      <c r="A394" s="4">
        <f>Pracownicy!A394</f>
        <v>0</v>
      </c>
      <c r="B394" s="4">
        <f>Pracownicy!B394</f>
        <v>0</v>
      </c>
      <c r="C394" s="4">
        <f>Pracownicy!C394</f>
        <v>0</v>
      </c>
      <c r="D394" s="4">
        <f>Pracownicy!D394</f>
        <v>0</v>
      </c>
      <c r="E394" s="4">
        <f>IF(A394="","",SUMIF(Wyniki!$A$2:$A$501,A394,Wyniki!$O$2:$O$501))</f>
        <v>0</v>
      </c>
      <c r="F394" s="4">
        <f>IF(A394="","",COUNTIF(Wyniki!$A$2:$A$501,A394))</f>
        <v>0</v>
      </c>
    </row>
    <row r="395" spans="1:6" x14ac:dyDescent="0.25">
      <c r="A395" s="4">
        <f>Pracownicy!A395</f>
        <v>0</v>
      </c>
      <c r="B395" s="4">
        <f>Pracownicy!B395</f>
        <v>0</v>
      </c>
      <c r="C395" s="4">
        <f>Pracownicy!C395</f>
        <v>0</v>
      </c>
      <c r="D395" s="4">
        <f>Pracownicy!D395</f>
        <v>0</v>
      </c>
      <c r="E395" s="4">
        <f>IF(A395="","",SUMIF(Wyniki!$A$2:$A$501,A395,Wyniki!$O$2:$O$501))</f>
        <v>0</v>
      </c>
      <c r="F395" s="4">
        <f>IF(A395="","",COUNTIF(Wyniki!$A$2:$A$501,A395))</f>
        <v>0</v>
      </c>
    </row>
    <row r="396" spans="1:6" x14ac:dyDescent="0.25">
      <c r="A396" s="4">
        <f>Pracownicy!A396</f>
        <v>0</v>
      </c>
      <c r="B396" s="4">
        <f>Pracownicy!B396</f>
        <v>0</v>
      </c>
      <c r="C396" s="4">
        <f>Pracownicy!C396</f>
        <v>0</v>
      </c>
      <c r="D396" s="4">
        <f>Pracownicy!D396</f>
        <v>0</v>
      </c>
      <c r="E396" s="4">
        <f>IF(A396="","",SUMIF(Wyniki!$A$2:$A$501,A396,Wyniki!$O$2:$O$501))</f>
        <v>0</v>
      </c>
      <c r="F396" s="4">
        <f>IF(A396="","",COUNTIF(Wyniki!$A$2:$A$501,A396))</f>
        <v>0</v>
      </c>
    </row>
    <row r="397" spans="1:6" x14ac:dyDescent="0.25">
      <c r="A397" s="4">
        <f>Pracownicy!A397</f>
        <v>0</v>
      </c>
      <c r="B397" s="4">
        <f>Pracownicy!B397</f>
        <v>0</v>
      </c>
      <c r="C397" s="4">
        <f>Pracownicy!C397</f>
        <v>0</v>
      </c>
      <c r="D397" s="4">
        <f>Pracownicy!D397</f>
        <v>0</v>
      </c>
      <c r="E397" s="4">
        <f>IF(A397="","",SUMIF(Wyniki!$A$2:$A$501,A397,Wyniki!$O$2:$O$501))</f>
        <v>0</v>
      </c>
      <c r="F397" s="4">
        <f>IF(A397="","",COUNTIF(Wyniki!$A$2:$A$501,A397))</f>
        <v>0</v>
      </c>
    </row>
    <row r="398" spans="1:6" x14ac:dyDescent="0.25">
      <c r="A398" s="4">
        <f>Pracownicy!A398</f>
        <v>0</v>
      </c>
      <c r="B398" s="4">
        <f>Pracownicy!B398</f>
        <v>0</v>
      </c>
      <c r="C398" s="4">
        <f>Pracownicy!C398</f>
        <v>0</v>
      </c>
      <c r="D398" s="4">
        <f>Pracownicy!D398</f>
        <v>0</v>
      </c>
      <c r="E398" s="4">
        <f>IF(A398="","",SUMIF(Wyniki!$A$2:$A$501,A398,Wyniki!$O$2:$O$501))</f>
        <v>0</v>
      </c>
      <c r="F398" s="4">
        <f>IF(A398="","",COUNTIF(Wyniki!$A$2:$A$501,A398))</f>
        <v>0</v>
      </c>
    </row>
    <row r="399" spans="1:6" x14ac:dyDescent="0.25">
      <c r="A399" s="4">
        <f>Pracownicy!A399</f>
        <v>0</v>
      </c>
      <c r="B399" s="4">
        <f>Pracownicy!B399</f>
        <v>0</v>
      </c>
      <c r="C399" s="4">
        <f>Pracownicy!C399</f>
        <v>0</v>
      </c>
      <c r="D399" s="4">
        <f>Pracownicy!D399</f>
        <v>0</v>
      </c>
      <c r="E399" s="4">
        <f>IF(A399="","",SUMIF(Wyniki!$A$2:$A$501,A399,Wyniki!$O$2:$O$501))</f>
        <v>0</v>
      </c>
      <c r="F399" s="4">
        <f>IF(A399="","",COUNTIF(Wyniki!$A$2:$A$501,A399))</f>
        <v>0</v>
      </c>
    </row>
    <row r="400" spans="1:6" x14ac:dyDescent="0.25">
      <c r="A400" s="4">
        <f>Pracownicy!A400</f>
        <v>0</v>
      </c>
      <c r="B400" s="4">
        <f>Pracownicy!B400</f>
        <v>0</v>
      </c>
      <c r="C400" s="4">
        <f>Pracownicy!C400</f>
        <v>0</v>
      </c>
      <c r="D400" s="4">
        <f>Pracownicy!D400</f>
        <v>0</v>
      </c>
      <c r="E400" s="4">
        <f>IF(A400="","",SUMIF(Wyniki!$A$2:$A$501,A400,Wyniki!$O$2:$O$501))</f>
        <v>0</v>
      </c>
      <c r="F400" s="4">
        <f>IF(A400="","",COUNTIF(Wyniki!$A$2:$A$501,A400))</f>
        <v>0</v>
      </c>
    </row>
    <row r="401" spans="1:6" x14ac:dyDescent="0.25">
      <c r="A401" s="4">
        <f>Pracownicy!A401</f>
        <v>0</v>
      </c>
      <c r="B401" s="4">
        <f>Pracownicy!B401</f>
        <v>0</v>
      </c>
      <c r="C401" s="4">
        <f>Pracownicy!C401</f>
        <v>0</v>
      </c>
      <c r="D401" s="4">
        <f>Pracownicy!D401</f>
        <v>0</v>
      </c>
      <c r="E401" s="4">
        <f>IF(A401="","",SUMIF(Wyniki!$A$2:$A$501,A401,Wyniki!$O$2:$O$501))</f>
        <v>0</v>
      </c>
      <c r="F401" s="4">
        <f>IF(A401="","",COUNTIF(Wyniki!$A$2:$A$501,A401))</f>
        <v>0</v>
      </c>
    </row>
    <row r="402" spans="1:6" x14ac:dyDescent="0.25">
      <c r="A402" s="4">
        <f>Pracownicy!A402</f>
        <v>0</v>
      </c>
      <c r="B402" s="4">
        <f>Pracownicy!B402</f>
        <v>0</v>
      </c>
      <c r="C402" s="4">
        <f>Pracownicy!C402</f>
        <v>0</v>
      </c>
      <c r="D402" s="4">
        <f>Pracownicy!D402</f>
        <v>0</v>
      </c>
      <c r="E402" s="4">
        <f>IF(A402="","",SUMIF(Wyniki!$A$2:$A$501,A402,Wyniki!$O$2:$O$501))</f>
        <v>0</v>
      </c>
      <c r="F402" s="4">
        <f>IF(A402="","",COUNTIF(Wyniki!$A$2:$A$501,A402))</f>
        <v>0</v>
      </c>
    </row>
    <row r="403" spans="1:6" x14ac:dyDescent="0.25">
      <c r="A403" s="4">
        <f>Pracownicy!A403</f>
        <v>0</v>
      </c>
      <c r="B403" s="4">
        <f>Pracownicy!B403</f>
        <v>0</v>
      </c>
      <c r="C403" s="4">
        <f>Pracownicy!C403</f>
        <v>0</v>
      </c>
      <c r="D403" s="4">
        <f>Pracownicy!D403</f>
        <v>0</v>
      </c>
      <c r="E403" s="4">
        <f>IF(A403="","",SUMIF(Wyniki!$A$2:$A$501,A403,Wyniki!$O$2:$O$501))</f>
        <v>0</v>
      </c>
      <c r="F403" s="4">
        <f>IF(A403="","",COUNTIF(Wyniki!$A$2:$A$501,A403))</f>
        <v>0</v>
      </c>
    </row>
    <row r="404" spans="1:6" x14ac:dyDescent="0.25">
      <c r="A404" s="4">
        <f>Pracownicy!A404</f>
        <v>0</v>
      </c>
      <c r="B404" s="4">
        <f>Pracownicy!B404</f>
        <v>0</v>
      </c>
      <c r="C404" s="4">
        <f>Pracownicy!C404</f>
        <v>0</v>
      </c>
      <c r="D404" s="4">
        <f>Pracownicy!D404</f>
        <v>0</v>
      </c>
      <c r="E404" s="4">
        <f>IF(A404="","",SUMIF(Wyniki!$A$2:$A$501,A404,Wyniki!$O$2:$O$501))</f>
        <v>0</v>
      </c>
      <c r="F404" s="4">
        <f>IF(A404="","",COUNTIF(Wyniki!$A$2:$A$501,A404))</f>
        <v>0</v>
      </c>
    </row>
    <row r="405" spans="1:6" x14ac:dyDescent="0.25">
      <c r="A405" s="4">
        <f>Pracownicy!A405</f>
        <v>0</v>
      </c>
      <c r="B405" s="4">
        <f>Pracownicy!B405</f>
        <v>0</v>
      </c>
      <c r="C405" s="4">
        <f>Pracownicy!C405</f>
        <v>0</v>
      </c>
      <c r="D405" s="4">
        <f>Pracownicy!D405</f>
        <v>0</v>
      </c>
      <c r="E405" s="4">
        <f>IF(A405="","",SUMIF(Wyniki!$A$2:$A$501,A405,Wyniki!$O$2:$O$501))</f>
        <v>0</v>
      </c>
      <c r="F405" s="4">
        <f>IF(A405="","",COUNTIF(Wyniki!$A$2:$A$501,A405))</f>
        <v>0</v>
      </c>
    </row>
    <row r="406" spans="1:6" x14ac:dyDescent="0.25">
      <c r="A406" s="4">
        <f>Pracownicy!A406</f>
        <v>0</v>
      </c>
      <c r="B406" s="4">
        <f>Pracownicy!B406</f>
        <v>0</v>
      </c>
      <c r="C406" s="4">
        <f>Pracownicy!C406</f>
        <v>0</v>
      </c>
      <c r="D406" s="4">
        <f>Pracownicy!D406</f>
        <v>0</v>
      </c>
      <c r="E406" s="4">
        <f>IF(A406="","",SUMIF(Wyniki!$A$2:$A$501,A406,Wyniki!$O$2:$O$501))</f>
        <v>0</v>
      </c>
      <c r="F406" s="4">
        <f>IF(A406="","",COUNTIF(Wyniki!$A$2:$A$501,A406))</f>
        <v>0</v>
      </c>
    </row>
    <row r="407" spans="1:6" x14ac:dyDescent="0.25">
      <c r="A407" s="4">
        <f>Pracownicy!A407</f>
        <v>0</v>
      </c>
      <c r="B407" s="4">
        <f>Pracownicy!B407</f>
        <v>0</v>
      </c>
      <c r="C407" s="4">
        <f>Pracownicy!C407</f>
        <v>0</v>
      </c>
      <c r="D407" s="4">
        <f>Pracownicy!D407</f>
        <v>0</v>
      </c>
      <c r="E407" s="4">
        <f>IF(A407="","",SUMIF(Wyniki!$A$2:$A$501,A407,Wyniki!$O$2:$O$501))</f>
        <v>0</v>
      </c>
      <c r="F407" s="4">
        <f>IF(A407="","",COUNTIF(Wyniki!$A$2:$A$501,A407))</f>
        <v>0</v>
      </c>
    </row>
    <row r="408" spans="1:6" x14ac:dyDescent="0.25">
      <c r="A408" s="4">
        <f>Pracownicy!A408</f>
        <v>0</v>
      </c>
      <c r="B408" s="4">
        <f>Pracownicy!B408</f>
        <v>0</v>
      </c>
      <c r="C408" s="4">
        <f>Pracownicy!C408</f>
        <v>0</v>
      </c>
      <c r="D408" s="4">
        <f>Pracownicy!D408</f>
        <v>0</v>
      </c>
      <c r="E408" s="4">
        <f>IF(A408="","",SUMIF(Wyniki!$A$2:$A$501,A408,Wyniki!$O$2:$O$501))</f>
        <v>0</v>
      </c>
      <c r="F408" s="4">
        <f>IF(A408="","",COUNTIF(Wyniki!$A$2:$A$501,A408))</f>
        <v>0</v>
      </c>
    </row>
    <row r="409" spans="1:6" x14ac:dyDescent="0.25">
      <c r="A409" s="4">
        <f>Pracownicy!A409</f>
        <v>0</v>
      </c>
      <c r="B409" s="4">
        <f>Pracownicy!B409</f>
        <v>0</v>
      </c>
      <c r="C409" s="4">
        <f>Pracownicy!C409</f>
        <v>0</v>
      </c>
      <c r="D409" s="4">
        <f>Pracownicy!D409</f>
        <v>0</v>
      </c>
      <c r="E409" s="4">
        <f>IF(A409="","",SUMIF(Wyniki!$A$2:$A$501,A409,Wyniki!$O$2:$O$501))</f>
        <v>0</v>
      </c>
      <c r="F409" s="4">
        <f>IF(A409="","",COUNTIF(Wyniki!$A$2:$A$501,A409))</f>
        <v>0</v>
      </c>
    </row>
    <row r="410" spans="1:6" x14ac:dyDescent="0.25">
      <c r="A410" s="4">
        <f>Pracownicy!A410</f>
        <v>0</v>
      </c>
      <c r="B410" s="4">
        <f>Pracownicy!B410</f>
        <v>0</v>
      </c>
      <c r="C410" s="4">
        <f>Pracownicy!C410</f>
        <v>0</v>
      </c>
      <c r="D410" s="4">
        <f>Pracownicy!D410</f>
        <v>0</v>
      </c>
      <c r="E410" s="4">
        <f>IF(A410="","",SUMIF(Wyniki!$A$2:$A$501,A410,Wyniki!$O$2:$O$501))</f>
        <v>0</v>
      </c>
      <c r="F410" s="4">
        <f>IF(A410="","",COUNTIF(Wyniki!$A$2:$A$501,A410))</f>
        <v>0</v>
      </c>
    </row>
    <row r="411" spans="1:6" x14ac:dyDescent="0.25">
      <c r="A411" s="4">
        <f>Pracownicy!A411</f>
        <v>0</v>
      </c>
      <c r="B411" s="4">
        <f>Pracownicy!B411</f>
        <v>0</v>
      </c>
      <c r="C411" s="4">
        <f>Pracownicy!C411</f>
        <v>0</v>
      </c>
      <c r="D411" s="4">
        <f>Pracownicy!D411</f>
        <v>0</v>
      </c>
      <c r="E411" s="4">
        <f>IF(A411="","",SUMIF(Wyniki!$A$2:$A$501,A411,Wyniki!$O$2:$O$501))</f>
        <v>0</v>
      </c>
      <c r="F411" s="4">
        <f>IF(A411="","",COUNTIF(Wyniki!$A$2:$A$501,A411))</f>
        <v>0</v>
      </c>
    </row>
    <row r="412" spans="1:6" x14ac:dyDescent="0.25">
      <c r="A412" s="4">
        <f>Pracownicy!A412</f>
        <v>0</v>
      </c>
      <c r="B412" s="4">
        <f>Pracownicy!B412</f>
        <v>0</v>
      </c>
      <c r="C412" s="4">
        <f>Pracownicy!C412</f>
        <v>0</v>
      </c>
      <c r="D412" s="4">
        <f>Pracownicy!D412</f>
        <v>0</v>
      </c>
      <c r="E412" s="4">
        <f>IF(A412="","",SUMIF(Wyniki!$A$2:$A$501,A412,Wyniki!$O$2:$O$501))</f>
        <v>0</v>
      </c>
      <c r="F412" s="4">
        <f>IF(A412="","",COUNTIF(Wyniki!$A$2:$A$501,A412))</f>
        <v>0</v>
      </c>
    </row>
    <row r="413" spans="1:6" x14ac:dyDescent="0.25">
      <c r="A413" s="4">
        <f>Pracownicy!A413</f>
        <v>0</v>
      </c>
      <c r="B413" s="4">
        <f>Pracownicy!B413</f>
        <v>0</v>
      </c>
      <c r="C413" s="4">
        <f>Pracownicy!C413</f>
        <v>0</v>
      </c>
      <c r="D413" s="4">
        <f>Pracownicy!D413</f>
        <v>0</v>
      </c>
      <c r="E413" s="4">
        <f>IF(A413="","",SUMIF(Wyniki!$A$2:$A$501,A413,Wyniki!$O$2:$O$501))</f>
        <v>0</v>
      </c>
      <c r="F413" s="4">
        <f>IF(A413="","",COUNTIF(Wyniki!$A$2:$A$501,A413))</f>
        <v>0</v>
      </c>
    </row>
    <row r="414" spans="1:6" x14ac:dyDescent="0.25">
      <c r="A414" s="4">
        <f>Pracownicy!A414</f>
        <v>0</v>
      </c>
      <c r="B414" s="4">
        <f>Pracownicy!B414</f>
        <v>0</v>
      </c>
      <c r="C414" s="4">
        <f>Pracownicy!C414</f>
        <v>0</v>
      </c>
      <c r="D414" s="4">
        <f>Pracownicy!D414</f>
        <v>0</v>
      </c>
      <c r="E414" s="4">
        <f>IF(A414="","",SUMIF(Wyniki!$A$2:$A$501,A414,Wyniki!$O$2:$O$501))</f>
        <v>0</v>
      </c>
      <c r="F414" s="4">
        <f>IF(A414="","",COUNTIF(Wyniki!$A$2:$A$501,A414))</f>
        <v>0</v>
      </c>
    </row>
    <row r="415" spans="1:6" x14ac:dyDescent="0.25">
      <c r="A415" s="4">
        <f>Pracownicy!A415</f>
        <v>0</v>
      </c>
      <c r="B415" s="4">
        <f>Pracownicy!B415</f>
        <v>0</v>
      </c>
      <c r="C415" s="4">
        <f>Pracownicy!C415</f>
        <v>0</v>
      </c>
      <c r="D415" s="4">
        <f>Pracownicy!D415</f>
        <v>0</v>
      </c>
      <c r="E415" s="4">
        <f>IF(A415="","",SUMIF(Wyniki!$A$2:$A$501,A415,Wyniki!$O$2:$O$501))</f>
        <v>0</v>
      </c>
      <c r="F415" s="4">
        <f>IF(A415="","",COUNTIF(Wyniki!$A$2:$A$501,A415))</f>
        <v>0</v>
      </c>
    </row>
    <row r="416" spans="1:6" x14ac:dyDescent="0.25">
      <c r="A416" s="4">
        <f>Pracownicy!A416</f>
        <v>0</v>
      </c>
      <c r="B416" s="4">
        <f>Pracownicy!B416</f>
        <v>0</v>
      </c>
      <c r="C416" s="4">
        <f>Pracownicy!C416</f>
        <v>0</v>
      </c>
      <c r="D416" s="4">
        <f>Pracownicy!D416</f>
        <v>0</v>
      </c>
      <c r="E416" s="4">
        <f>IF(A416="","",SUMIF(Wyniki!$A$2:$A$501,A416,Wyniki!$O$2:$O$501))</f>
        <v>0</v>
      </c>
      <c r="F416" s="4">
        <f>IF(A416="","",COUNTIF(Wyniki!$A$2:$A$501,A416))</f>
        <v>0</v>
      </c>
    </row>
    <row r="417" spans="1:6" x14ac:dyDescent="0.25">
      <c r="A417" s="4">
        <f>Pracownicy!A417</f>
        <v>0</v>
      </c>
      <c r="B417" s="4">
        <f>Pracownicy!B417</f>
        <v>0</v>
      </c>
      <c r="C417" s="4">
        <f>Pracownicy!C417</f>
        <v>0</v>
      </c>
      <c r="D417" s="4">
        <f>Pracownicy!D417</f>
        <v>0</v>
      </c>
      <c r="E417" s="4">
        <f>IF(A417="","",SUMIF(Wyniki!$A$2:$A$501,A417,Wyniki!$O$2:$O$501))</f>
        <v>0</v>
      </c>
      <c r="F417" s="4">
        <f>IF(A417="","",COUNTIF(Wyniki!$A$2:$A$501,A417))</f>
        <v>0</v>
      </c>
    </row>
    <row r="418" spans="1:6" x14ac:dyDescent="0.25">
      <c r="A418" s="4">
        <f>Pracownicy!A418</f>
        <v>0</v>
      </c>
      <c r="B418" s="4">
        <f>Pracownicy!B418</f>
        <v>0</v>
      </c>
      <c r="C418" s="4">
        <f>Pracownicy!C418</f>
        <v>0</v>
      </c>
      <c r="D418" s="4">
        <f>Pracownicy!D418</f>
        <v>0</v>
      </c>
      <c r="E418" s="4">
        <f>IF(A418="","",SUMIF(Wyniki!$A$2:$A$501,A418,Wyniki!$O$2:$O$501))</f>
        <v>0</v>
      </c>
      <c r="F418" s="4">
        <f>IF(A418="","",COUNTIF(Wyniki!$A$2:$A$501,A418))</f>
        <v>0</v>
      </c>
    </row>
    <row r="419" spans="1:6" x14ac:dyDescent="0.25">
      <c r="A419" s="4">
        <f>Pracownicy!A419</f>
        <v>0</v>
      </c>
      <c r="B419" s="4">
        <f>Pracownicy!B419</f>
        <v>0</v>
      </c>
      <c r="C419" s="4">
        <f>Pracownicy!C419</f>
        <v>0</v>
      </c>
      <c r="D419" s="4">
        <f>Pracownicy!D419</f>
        <v>0</v>
      </c>
      <c r="E419" s="4">
        <f>IF(A419="","",SUMIF(Wyniki!$A$2:$A$501,A419,Wyniki!$O$2:$O$501))</f>
        <v>0</v>
      </c>
      <c r="F419" s="4">
        <f>IF(A419="","",COUNTIF(Wyniki!$A$2:$A$501,A419))</f>
        <v>0</v>
      </c>
    </row>
    <row r="420" spans="1:6" x14ac:dyDescent="0.25">
      <c r="A420" s="4">
        <f>Pracownicy!A420</f>
        <v>0</v>
      </c>
      <c r="B420" s="4">
        <f>Pracownicy!B420</f>
        <v>0</v>
      </c>
      <c r="C420" s="4">
        <f>Pracownicy!C420</f>
        <v>0</v>
      </c>
      <c r="D420" s="4">
        <f>Pracownicy!D420</f>
        <v>0</v>
      </c>
      <c r="E420" s="4">
        <f>IF(A420="","",SUMIF(Wyniki!$A$2:$A$501,A420,Wyniki!$O$2:$O$501))</f>
        <v>0</v>
      </c>
      <c r="F420" s="4">
        <f>IF(A420="","",COUNTIF(Wyniki!$A$2:$A$501,A420))</f>
        <v>0</v>
      </c>
    </row>
    <row r="421" spans="1:6" x14ac:dyDescent="0.25">
      <c r="A421" s="4">
        <f>Pracownicy!A421</f>
        <v>0</v>
      </c>
      <c r="B421" s="4">
        <f>Pracownicy!B421</f>
        <v>0</v>
      </c>
      <c r="C421" s="4">
        <f>Pracownicy!C421</f>
        <v>0</v>
      </c>
      <c r="D421" s="4">
        <f>Pracownicy!D421</f>
        <v>0</v>
      </c>
      <c r="E421" s="4">
        <f>IF(A421="","",SUMIF(Wyniki!$A$2:$A$501,A421,Wyniki!$O$2:$O$501))</f>
        <v>0</v>
      </c>
      <c r="F421" s="4">
        <f>IF(A421="","",COUNTIF(Wyniki!$A$2:$A$501,A421))</f>
        <v>0</v>
      </c>
    </row>
    <row r="422" spans="1:6" x14ac:dyDescent="0.25">
      <c r="A422" s="4">
        <f>Pracownicy!A422</f>
        <v>0</v>
      </c>
      <c r="B422" s="4">
        <f>Pracownicy!B422</f>
        <v>0</v>
      </c>
      <c r="C422" s="4">
        <f>Pracownicy!C422</f>
        <v>0</v>
      </c>
      <c r="D422" s="4">
        <f>Pracownicy!D422</f>
        <v>0</v>
      </c>
      <c r="E422" s="4">
        <f>IF(A422="","",SUMIF(Wyniki!$A$2:$A$501,A422,Wyniki!$O$2:$O$501))</f>
        <v>0</v>
      </c>
      <c r="F422" s="4">
        <f>IF(A422="","",COUNTIF(Wyniki!$A$2:$A$501,A422))</f>
        <v>0</v>
      </c>
    </row>
    <row r="423" spans="1:6" x14ac:dyDescent="0.25">
      <c r="A423" s="4">
        <f>Pracownicy!A423</f>
        <v>0</v>
      </c>
      <c r="B423" s="4">
        <f>Pracownicy!B423</f>
        <v>0</v>
      </c>
      <c r="C423" s="4">
        <f>Pracownicy!C423</f>
        <v>0</v>
      </c>
      <c r="D423" s="4">
        <f>Pracownicy!D423</f>
        <v>0</v>
      </c>
      <c r="E423" s="4">
        <f>IF(A423="","",SUMIF(Wyniki!$A$2:$A$501,A423,Wyniki!$O$2:$O$501))</f>
        <v>0</v>
      </c>
      <c r="F423" s="4">
        <f>IF(A423="","",COUNTIF(Wyniki!$A$2:$A$501,A423))</f>
        <v>0</v>
      </c>
    </row>
    <row r="424" spans="1:6" x14ac:dyDescent="0.25">
      <c r="A424" s="4">
        <f>Pracownicy!A424</f>
        <v>0</v>
      </c>
      <c r="B424" s="4">
        <f>Pracownicy!B424</f>
        <v>0</v>
      </c>
      <c r="C424" s="4">
        <f>Pracownicy!C424</f>
        <v>0</v>
      </c>
      <c r="D424" s="4">
        <f>Pracownicy!D424</f>
        <v>0</v>
      </c>
      <c r="E424" s="4">
        <f>IF(A424="","",SUMIF(Wyniki!$A$2:$A$501,A424,Wyniki!$O$2:$O$501))</f>
        <v>0</v>
      </c>
      <c r="F424" s="4">
        <f>IF(A424="","",COUNTIF(Wyniki!$A$2:$A$501,A424))</f>
        <v>0</v>
      </c>
    </row>
    <row r="425" spans="1:6" x14ac:dyDescent="0.25">
      <c r="A425" s="4">
        <f>Pracownicy!A425</f>
        <v>0</v>
      </c>
      <c r="B425" s="4">
        <f>Pracownicy!B425</f>
        <v>0</v>
      </c>
      <c r="C425" s="4">
        <f>Pracownicy!C425</f>
        <v>0</v>
      </c>
      <c r="D425" s="4">
        <f>Pracownicy!D425</f>
        <v>0</v>
      </c>
      <c r="E425" s="4">
        <f>IF(A425="","",SUMIF(Wyniki!$A$2:$A$501,A425,Wyniki!$O$2:$O$501))</f>
        <v>0</v>
      </c>
      <c r="F425" s="4">
        <f>IF(A425="","",COUNTIF(Wyniki!$A$2:$A$501,A425))</f>
        <v>0</v>
      </c>
    </row>
    <row r="426" spans="1:6" x14ac:dyDescent="0.25">
      <c r="A426" s="4">
        <f>Pracownicy!A426</f>
        <v>0</v>
      </c>
      <c r="B426" s="4">
        <f>Pracownicy!B426</f>
        <v>0</v>
      </c>
      <c r="C426" s="4">
        <f>Pracownicy!C426</f>
        <v>0</v>
      </c>
      <c r="D426" s="4">
        <f>Pracownicy!D426</f>
        <v>0</v>
      </c>
      <c r="E426" s="4">
        <f>IF(A426="","",SUMIF(Wyniki!$A$2:$A$501,A426,Wyniki!$O$2:$O$501))</f>
        <v>0</v>
      </c>
      <c r="F426" s="4">
        <f>IF(A426="","",COUNTIF(Wyniki!$A$2:$A$501,A426))</f>
        <v>0</v>
      </c>
    </row>
    <row r="427" spans="1:6" x14ac:dyDescent="0.25">
      <c r="A427" s="4">
        <f>Pracownicy!A427</f>
        <v>0</v>
      </c>
      <c r="B427" s="4">
        <f>Pracownicy!B427</f>
        <v>0</v>
      </c>
      <c r="C427" s="4">
        <f>Pracownicy!C427</f>
        <v>0</v>
      </c>
      <c r="D427" s="4">
        <f>Pracownicy!D427</f>
        <v>0</v>
      </c>
      <c r="E427" s="4">
        <f>IF(A427="","",SUMIF(Wyniki!$A$2:$A$501,A427,Wyniki!$O$2:$O$501))</f>
        <v>0</v>
      </c>
      <c r="F427" s="4">
        <f>IF(A427="","",COUNTIF(Wyniki!$A$2:$A$501,A427))</f>
        <v>0</v>
      </c>
    </row>
    <row r="428" spans="1:6" x14ac:dyDescent="0.25">
      <c r="A428" s="4">
        <f>Pracownicy!A428</f>
        <v>0</v>
      </c>
      <c r="B428" s="4">
        <f>Pracownicy!B428</f>
        <v>0</v>
      </c>
      <c r="C428" s="4">
        <f>Pracownicy!C428</f>
        <v>0</v>
      </c>
      <c r="D428" s="4">
        <f>Pracownicy!D428</f>
        <v>0</v>
      </c>
      <c r="E428" s="4">
        <f>IF(A428="","",SUMIF(Wyniki!$A$2:$A$501,A428,Wyniki!$O$2:$O$501))</f>
        <v>0</v>
      </c>
      <c r="F428" s="4">
        <f>IF(A428="","",COUNTIF(Wyniki!$A$2:$A$501,A428))</f>
        <v>0</v>
      </c>
    </row>
    <row r="429" spans="1:6" x14ac:dyDescent="0.25">
      <c r="A429" s="4">
        <f>Pracownicy!A429</f>
        <v>0</v>
      </c>
      <c r="B429" s="4">
        <f>Pracownicy!B429</f>
        <v>0</v>
      </c>
      <c r="C429" s="4">
        <f>Pracownicy!C429</f>
        <v>0</v>
      </c>
      <c r="D429" s="4">
        <f>Pracownicy!D429</f>
        <v>0</v>
      </c>
      <c r="E429" s="4">
        <f>IF(A429="","",SUMIF(Wyniki!$A$2:$A$501,A429,Wyniki!$O$2:$O$501))</f>
        <v>0</v>
      </c>
      <c r="F429" s="4">
        <f>IF(A429="","",COUNTIF(Wyniki!$A$2:$A$501,A429))</f>
        <v>0</v>
      </c>
    </row>
    <row r="430" spans="1:6" x14ac:dyDescent="0.25">
      <c r="A430" s="4">
        <f>Pracownicy!A430</f>
        <v>0</v>
      </c>
      <c r="B430" s="4">
        <f>Pracownicy!B430</f>
        <v>0</v>
      </c>
      <c r="C430" s="4">
        <f>Pracownicy!C430</f>
        <v>0</v>
      </c>
      <c r="D430" s="4">
        <f>Pracownicy!D430</f>
        <v>0</v>
      </c>
      <c r="E430" s="4">
        <f>IF(A430="","",SUMIF(Wyniki!$A$2:$A$501,A430,Wyniki!$O$2:$O$501))</f>
        <v>0</v>
      </c>
      <c r="F430" s="4">
        <f>IF(A430="","",COUNTIF(Wyniki!$A$2:$A$501,A430))</f>
        <v>0</v>
      </c>
    </row>
    <row r="431" spans="1:6" x14ac:dyDescent="0.25">
      <c r="A431" s="4">
        <f>Pracownicy!A431</f>
        <v>0</v>
      </c>
      <c r="B431" s="4">
        <f>Pracownicy!B431</f>
        <v>0</v>
      </c>
      <c r="C431" s="4">
        <f>Pracownicy!C431</f>
        <v>0</v>
      </c>
      <c r="D431" s="4">
        <f>Pracownicy!D431</f>
        <v>0</v>
      </c>
      <c r="E431" s="4">
        <f>IF(A431="","",SUMIF(Wyniki!$A$2:$A$501,A431,Wyniki!$O$2:$O$501))</f>
        <v>0</v>
      </c>
      <c r="F431" s="4">
        <f>IF(A431="","",COUNTIF(Wyniki!$A$2:$A$501,A431))</f>
        <v>0</v>
      </c>
    </row>
    <row r="432" spans="1:6" x14ac:dyDescent="0.25">
      <c r="A432" s="4">
        <f>Pracownicy!A432</f>
        <v>0</v>
      </c>
      <c r="B432" s="4">
        <f>Pracownicy!B432</f>
        <v>0</v>
      </c>
      <c r="C432" s="4">
        <f>Pracownicy!C432</f>
        <v>0</v>
      </c>
      <c r="D432" s="4">
        <f>Pracownicy!D432</f>
        <v>0</v>
      </c>
      <c r="E432" s="4">
        <f>IF(A432="","",SUMIF(Wyniki!$A$2:$A$501,A432,Wyniki!$O$2:$O$501))</f>
        <v>0</v>
      </c>
      <c r="F432" s="4">
        <f>IF(A432="","",COUNTIF(Wyniki!$A$2:$A$501,A432))</f>
        <v>0</v>
      </c>
    </row>
    <row r="433" spans="1:6" x14ac:dyDescent="0.25">
      <c r="A433" s="4">
        <f>Pracownicy!A433</f>
        <v>0</v>
      </c>
      <c r="B433" s="4">
        <f>Pracownicy!B433</f>
        <v>0</v>
      </c>
      <c r="C433" s="4">
        <f>Pracownicy!C433</f>
        <v>0</v>
      </c>
      <c r="D433" s="4">
        <f>Pracownicy!D433</f>
        <v>0</v>
      </c>
      <c r="E433" s="4">
        <f>IF(A433="","",SUMIF(Wyniki!$A$2:$A$501,A433,Wyniki!$O$2:$O$501))</f>
        <v>0</v>
      </c>
      <c r="F433" s="4">
        <f>IF(A433="","",COUNTIF(Wyniki!$A$2:$A$501,A433))</f>
        <v>0</v>
      </c>
    </row>
    <row r="434" spans="1:6" x14ac:dyDescent="0.25">
      <c r="A434" s="4">
        <f>Pracownicy!A434</f>
        <v>0</v>
      </c>
      <c r="B434" s="4">
        <f>Pracownicy!B434</f>
        <v>0</v>
      </c>
      <c r="C434" s="4">
        <f>Pracownicy!C434</f>
        <v>0</v>
      </c>
      <c r="D434" s="4">
        <f>Pracownicy!D434</f>
        <v>0</v>
      </c>
      <c r="E434" s="4">
        <f>IF(A434="","",SUMIF(Wyniki!$A$2:$A$501,A434,Wyniki!$O$2:$O$501))</f>
        <v>0</v>
      </c>
      <c r="F434" s="4">
        <f>IF(A434="","",COUNTIF(Wyniki!$A$2:$A$501,A434))</f>
        <v>0</v>
      </c>
    </row>
    <row r="435" spans="1:6" x14ac:dyDescent="0.25">
      <c r="A435" s="4">
        <f>Pracownicy!A435</f>
        <v>0</v>
      </c>
      <c r="B435" s="4">
        <f>Pracownicy!B435</f>
        <v>0</v>
      </c>
      <c r="C435" s="4">
        <f>Pracownicy!C435</f>
        <v>0</v>
      </c>
      <c r="D435" s="4">
        <f>Pracownicy!D435</f>
        <v>0</v>
      </c>
      <c r="E435" s="4">
        <f>IF(A435="","",SUMIF(Wyniki!$A$2:$A$501,A435,Wyniki!$O$2:$O$501))</f>
        <v>0</v>
      </c>
      <c r="F435" s="4">
        <f>IF(A435="","",COUNTIF(Wyniki!$A$2:$A$501,A435))</f>
        <v>0</v>
      </c>
    </row>
    <row r="436" spans="1:6" x14ac:dyDescent="0.25">
      <c r="A436" s="4">
        <f>Pracownicy!A436</f>
        <v>0</v>
      </c>
      <c r="B436" s="4">
        <f>Pracownicy!B436</f>
        <v>0</v>
      </c>
      <c r="C436" s="4">
        <f>Pracownicy!C436</f>
        <v>0</v>
      </c>
      <c r="D436" s="4">
        <f>Pracownicy!D436</f>
        <v>0</v>
      </c>
      <c r="E436" s="4">
        <f>IF(A436="","",SUMIF(Wyniki!$A$2:$A$501,A436,Wyniki!$O$2:$O$501))</f>
        <v>0</v>
      </c>
      <c r="F436" s="4">
        <f>IF(A436="","",COUNTIF(Wyniki!$A$2:$A$501,A436))</f>
        <v>0</v>
      </c>
    </row>
    <row r="437" spans="1:6" x14ac:dyDescent="0.25">
      <c r="A437" s="4">
        <f>Pracownicy!A437</f>
        <v>0</v>
      </c>
      <c r="B437" s="4">
        <f>Pracownicy!B437</f>
        <v>0</v>
      </c>
      <c r="C437" s="4">
        <f>Pracownicy!C437</f>
        <v>0</v>
      </c>
      <c r="D437" s="4">
        <f>Pracownicy!D437</f>
        <v>0</v>
      </c>
      <c r="E437" s="4">
        <f>IF(A437="","",SUMIF(Wyniki!$A$2:$A$501,A437,Wyniki!$O$2:$O$501))</f>
        <v>0</v>
      </c>
      <c r="F437" s="4">
        <f>IF(A437="","",COUNTIF(Wyniki!$A$2:$A$501,A437))</f>
        <v>0</v>
      </c>
    </row>
    <row r="438" spans="1:6" x14ac:dyDescent="0.25">
      <c r="A438" s="4">
        <f>Pracownicy!A438</f>
        <v>0</v>
      </c>
      <c r="B438" s="4">
        <f>Pracownicy!B438</f>
        <v>0</v>
      </c>
      <c r="C438" s="4">
        <f>Pracownicy!C438</f>
        <v>0</v>
      </c>
      <c r="D438" s="4">
        <f>Pracownicy!D438</f>
        <v>0</v>
      </c>
      <c r="E438" s="4">
        <f>IF(A438="","",SUMIF(Wyniki!$A$2:$A$501,A438,Wyniki!$O$2:$O$501))</f>
        <v>0</v>
      </c>
      <c r="F438" s="4">
        <f>IF(A438="","",COUNTIF(Wyniki!$A$2:$A$501,A438))</f>
        <v>0</v>
      </c>
    </row>
    <row r="439" spans="1:6" x14ac:dyDescent="0.25">
      <c r="A439" s="4">
        <f>Pracownicy!A439</f>
        <v>0</v>
      </c>
      <c r="B439" s="4">
        <f>Pracownicy!B439</f>
        <v>0</v>
      </c>
      <c r="C439" s="4">
        <f>Pracownicy!C439</f>
        <v>0</v>
      </c>
      <c r="D439" s="4">
        <f>Pracownicy!D439</f>
        <v>0</v>
      </c>
      <c r="E439" s="4">
        <f>IF(A439="","",SUMIF(Wyniki!$A$2:$A$501,A439,Wyniki!$O$2:$O$501))</f>
        <v>0</v>
      </c>
      <c r="F439" s="4">
        <f>IF(A439="","",COUNTIF(Wyniki!$A$2:$A$501,A439))</f>
        <v>0</v>
      </c>
    </row>
    <row r="440" spans="1:6" x14ac:dyDescent="0.25">
      <c r="A440" s="4">
        <f>Pracownicy!A440</f>
        <v>0</v>
      </c>
      <c r="B440" s="4">
        <f>Pracownicy!B440</f>
        <v>0</v>
      </c>
      <c r="C440" s="4">
        <f>Pracownicy!C440</f>
        <v>0</v>
      </c>
      <c r="D440" s="4">
        <f>Pracownicy!D440</f>
        <v>0</v>
      </c>
      <c r="E440" s="4">
        <f>IF(A440="","",SUMIF(Wyniki!$A$2:$A$501,A440,Wyniki!$O$2:$O$501))</f>
        <v>0</v>
      </c>
      <c r="F440" s="4">
        <f>IF(A440="","",COUNTIF(Wyniki!$A$2:$A$501,A440))</f>
        <v>0</v>
      </c>
    </row>
    <row r="441" spans="1:6" x14ac:dyDescent="0.25">
      <c r="A441" s="4">
        <f>Pracownicy!A441</f>
        <v>0</v>
      </c>
      <c r="B441" s="4">
        <f>Pracownicy!B441</f>
        <v>0</v>
      </c>
      <c r="C441" s="4">
        <f>Pracownicy!C441</f>
        <v>0</v>
      </c>
      <c r="D441" s="4">
        <f>Pracownicy!D441</f>
        <v>0</v>
      </c>
      <c r="E441" s="4">
        <f>IF(A441="","",SUMIF(Wyniki!$A$2:$A$501,A441,Wyniki!$O$2:$O$501))</f>
        <v>0</v>
      </c>
      <c r="F441" s="4">
        <f>IF(A441="","",COUNTIF(Wyniki!$A$2:$A$501,A441))</f>
        <v>0</v>
      </c>
    </row>
    <row r="442" spans="1:6" x14ac:dyDescent="0.25">
      <c r="A442" s="4">
        <f>Pracownicy!A442</f>
        <v>0</v>
      </c>
      <c r="B442" s="4">
        <f>Pracownicy!B442</f>
        <v>0</v>
      </c>
      <c r="C442" s="4">
        <f>Pracownicy!C442</f>
        <v>0</v>
      </c>
      <c r="D442" s="4">
        <f>Pracownicy!D442</f>
        <v>0</v>
      </c>
      <c r="E442" s="4">
        <f>IF(A442="","",SUMIF(Wyniki!$A$2:$A$501,A442,Wyniki!$O$2:$O$501))</f>
        <v>0</v>
      </c>
      <c r="F442" s="4">
        <f>IF(A442="","",COUNTIF(Wyniki!$A$2:$A$501,A442))</f>
        <v>0</v>
      </c>
    </row>
    <row r="443" spans="1:6" x14ac:dyDescent="0.25">
      <c r="A443" s="4">
        <f>Pracownicy!A443</f>
        <v>0</v>
      </c>
      <c r="B443" s="4">
        <f>Pracownicy!B443</f>
        <v>0</v>
      </c>
      <c r="C443" s="4">
        <f>Pracownicy!C443</f>
        <v>0</v>
      </c>
      <c r="D443" s="4">
        <f>Pracownicy!D443</f>
        <v>0</v>
      </c>
      <c r="E443" s="4">
        <f>IF(A443="","",SUMIF(Wyniki!$A$2:$A$501,A443,Wyniki!$O$2:$O$501))</f>
        <v>0</v>
      </c>
      <c r="F443" s="4">
        <f>IF(A443="","",COUNTIF(Wyniki!$A$2:$A$501,A443))</f>
        <v>0</v>
      </c>
    </row>
    <row r="444" spans="1:6" x14ac:dyDescent="0.25">
      <c r="A444" s="4">
        <f>Pracownicy!A444</f>
        <v>0</v>
      </c>
      <c r="B444" s="4">
        <f>Pracownicy!B444</f>
        <v>0</v>
      </c>
      <c r="C444" s="4">
        <f>Pracownicy!C444</f>
        <v>0</v>
      </c>
      <c r="D444" s="4">
        <f>Pracownicy!D444</f>
        <v>0</v>
      </c>
      <c r="E444" s="4">
        <f>IF(A444="","",SUMIF(Wyniki!$A$2:$A$501,A444,Wyniki!$O$2:$O$501))</f>
        <v>0</v>
      </c>
      <c r="F444" s="4">
        <f>IF(A444="","",COUNTIF(Wyniki!$A$2:$A$501,A444))</f>
        <v>0</v>
      </c>
    </row>
    <row r="445" spans="1:6" x14ac:dyDescent="0.25">
      <c r="A445" s="4">
        <f>Pracownicy!A445</f>
        <v>0</v>
      </c>
      <c r="B445" s="4">
        <f>Pracownicy!B445</f>
        <v>0</v>
      </c>
      <c r="C445" s="4">
        <f>Pracownicy!C445</f>
        <v>0</v>
      </c>
      <c r="D445" s="4">
        <f>Pracownicy!D445</f>
        <v>0</v>
      </c>
      <c r="E445" s="4">
        <f>IF(A445="","",SUMIF(Wyniki!$A$2:$A$501,A445,Wyniki!$O$2:$O$501))</f>
        <v>0</v>
      </c>
      <c r="F445" s="4">
        <f>IF(A445="","",COUNTIF(Wyniki!$A$2:$A$501,A445))</f>
        <v>0</v>
      </c>
    </row>
    <row r="446" spans="1:6" x14ac:dyDescent="0.25">
      <c r="A446" s="4">
        <f>Pracownicy!A446</f>
        <v>0</v>
      </c>
      <c r="B446" s="4">
        <f>Pracownicy!B446</f>
        <v>0</v>
      </c>
      <c r="C446" s="4">
        <f>Pracownicy!C446</f>
        <v>0</v>
      </c>
      <c r="D446" s="4">
        <f>Pracownicy!D446</f>
        <v>0</v>
      </c>
      <c r="E446" s="4">
        <f>IF(A446="","",SUMIF(Wyniki!$A$2:$A$501,A446,Wyniki!$O$2:$O$501))</f>
        <v>0</v>
      </c>
      <c r="F446" s="4">
        <f>IF(A446="","",COUNTIF(Wyniki!$A$2:$A$501,A446))</f>
        <v>0</v>
      </c>
    </row>
    <row r="447" spans="1:6" x14ac:dyDescent="0.25">
      <c r="A447" s="4">
        <f>Pracownicy!A447</f>
        <v>0</v>
      </c>
      <c r="B447" s="4">
        <f>Pracownicy!B447</f>
        <v>0</v>
      </c>
      <c r="C447" s="4">
        <f>Pracownicy!C447</f>
        <v>0</v>
      </c>
      <c r="D447" s="4">
        <f>Pracownicy!D447</f>
        <v>0</v>
      </c>
      <c r="E447" s="4">
        <f>IF(A447="","",SUMIF(Wyniki!$A$2:$A$501,A447,Wyniki!$O$2:$O$501))</f>
        <v>0</v>
      </c>
      <c r="F447" s="4">
        <f>IF(A447="","",COUNTIF(Wyniki!$A$2:$A$501,A447))</f>
        <v>0</v>
      </c>
    </row>
    <row r="448" spans="1:6" x14ac:dyDescent="0.25">
      <c r="A448" s="4">
        <f>Pracownicy!A448</f>
        <v>0</v>
      </c>
      <c r="B448" s="4">
        <f>Pracownicy!B448</f>
        <v>0</v>
      </c>
      <c r="C448" s="4">
        <f>Pracownicy!C448</f>
        <v>0</v>
      </c>
      <c r="D448" s="4">
        <f>Pracownicy!D448</f>
        <v>0</v>
      </c>
      <c r="E448" s="4">
        <f>IF(A448="","",SUMIF(Wyniki!$A$2:$A$501,A448,Wyniki!$O$2:$O$501))</f>
        <v>0</v>
      </c>
      <c r="F448" s="4">
        <f>IF(A448="","",COUNTIF(Wyniki!$A$2:$A$501,A448))</f>
        <v>0</v>
      </c>
    </row>
    <row r="449" spans="1:6" x14ac:dyDescent="0.25">
      <c r="A449" s="4">
        <f>Pracownicy!A449</f>
        <v>0</v>
      </c>
      <c r="B449" s="4">
        <f>Pracownicy!B449</f>
        <v>0</v>
      </c>
      <c r="C449" s="4">
        <f>Pracownicy!C449</f>
        <v>0</v>
      </c>
      <c r="D449" s="4">
        <f>Pracownicy!D449</f>
        <v>0</v>
      </c>
      <c r="E449" s="4">
        <f>IF(A449="","",SUMIF(Wyniki!$A$2:$A$501,A449,Wyniki!$O$2:$O$501))</f>
        <v>0</v>
      </c>
      <c r="F449" s="4">
        <f>IF(A449="","",COUNTIF(Wyniki!$A$2:$A$501,A449))</f>
        <v>0</v>
      </c>
    </row>
    <row r="450" spans="1:6" x14ac:dyDescent="0.25">
      <c r="A450" s="4">
        <f>Pracownicy!A450</f>
        <v>0</v>
      </c>
      <c r="B450" s="4">
        <f>Pracownicy!B450</f>
        <v>0</v>
      </c>
      <c r="C450" s="4">
        <f>Pracownicy!C450</f>
        <v>0</v>
      </c>
      <c r="D450" s="4">
        <f>Pracownicy!D450</f>
        <v>0</v>
      </c>
      <c r="E450" s="4">
        <f>IF(A450="","",SUMIF(Wyniki!$A$2:$A$501,A450,Wyniki!$O$2:$O$501))</f>
        <v>0</v>
      </c>
      <c r="F450" s="4">
        <f>IF(A450="","",COUNTIF(Wyniki!$A$2:$A$501,A450))</f>
        <v>0</v>
      </c>
    </row>
    <row r="451" spans="1:6" x14ac:dyDescent="0.25">
      <c r="A451" s="4">
        <f>Pracownicy!A451</f>
        <v>0</v>
      </c>
      <c r="B451" s="4">
        <f>Pracownicy!B451</f>
        <v>0</v>
      </c>
      <c r="C451" s="4">
        <f>Pracownicy!C451</f>
        <v>0</v>
      </c>
      <c r="D451" s="4">
        <f>Pracownicy!D451</f>
        <v>0</v>
      </c>
      <c r="E451" s="4">
        <f>IF(A451="","",SUMIF(Wyniki!$A$2:$A$501,A451,Wyniki!$O$2:$O$501))</f>
        <v>0</v>
      </c>
      <c r="F451" s="4">
        <f>IF(A451="","",COUNTIF(Wyniki!$A$2:$A$501,A451))</f>
        <v>0</v>
      </c>
    </row>
    <row r="452" spans="1:6" x14ac:dyDescent="0.25">
      <c r="A452" s="4">
        <f>Pracownicy!A452</f>
        <v>0</v>
      </c>
      <c r="B452" s="4">
        <f>Pracownicy!B452</f>
        <v>0</v>
      </c>
      <c r="C452" s="4">
        <f>Pracownicy!C452</f>
        <v>0</v>
      </c>
      <c r="D452" s="4">
        <f>Pracownicy!D452</f>
        <v>0</v>
      </c>
      <c r="E452" s="4">
        <f>IF(A452="","",SUMIF(Wyniki!$A$2:$A$501,A452,Wyniki!$O$2:$O$501))</f>
        <v>0</v>
      </c>
      <c r="F452" s="4">
        <f>IF(A452="","",COUNTIF(Wyniki!$A$2:$A$501,A452))</f>
        <v>0</v>
      </c>
    </row>
    <row r="453" spans="1:6" x14ac:dyDescent="0.25">
      <c r="A453" s="4">
        <f>Pracownicy!A453</f>
        <v>0</v>
      </c>
      <c r="B453" s="4">
        <f>Pracownicy!B453</f>
        <v>0</v>
      </c>
      <c r="C453" s="4">
        <f>Pracownicy!C453</f>
        <v>0</v>
      </c>
      <c r="D453" s="4">
        <f>Pracownicy!D453</f>
        <v>0</v>
      </c>
      <c r="E453" s="4">
        <f>IF(A453="","",SUMIF(Wyniki!$A$2:$A$501,A453,Wyniki!$O$2:$O$501))</f>
        <v>0</v>
      </c>
      <c r="F453" s="4">
        <f>IF(A453="","",COUNTIF(Wyniki!$A$2:$A$501,A453))</f>
        <v>0</v>
      </c>
    </row>
    <row r="454" spans="1:6" x14ac:dyDescent="0.25">
      <c r="A454" s="4">
        <f>Pracownicy!A454</f>
        <v>0</v>
      </c>
      <c r="B454" s="4">
        <f>Pracownicy!B454</f>
        <v>0</v>
      </c>
      <c r="C454" s="4">
        <f>Pracownicy!C454</f>
        <v>0</v>
      </c>
      <c r="D454" s="4">
        <f>Pracownicy!D454</f>
        <v>0</v>
      </c>
      <c r="E454" s="4">
        <f>IF(A454="","",SUMIF(Wyniki!$A$2:$A$501,A454,Wyniki!$O$2:$O$501))</f>
        <v>0</v>
      </c>
      <c r="F454" s="4">
        <f>IF(A454="","",COUNTIF(Wyniki!$A$2:$A$501,A454))</f>
        <v>0</v>
      </c>
    </row>
    <row r="455" spans="1:6" x14ac:dyDescent="0.25">
      <c r="A455" s="4">
        <f>Pracownicy!A455</f>
        <v>0</v>
      </c>
      <c r="B455" s="4">
        <f>Pracownicy!B455</f>
        <v>0</v>
      </c>
      <c r="C455" s="4">
        <f>Pracownicy!C455</f>
        <v>0</v>
      </c>
      <c r="D455" s="4">
        <f>Pracownicy!D455</f>
        <v>0</v>
      </c>
      <c r="E455" s="4">
        <f>IF(A455="","",SUMIF(Wyniki!$A$2:$A$501,A455,Wyniki!$O$2:$O$501))</f>
        <v>0</v>
      </c>
      <c r="F455" s="4">
        <f>IF(A455="","",COUNTIF(Wyniki!$A$2:$A$501,A455))</f>
        <v>0</v>
      </c>
    </row>
    <row r="456" spans="1:6" x14ac:dyDescent="0.25">
      <c r="A456" s="4">
        <f>Pracownicy!A456</f>
        <v>0</v>
      </c>
      <c r="B456" s="4">
        <f>Pracownicy!B456</f>
        <v>0</v>
      </c>
      <c r="C456" s="4">
        <f>Pracownicy!C456</f>
        <v>0</v>
      </c>
      <c r="D456" s="4">
        <f>Pracownicy!D456</f>
        <v>0</v>
      </c>
      <c r="E456" s="4">
        <f>IF(A456="","",SUMIF(Wyniki!$A$2:$A$501,A456,Wyniki!$O$2:$O$501))</f>
        <v>0</v>
      </c>
      <c r="F456" s="4">
        <f>IF(A456="","",COUNTIF(Wyniki!$A$2:$A$501,A456))</f>
        <v>0</v>
      </c>
    </row>
    <row r="457" spans="1:6" x14ac:dyDescent="0.25">
      <c r="A457" s="4">
        <f>Pracownicy!A457</f>
        <v>0</v>
      </c>
      <c r="B457" s="4">
        <f>Pracownicy!B457</f>
        <v>0</v>
      </c>
      <c r="C457" s="4">
        <f>Pracownicy!C457</f>
        <v>0</v>
      </c>
      <c r="D457" s="4">
        <f>Pracownicy!D457</f>
        <v>0</v>
      </c>
      <c r="E457" s="4">
        <f>IF(A457="","",SUMIF(Wyniki!$A$2:$A$501,A457,Wyniki!$O$2:$O$501))</f>
        <v>0</v>
      </c>
      <c r="F457" s="4">
        <f>IF(A457="","",COUNTIF(Wyniki!$A$2:$A$501,A457))</f>
        <v>0</v>
      </c>
    </row>
    <row r="458" spans="1:6" x14ac:dyDescent="0.25">
      <c r="A458" s="4">
        <f>Pracownicy!A458</f>
        <v>0</v>
      </c>
      <c r="B458" s="4">
        <f>Pracownicy!B458</f>
        <v>0</v>
      </c>
      <c r="C458" s="4">
        <f>Pracownicy!C458</f>
        <v>0</v>
      </c>
      <c r="D458" s="4">
        <f>Pracownicy!D458</f>
        <v>0</v>
      </c>
      <c r="E458" s="4">
        <f>IF(A458="","",SUMIF(Wyniki!$A$2:$A$501,A458,Wyniki!$O$2:$O$501))</f>
        <v>0</v>
      </c>
      <c r="F458" s="4">
        <f>IF(A458="","",COUNTIF(Wyniki!$A$2:$A$501,A458))</f>
        <v>0</v>
      </c>
    </row>
    <row r="459" spans="1:6" x14ac:dyDescent="0.25">
      <c r="A459" s="4">
        <f>Pracownicy!A459</f>
        <v>0</v>
      </c>
      <c r="B459" s="4">
        <f>Pracownicy!B459</f>
        <v>0</v>
      </c>
      <c r="C459" s="4">
        <f>Pracownicy!C459</f>
        <v>0</v>
      </c>
      <c r="D459" s="4">
        <f>Pracownicy!D459</f>
        <v>0</v>
      </c>
      <c r="E459" s="4">
        <f>IF(A459="","",SUMIF(Wyniki!$A$2:$A$501,A459,Wyniki!$O$2:$O$501))</f>
        <v>0</v>
      </c>
      <c r="F459" s="4">
        <f>IF(A459="","",COUNTIF(Wyniki!$A$2:$A$501,A459))</f>
        <v>0</v>
      </c>
    </row>
    <row r="460" spans="1:6" x14ac:dyDescent="0.25">
      <c r="A460" s="4">
        <f>Pracownicy!A460</f>
        <v>0</v>
      </c>
      <c r="B460" s="4">
        <f>Pracownicy!B460</f>
        <v>0</v>
      </c>
      <c r="C460" s="4">
        <f>Pracownicy!C460</f>
        <v>0</v>
      </c>
      <c r="D460" s="4">
        <f>Pracownicy!D460</f>
        <v>0</v>
      </c>
      <c r="E460" s="4">
        <f>IF(A460="","",SUMIF(Wyniki!$A$2:$A$501,A460,Wyniki!$O$2:$O$501))</f>
        <v>0</v>
      </c>
      <c r="F460" s="4">
        <f>IF(A460="","",COUNTIF(Wyniki!$A$2:$A$501,A460))</f>
        <v>0</v>
      </c>
    </row>
    <row r="461" spans="1:6" x14ac:dyDescent="0.25">
      <c r="A461" s="4">
        <f>Pracownicy!A461</f>
        <v>0</v>
      </c>
      <c r="B461" s="4">
        <f>Pracownicy!B461</f>
        <v>0</v>
      </c>
      <c r="C461" s="4">
        <f>Pracownicy!C461</f>
        <v>0</v>
      </c>
      <c r="D461" s="4">
        <f>Pracownicy!D461</f>
        <v>0</v>
      </c>
      <c r="E461" s="4">
        <f>IF(A461="","",SUMIF(Wyniki!$A$2:$A$501,A461,Wyniki!$O$2:$O$501))</f>
        <v>0</v>
      </c>
      <c r="F461" s="4">
        <f>IF(A461="","",COUNTIF(Wyniki!$A$2:$A$501,A461))</f>
        <v>0</v>
      </c>
    </row>
    <row r="462" spans="1:6" x14ac:dyDescent="0.25">
      <c r="A462" s="4">
        <f>Pracownicy!A462</f>
        <v>0</v>
      </c>
      <c r="B462" s="4">
        <f>Pracownicy!B462</f>
        <v>0</v>
      </c>
      <c r="C462" s="4">
        <f>Pracownicy!C462</f>
        <v>0</v>
      </c>
      <c r="D462" s="4">
        <f>Pracownicy!D462</f>
        <v>0</v>
      </c>
      <c r="E462" s="4">
        <f>IF(A462="","",SUMIF(Wyniki!$A$2:$A$501,A462,Wyniki!$O$2:$O$501))</f>
        <v>0</v>
      </c>
      <c r="F462" s="4">
        <f>IF(A462="","",COUNTIF(Wyniki!$A$2:$A$501,A462))</f>
        <v>0</v>
      </c>
    </row>
    <row r="463" spans="1:6" x14ac:dyDescent="0.25">
      <c r="A463" s="4">
        <f>Pracownicy!A463</f>
        <v>0</v>
      </c>
      <c r="B463" s="4">
        <f>Pracownicy!B463</f>
        <v>0</v>
      </c>
      <c r="C463" s="4">
        <f>Pracownicy!C463</f>
        <v>0</v>
      </c>
      <c r="D463" s="4">
        <f>Pracownicy!D463</f>
        <v>0</v>
      </c>
      <c r="E463" s="4">
        <f>IF(A463="","",SUMIF(Wyniki!$A$2:$A$501,A463,Wyniki!$O$2:$O$501))</f>
        <v>0</v>
      </c>
      <c r="F463" s="4">
        <f>IF(A463="","",COUNTIF(Wyniki!$A$2:$A$501,A463))</f>
        <v>0</v>
      </c>
    </row>
    <row r="464" spans="1:6" x14ac:dyDescent="0.25">
      <c r="A464" s="4">
        <f>Pracownicy!A464</f>
        <v>0</v>
      </c>
      <c r="B464" s="4">
        <f>Pracownicy!B464</f>
        <v>0</v>
      </c>
      <c r="C464" s="4">
        <f>Pracownicy!C464</f>
        <v>0</v>
      </c>
      <c r="D464" s="4">
        <f>Pracownicy!D464</f>
        <v>0</v>
      </c>
      <c r="E464" s="4">
        <f>IF(A464="","",SUMIF(Wyniki!$A$2:$A$501,A464,Wyniki!$O$2:$O$501))</f>
        <v>0</v>
      </c>
      <c r="F464" s="4">
        <f>IF(A464="","",COUNTIF(Wyniki!$A$2:$A$501,A464))</f>
        <v>0</v>
      </c>
    </row>
    <row r="465" spans="1:6" x14ac:dyDescent="0.25">
      <c r="A465" s="4">
        <f>Pracownicy!A465</f>
        <v>0</v>
      </c>
      <c r="B465" s="4">
        <f>Pracownicy!B465</f>
        <v>0</v>
      </c>
      <c r="C465" s="4">
        <f>Pracownicy!C465</f>
        <v>0</v>
      </c>
      <c r="D465" s="4">
        <f>Pracownicy!D465</f>
        <v>0</v>
      </c>
      <c r="E465" s="4">
        <f>IF(A465="","",SUMIF(Wyniki!$A$2:$A$501,A465,Wyniki!$O$2:$O$501))</f>
        <v>0</v>
      </c>
      <c r="F465" s="4">
        <f>IF(A465="","",COUNTIF(Wyniki!$A$2:$A$501,A465))</f>
        <v>0</v>
      </c>
    </row>
    <row r="466" spans="1:6" x14ac:dyDescent="0.25">
      <c r="A466" s="4">
        <f>Pracownicy!A466</f>
        <v>0</v>
      </c>
      <c r="B466" s="4">
        <f>Pracownicy!B466</f>
        <v>0</v>
      </c>
      <c r="C466" s="4">
        <f>Pracownicy!C466</f>
        <v>0</v>
      </c>
      <c r="D466" s="4">
        <f>Pracownicy!D466</f>
        <v>0</v>
      </c>
      <c r="E466" s="4">
        <f>IF(A466="","",SUMIF(Wyniki!$A$2:$A$501,A466,Wyniki!$O$2:$O$501))</f>
        <v>0</v>
      </c>
      <c r="F466" s="4">
        <f>IF(A466="","",COUNTIF(Wyniki!$A$2:$A$501,A466))</f>
        <v>0</v>
      </c>
    </row>
    <row r="467" spans="1:6" x14ac:dyDescent="0.25">
      <c r="A467" s="4">
        <f>Pracownicy!A467</f>
        <v>0</v>
      </c>
      <c r="B467" s="4">
        <f>Pracownicy!B467</f>
        <v>0</v>
      </c>
      <c r="C467" s="4">
        <f>Pracownicy!C467</f>
        <v>0</v>
      </c>
      <c r="D467" s="4">
        <f>Pracownicy!D467</f>
        <v>0</v>
      </c>
      <c r="E467" s="4">
        <f>IF(A467="","",SUMIF(Wyniki!$A$2:$A$501,A467,Wyniki!$O$2:$O$501))</f>
        <v>0</v>
      </c>
      <c r="F467" s="4">
        <f>IF(A467="","",COUNTIF(Wyniki!$A$2:$A$501,A467))</f>
        <v>0</v>
      </c>
    </row>
    <row r="468" spans="1:6" x14ac:dyDescent="0.25">
      <c r="A468" s="4">
        <f>Pracownicy!A468</f>
        <v>0</v>
      </c>
      <c r="B468" s="4">
        <f>Pracownicy!B468</f>
        <v>0</v>
      </c>
      <c r="C468" s="4">
        <f>Pracownicy!C468</f>
        <v>0</v>
      </c>
      <c r="D468" s="4">
        <f>Pracownicy!D468</f>
        <v>0</v>
      </c>
      <c r="E468" s="4">
        <f>IF(A468="","",SUMIF(Wyniki!$A$2:$A$501,A468,Wyniki!$O$2:$O$501))</f>
        <v>0</v>
      </c>
      <c r="F468" s="4">
        <f>IF(A468="","",COUNTIF(Wyniki!$A$2:$A$501,A468))</f>
        <v>0</v>
      </c>
    </row>
    <row r="469" spans="1:6" x14ac:dyDescent="0.25">
      <c r="A469" s="4">
        <f>Pracownicy!A469</f>
        <v>0</v>
      </c>
      <c r="B469" s="4">
        <f>Pracownicy!B469</f>
        <v>0</v>
      </c>
      <c r="C469" s="4">
        <f>Pracownicy!C469</f>
        <v>0</v>
      </c>
      <c r="D469" s="4">
        <f>Pracownicy!D469</f>
        <v>0</v>
      </c>
      <c r="E469" s="4">
        <f>IF(A469="","",SUMIF(Wyniki!$A$2:$A$501,A469,Wyniki!$O$2:$O$501))</f>
        <v>0</v>
      </c>
      <c r="F469" s="4">
        <f>IF(A469="","",COUNTIF(Wyniki!$A$2:$A$501,A469))</f>
        <v>0</v>
      </c>
    </row>
    <row r="470" spans="1:6" x14ac:dyDescent="0.25">
      <c r="A470" s="4">
        <f>Pracownicy!A470</f>
        <v>0</v>
      </c>
      <c r="B470" s="4">
        <f>Pracownicy!B470</f>
        <v>0</v>
      </c>
      <c r="C470" s="4">
        <f>Pracownicy!C470</f>
        <v>0</v>
      </c>
      <c r="D470" s="4">
        <f>Pracownicy!D470</f>
        <v>0</v>
      </c>
      <c r="E470" s="4">
        <f>IF(A470="","",SUMIF(Wyniki!$A$2:$A$501,A470,Wyniki!$O$2:$O$501))</f>
        <v>0</v>
      </c>
      <c r="F470" s="4">
        <f>IF(A470="","",COUNTIF(Wyniki!$A$2:$A$501,A470))</f>
        <v>0</v>
      </c>
    </row>
    <row r="471" spans="1:6" x14ac:dyDescent="0.25">
      <c r="A471" s="4">
        <f>Pracownicy!A471</f>
        <v>0</v>
      </c>
      <c r="B471" s="4">
        <f>Pracownicy!B471</f>
        <v>0</v>
      </c>
      <c r="C471" s="4">
        <f>Pracownicy!C471</f>
        <v>0</v>
      </c>
      <c r="D471" s="4">
        <f>Pracownicy!D471</f>
        <v>0</v>
      </c>
      <c r="E471" s="4">
        <f>IF(A471="","",SUMIF(Wyniki!$A$2:$A$501,A471,Wyniki!$O$2:$O$501))</f>
        <v>0</v>
      </c>
      <c r="F471" s="4">
        <f>IF(A471="","",COUNTIF(Wyniki!$A$2:$A$501,A471))</f>
        <v>0</v>
      </c>
    </row>
    <row r="472" spans="1:6" x14ac:dyDescent="0.25">
      <c r="A472" s="4">
        <f>Pracownicy!A472</f>
        <v>0</v>
      </c>
      <c r="B472" s="4">
        <f>Pracownicy!B472</f>
        <v>0</v>
      </c>
      <c r="C472" s="4">
        <f>Pracownicy!C472</f>
        <v>0</v>
      </c>
      <c r="D472" s="4">
        <f>Pracownicy!D472</f>
        <v>0</v>
      </c>
      <c r="E472" s="4">
        <f>IF(A472="","",SUMIF(Wyniki!$A$2:$A$501,A472,Wyniki!$O$2:$O$501))</f>
        <v>0</v>
      </c>
      <c r="F472" s="4">
        <f>IF(A472="","",COUNTIF(Wyniki!$A$2:$A$501,A472))</f>
        <v>0</v>
      </c>
    </row>
    <row r="473" spans="1:6" x14ac:dyDescent="0.25">
      <c r="A473" s="4">
        <f>Pracownicy!A473</f>
        <v>0</v>
      </c>
      <c r="B473" s="4">
        <f>Pracownicy!B473</f>
        <v>0</v>
      </c>
      <c r="C473" s="4">
        <f>Pracownicy!C473</f>
        <v>0</v>
      </c>
      <c r="D473" s="4">
        <f>Pracownicy!D473</f>
        <v>0</v>
      </c>
      <c r="E473" s="4">
        <f>IF(A473="","",SUMIF(Wyniki!$A$2:$A$501,A473,Wyniki!$O$2:$O$501))</f>
        <v>0</v>
      </c>
      <c r="F473" s="4">
        <f>IF(A473="","",COUNTIF(Wyniki!$A$2:$A$501,A473))</f>
        <v>0</v>
      </c>
    </row>
    <row r="474" spans="1:6" x14ac:dyDescent="0.25">
      <c r="A474" s="4">
        <f>Pracownicy!A474</f>
        <v>0</v>
      </c>
      <c r="B474" s="4">
        <f>Pracownicy!B474</f>
        <v>0</v>
      </c>
      <c r="C474" s="4">
        <f>Pracownicy!C474</f>
        <v>0</v>
      </c>
      <c r="D474" s="4">
        <f>Pracownicy!D474</f>
        <v>0</v>
      </c>
      <c r="E474" s="4">
        <f>IF(A474="","",SUMIF(Wyniki!$A$2:$A$501,A474,Wyniki!$O$2:$O$501))</f>
        <v>0</v>
      </c>
      <c r="F474" s="4">
        <f>IF(A474="","",COUNTIF(Wyniki!$A$2:$A$501,A474))</f>
        <v>0</v>
      </c>
    </row>
    <row r="475" spans="1:6" x14ac:dyDescent="0.25">
      <c r="A475" s="4">
        <f>Pracownicy!A475</f>
        <v>0</v>
      </c>
      <c r="B475" s="4">
        <f>Pracownicy!B475</f>
        <v>0</v>
      </c>
      <c r="C475" s="4">
        <f>Pracownicy!C475</f>
        <v>0</v>
      </c>
      <c r="D475" s="4">
        <f>Pracownicy!D475</f>
        <v>0</v>
      </c>
      <c r="E475" s="4">
        <f>IF(A475="","",SUMIF(Wyniki!$A$2:$A$501,A475,Wyniki!$O$2:$O$501))</f>
        <v>0</v>
      </c>
      <c r="F475" s="4">
        <f>IF(A475="","",COUNTIF(Wyniki!$A$2:$A$501,A475))</f>
        <v>0</v>
      </c>
    </row>
    <row r="476" spans="1:6" x14ac:dyDescent="0.25">
      <c r="A476" s="4">
        <f>Pracownicy!A476</f>
        <v>0</v>
      </c>
      <c r="B476" s="4">
        <f>Pracownicy!B476</f>
        <v>0</v>
      </c>
      <c r="C476" s="4">
        <f>Pracownicy!C476</f>
        <v>0</v>
      </c>
      <c r="D476" s="4">
        <f>Pracownicy!D476</f>
        <v>0</v>
      </c>
      <c r="E476" s="4">
        <f>IF(A476="","",SUMIF(Wyniki!$A$2:$A$501,A476,Wyniki!$O$2:$O$501))</f>
        <v>0</v>
      </c>
      <c r="F476" s="4">
        <f>IF(A476="","",COUNTIF(Wyniki!$A$2:$A$501,A476))</f>
        <v>0</v>
      </c>
    </row>
    <row r="477" spans="1:6" x14ac:dyDescent="0.25">
      <c r="A477" s="4">
        <f>Pracownicy!A477</f>
        <v>0</v>
      </c>
      <c r="B477" s="4">
        <f>Pracownicy!B477</f>
        <v>0</v>
      </c>
      <c r="C477" s="4">
        <f>Pracownicy!C477</f>
        <v>0</v>
      </c>
      <c r="D477" s="4">
        <f>Pracownicy!D477</f>
        <v>0</v>
      </c>
      <c r="E477" s="4">
        <f>IF(A477="","",SUMIF(Wyniki!$A$2:$A$501,A477,Wyniki!$O$2:$O$501))</f>
        <v>0</v>
      </c>
      <c r="F477" s="4">
        <f>IF(A477="","",COUNTIF(Wyniki!$A$2:$A$501,A477))</f>
        <v>0</v>
      </c>
    </row>
    <row r="478" spans="1:6" x14ac:dyDescent="0.25">
      <c r="A478" s="4">
        <f>Pracownicy!A478</f>
        <v>0</v>
      </c>
      <c r="B478" s="4">
        <f>Pracownicy!B478</f>
        <v>0</v>
      </c>
      <c r="C478" s="4">
        <f>Pracownicy!C478</f>
        <v>0</v>
      </c>
      <c r="D478" s="4">
        <f>Pracownicy!D478</f>
        <v>0</v>
      </c>
      <c r="E478" s="4">
        <f>IF(A478="","",SUMIF(Wyniki!$A$2:$A$501,A478,Wyniki!$O$2:$O$501))</f>
        <v>0</v>
      </c>
      <c r="F478" s="4">
        <f>IF(A478="","",COUNTIF(Wyniki!$A$2:$A$501,A478))</f>
        <v>0</v>
      </c>
    </row>
    <row r="479" spans="1:6" x14ac:dyDescent="0.25">
      <c r="A479" s="4">
        <f>Pracownicy!A479</f>
        <v>0</v>
      </c>
      <c r="B479" s="4">
        <f>Pracownicy!B479</f>
        <v>0</v>
      </c>
      <c r="C479" s="4">
        <f>Pracownicy!C479</f>
        <v>0</v>
      </c>
      <c r="D479" s="4">
        <f>Pracownicy!D479</f>
        <v>0</v>
      </c>
      <c r="E479" s="4">
        <f>IF(A479="","",SUMIF(Wyniki!$A$2:$A$501,A479,Wyniki!$O$2:$O$501))</f>
        <v>0</v>
      </c>
      <c r="F479" s="4">
        <f>IF(A479="","",COUNTIF(Wyniki!$A$2:$A$501,A479))</f>
        <v>0</v>
      </c>
    </row>
    <row r="480" spans="1:6" x14ac:dyDescent="0.25">
      <c r="A480" s="4">
        <f>Pracownicy!A480</f>
        <v>0</v>
      </c>
      <c r="B480" s="4">
        <f>Pracownicy!B480</f>
        <v>0</v>
      </c>
      <c r="C480" s="4">
        <f>Pracownicy!C480</f>
        <v>0</v>
      </c>
      <c r="D480" s="4">
        <f>Pracownicy!D480</f>
        <v>0</v>
      </c>
      <c r="E480" s="4">
        <f>IF(A480="","",SUMIF(Wyniki!$A$2:$A$501,A480,Wyniki!$O$2:$O$501))</f>
        <v>0</v>
      </c>
      <c r="F480" s="4">
        <f>IF(A480="","",COUNTIF(Wyniki!$A$2:$A$501,A480))</f>
        <v>0</v>
      </c>
    </row>
    <row r="481" spans="1:6" x14ac:dyDescent="0.25">
      <c r="A481" s="4">
        <f>Pracownicy!A481</f>
        <v>0</v>
      </c>
      <c r="B481" s="4">
        <f>Pracownicy!B481</f>
        <v>0</v>
      </c>
      <c r="C481" s="4">
        <f>Pracownicy!C481</f>
        <v>0</v>
      </c>
      <c r="D481" s="4">
        <f>Pracownicy!D481</f>
        <v>0</v>
      </c>
      <c r="E481" s="4">
        <f>IF(A481="","",SUMIF(Wyniki!$A$2:$A$501,A481,Wyniki!$O$2:$O$501))</f>
        <v>0</v>
      </c>
      <c r="F481" s="4">
        <f>IF(A481="","",COUNTIF(Wyniki!$A$2:$A$501,A481))</f>
        <v>0</v>
      </c>
    </row>
    <row r="482" spans="1:6" x14ac:dyDescent="0.25">
      <c r="A482" s="4">
        <f>Pracownicy!A482</f>
        <v>0</v>
      </c>
      <c r="B482" s="4">
        <f>Pracownicy!B482</f>
        <v>0</v>
      </c>
      <c r="C482" s="4">
        <f>Pracownicy!C482</f>
        <v>0</v>
      </c>
      <c r="D482" s="4">
        <f>Pracownicy!D482</f>
        <v>0</v>
      </c>
      <c r="E482" s="4">
        <f>IF(A482="","",SUMIF(Wyniki!$A$2:$A$501,A482,Wyniki!$O$2:$O$501))</f>
        <v>0</v>
      </c>
      <c r="F482" s="4">
        <f>IF(A482="","",COUNTIF(Wyniki!$A$2:$A$501,A482))</f>
        <v>0</v>
      </c>
    </row>
    <row r="483" spans="1:6" x14ac:dyDescent="0.25">
      <c r="A483" s="4">
        <f>Pracownicy!A483</f>
        <v>0</v>
      </c>
      <c r="B483" s="4">
        <f>Pracownicy!B483</f>
        <v>0</v>
      </c>
      <c r="C483" s="4">
        <f>Pracownicy!C483</f>
        <v>0</v>
      </c>
      <c r="D483" s="4">
        <f>Pracownicy!D483</f>
        <v>0</v>
      </c>
      <c r="E483" s="4">
        <f>IF(A483="","",SUMIF(Wyniki!$A$2:$A$501,A483,Wyniki!$O$2:$O$501))</f>
        <v>0</v>
      </c>
      <c r="F483" s="4">
        <f>IF(A483="","",COUNTIF(Wyniki!$A$2:$A$501,A483))</f>
        <v>0</v>
      </c>
    </row>
    <row r="484" spans="1:6" x14ac:dyDescent="0.25">
      <c r="A484" s="4">
        <f>Pracownicy!A484</f>
        <v>0</v>
      </c>
      <c r="B484" s="4">
        <f>Pracownicy!B484</f>
        <v>0</v>
      </c>
      <c r="C484" s="4">
        <f>Pracownicy!C484</f>
        <v>0</v>
      </c>
      <c r="D484" s="4">
        <f>Pracownicy!D484</f>
        <v>0</v>
      </c>
      <c r="E484" s="4">
        <f>IF(A484="","",SUMIF(Wyniki!$A$2:$A$501,A484,Wyniki!$O$2:$O$501))</f>
        <v>0</v>
      </c>
      <c r="F484" s="4">
        <f>IF(A484="","",COUNTIF(Wyniki!$A$2:$A$501,A484))</f>
        <v>0</v>
      </c>
    </row>
    <row r="485" spans="1:6" x14ac:dyDescent="0.25">
      <c r="A485" s="4">
        <f>Pracownicy!A485</f>
        <v>0</v>
      </c>
      <c r="B485" s="4">
        <f>Pracownicy!B485</f>
        <v>0</v>
      </c>
      <c r="C485" s="4">
        <f>Pracownicy!C485</f>
        <v>0</v>
      </c>
      <c r="D485" s="4">
        <f>Pracownicy!D485</f>
        <v>0</v>
      </c>
      <c r="E485" s="4">
        <f>IF(A485="","",SUMIF(Wyniki!$A$2:$A$501,A485,Wyniki!$O$2:$O$501))</f>
        <v>0</v>
      </c>
      <c r="F485" s="4">
        <f>IF(A485="","",COUNTIF(Wyniki!$A$2:$A$501,A485))</f>
        <v>0</v>
      </c>
    </row>
    <row r="486" spans="1:6" x14ac:dyDescent="0.25">
      <c r="A486" s="4">
        <f>Pracownicy!A486</f>
        <v>0</v>
      </c>
      <c r="B486" s="4">
        <f>Pracownicy!B486</f>
        <v>0</v>
      </c>
      <c r="C486" s="4">
        <f>Pracownicy!C486</f>
        <v>0</v>
      </c>
      <c r="D486" s="4">
        <f>Pracownicy!D486</f>
        <v>0</v>
      </c>
      <c r="E486" s="4">
        <f>IF(A486="","",SUMIF(Wyniki!$A$2:$A$501,A486,Wyniki!$O$2:$O$501))</f>
        <v>0</v>
      </c>
      <c r="F486" s="4">
        <f>IF(A486="","",COUNTIF(Wyniki!$A$2:$A$501,A486))</f>
        <v>0</v>
      </c>
    </row>
    <row r="487" spans="1:6" x14ac:dyDescent="0.25">
      <c r="A487" s="4">
        <f>Pracownicy!A487</f>
        <v>0</v>
      </c>
      <c r="B487" s="4">
        <f>Pracownicy!B487</f>
        <v>0</v>
      </c>
      <c r="C487" s="4">
        <f>Pracownicy!C487</f>
        <v>0</v>
      </c>
      <c r="D487" s="4">
        <f>Pracownicy!D487</f>
        <v>0</v>
      </c>
      <c r="E487" s="4">
        <f>IF(A487="","",SUMIF(Wyniki!$A$2:$A$501,A487,Wyniki!$O$2:$O$501))</f>
        <v>0</v>
      </c>
      <c r="F487" s="4">
        <f>IF(A487="","",COUNTIF(Wyniki!$A$2:$A$501,A487))</f>
        <v>0</v>
      </c>
    </row>
    <row r="488" spans="1:6" x14ac:dyDescent="0.25">
      <c r="A488" s="4">
        <f>Pracownicy!A488</f>
        <v>0</v>
      </c>
      <c r="B488" s="4">
        <f>Pracownicy!B488</f>
        <v>0</v>
      </c>
      <c r="C488" s="4">
        <f>Pracownicy!C488</f>
        <v>0</v>
      </c>
      <c r="D488" s="4">
        <f>Pracownicy!D488</f>
        <v>0</v>
      </c>
      <c r="E488" s="4">
        <f>IF(A488="","",SUMIF(Wyniki!$A$2:$A$501,A488,Wyniki!$O$2:$O$501))</f>
        <v>0</v>
      </c>
      <c r="F488" s="4">
        <f>IF(A488="","",COUNTIF(Wyniki!$A$2:$A$501,A488))</f>
        <v>0</v>
      </c>
    </row>
    <row r="489" spans="1:6" x14ac:dyDescent="0.25">
      <c r="A489" s="4">
        <f>Pracownicy!A489</f>
        <v>0</v>
      </c>
      <c r="B489" s="4">
        <f>Pracownicy!B489</f>
        <v>0</v>
      </c>
      <c r="C489" s="4">
        <f>Pracownicy!C489</f>
        <v>0</v>
      </c>
      <c r="D489" s="4">
        <f>Pracownicy!D489</f>
        <v>0</v>
      </c>
      <c r="E489" s="4">
        <f>IF(A489="","",SUMIF(Wyniki!$A$2:$A$501,A489,Wyniki!$O$2:$O$501))</f>
        <v>0</v>
      </c>
      <c r="F489" s="4">
        <f>IF(A489="","",COUNTIF(Wyniki!$A$2:$A$501,A489))</f>
        <v>0</v>
      </c>
    </row>
    <row r="490" spans="1:6" x14ac:dyDescent="0.25">
      <c r="A490" s="4">
        <f>Pracownicy!A490</f>
        <v>0</v>
      </c>
      <c r="B490" s="4">
        <f>Pracownicy!B490</f>
        <v>0</v>
      </c>
      <c r="C490" s="4">
        <f>Pracownicy!C490</f>
        <v>0</v>
      </c>
      <c r="D490" s="4">
        <f>Pracownicy!D490</f>
        <v>0</v>
      </c>
      <c r="E490" s="4">
        <f>IF(A490="","",SUMIF(Wyniki!$A$2:$A$501,A490,Wyniki!$O$2:$O$501))</f>
        <v>0</v>
      </c>
      <c r="F490" s="4">
        <f>IF(A490="","",COUNTIF(Wyniki!$A$2:$A$501,A490))</f>
        <v>0</v>
      </c>
    </row>
    <row r="491" spans="1:6" x14ac:dyDescent="0.25">
      <c r="A491" s="4">
        <f>Pracownicy!A491</f>
        <v>0</v>
      </c>
      <c r="B491" s="4">
        <f>Pracownicy!B491</f>
        <v>0</v>
      </c>
      <c r="C491" s="4">
        <f>Pracownicy!C491</f>
        <v>0</v>
      </c>
      <c r="D491" s="4">
        <f>Pracownicy!D491</f>
        <v>0</v>
      </c>
      <c r="E491" s="4">
        <f>IF(A491="","",SUMIF(Wyniki!$A$2:$A$501,A491,Wyniki!$O$2:$O$501))</f>
        <v>0</v>
      </c>
      <c r="F491" s="4">
        <f>IF(A491="","",COUNTIF(Wyniki!$A$2:$A$501,A491))</f>
        <v>0</v>
      </c>
    </row>
    <row r="492" spans="1:6" x14ac:dyDescent="0.25">
      <c r="A492" s="4">
        <f>Pracownicy!A492</f>
        <v>0</v>
      </c>
      <c r="B492" s="4">
        <f>Pracownicy!B492</f>
        <v>0</v>
      </c>
      <c r="C492" s="4">
        <f>Pracownicy!C492</f>
        <v>0</v>
      </c>
      <c r="D492" s="4">
        <f>Pracownicy!D492</f>
        <v>0</v>
      </c>
      <c r="E492" s="4">
        <f>IF(A492="","",SUMIF(Wyniki!$A$2:$A$501,A492,Wyniki!$O$2:$O$501))</f>
        <v>0</v>
      </c>
      <c r="F492" s="4">
        <f>IF(A492="","",COUNTIF(Wyniki!$A$2:$A$501,A492))</f>
        <v>0</v>
      </c>
    </row>
    <row r="493" spans="1:6" x14ac:dyDescent="0.25">
      <c r="A493" s="4">
        <f>Pracownicy!A493</f>
        <v>0</v>
      </c>
      <c r="B493" s="4">
        <f>Pracownicy!B493</f>
        <v>0</v>
      </c>
      <c r="C493" s="4">
        <f>Pracownicy!C493</f>
        <v>0</v>
      </c>
      <c r="D493" s="4">
        <f>Pracownicy!D493</f>
        <v>0</v>
      </c>
      <c r="E493" s="4">
        <f>IF(A493="","",SUMIF(Wyniki!$A$2:$A$501,A493,Wyniki!$O$2:$O$501))</f>
        <v>0</v>
      </c>
      <c r="F493" s="4">
        <f>IF(A493="","",COUNTIF(Wyniki!$A$2:$A$501,A493))</f>
        <v>0</v>
      </c>
    </row>
    <row r="494" spans="1:6" x14ac:dyDescent="0.25">
      <c r="A494" s="4">
        <f>Pracownicy!A494</f>
        <v>0</v>
      </c>
      <c r="B494" s="4">
        <f>Pracownicy!B494</f>
        <v>0</v>
      </c>
      <c r="C494" s="4">
        <f>Pracownicy!C494</f>
        <v>0</v>
      </c>
      <c r="D494" s="4">
        <f>Pracownicy!D494</f>
        <v>0</v>
      </c>
      <c r="E494" s="4">
        <f>IF(A494="","",SUMIF(Wyniki!$A$2:$A$501,A494,Wyniki!$O$2:$O$501))</f>
        <v>0</v>
      </c>
      <c r="F494" s="4">
        <f>IF(A494="","",COUNTIF(Wyniki!$A$2:$A$501,A494))</f>
        <v>0</v>
      </c>
    </row>
    <row r="495" spans="1:6" x14ac:dyDescent="0.25">
      <c r="A495" s="4">
        <f>Pracownicy!A495</f>
        <v>0</v>
      </c>
      <c r="B495" s="4">
        <f>Pracownicy!B495</f>
        <v>0</v>
      </c>
      <c r="C495" s="4">
        <f>Pracownicy!C495</f>
        <v>0</v>
      </c>
      <c r="D495" s="4">
        <f>Pracownicy!D495</f>
        <v>0</v>
      </c>
      <c r="E495" s="4">
        <f>IF(A495="","",SUMIF(Wyniki!$A$2:$A$501,A495,Wyniki!$O$2:$O$501))</f>
        <v>0</v>
      </c>
      <c r="F495" s="4">
        <f>IF(A495="","",COUNTIF(Wyniki!$A$2:$A$501,A495))</f>
        <v>0</v>
      </c>
    </row>
    <row r="496" spans="1:6" x14ac:dyDescent="0.25">
      <c r="A496" s="4">
        <f>Pracownicy!A496</f>
        <v>0</v>
      </c>
      <c r="B496" s="4">
        <f>Pracownicy!B496</f>
        <v>0</v>
      </c>
      <c r="C496" s="4">
        <f>Pracownicy!C496</f>
        <v>0</v>
      </c>
      <c r="D496" s="4">
        <f>Pracownicy!D496</f>
        <v>0</v>
      </c>
      <c r="E496" s="4">
        <f>IF(A496="","",SUMIF(Wyniki!$A$2:$A$501,A496,Wyniki!$O$2:$O$501))</f>
        <v>0</v>
      </c>
      <c r="F496" s="4">
        <f>IF(A496="","",COUNTIF(Wyniki!$A$2:$A$501,A496))</f>
        <v>0</v>
      </c>
    </row>
    <row r="497" spans="1:6" x14ac:dyDescent="0.25">
      <c r="A497" s="4">
        <f>Pracownicy!A497</f>
        <v>0</v>
      </c>
      <c r="B497" s="4">
        <f>Pracownicy!B497</f>
        <v>0</v>
      </c>
      <c r="C497" s="4">
        <f>Pracownicy!C497</f>
        <v>0</v>
      </c>
      <c r="D497" s="4">
        <f>Pracownicy!D497</f>
        <v>0</v>
      </c>
      <c r="E497" s="4">
        <f>IF(A497="","",SUMIF(Wyniki!$A$2:$A$501,A497,Wyniki!$O$2:$O$501))</f>
        <v>0</v>
      </c>
      <c r="F497" s="4">
        <f>IF(A497="","",COUNTIF(Wyniki!$A$2:$A$501,A497))</f>
        <v>0</v>
      </c>
    </row>
    <row r="498" spans="1:6" x14ac:dyDescent="0.25">
      <c r="A498" s="4">
        <f>Pracownicy!A498</f>
        <v>0</v>
      </c>
      <c r="B498" s="4">
        <f>Pracownicy!B498</f>
        <v>0</v>
      </c>
      <c r="C498" s="4">
        <f>Pracownicy!C498</f>
        <v>0</v>
      </c>
      <c r="D498" s="4">
        <f>Pracownicy!D498</f>
        <v>0</v>
      </c>
      <c r="E498" s="4">
        <f>IF(A498="","",SUMIF(Wyniki!$A$2:$A$501,A498,Wyniki!$O$2:$O$501))</f>
        <v>0</v>
      </c>
      <c r="F498" s="4">
        <f>IF(A498="","",COUNTIF(Wyniki!$A$2:$A$501,A498))</f>
        <v>0</v>
      </c>
    </row>
    <row r="499" spans="1:6" x14ac:dyDescent="0.25">
      <c r="A499" s="4">
        <f>Pracownicy!A499</f>
        <v>0</v>
      </c>
      <c r="B499" s="4">
        <f>Pracownicy!B499</f>
        <v>0</v>
      </c>
      <c r="C499" s="4">
        <f>Pracownicy!C499</f>
        <v>0</v>
      </c>
      <c r="D499" s="4">
        <f>Pracownicy!D499</f>
        <v>0</v>
      </c>
      <c r="E499" s="4">
        <f>IF(A499="","",SUMIF(Wyniki!$A$2:$A$501,A499,Wyniki!$O$2:$O$501))</f>
        <v>0</v>
      </c>
      <c r="F499" s="4">
        <f>IF(A499="","",COUNTIF(Wyniki!$A$2:$A$501,A499))</f>
        <v>0</v>
      </c>
    </row>
    <row r="500" spans="1:6" x14ac:dyDescent="0.25">
      <c r="A500" s="4">
        <f>Pracownicy!A500</f>
        <v>0</v>
      </c>
      <c r="B500" s="4">
        <f>Pracownicy!B500</f>
        <v>0</v>
      </c>
      <c r="C500" s="4">
        <f>Pracownicy!C500</f>
        <v>0</v>
      </c>
      <c r="D500" s="4">
        <f>Pracownicy!D500</f>
        <v>0</v>
      </c>
      <c r="E500" s="4">
        <f>IF(A500="","",SUMIF(Wyniki!$A$2:$A$501,A500,Wyniki!$O$2:$O$501))</f>
        <v>0</v>
      </c>
      <c r="F500" s="4">
        <f>IF(A500="","",COUNTIF(Wyniki!$A$2:$A$501,A500))</f>
        <v>0</v>
      </c>
    </row>
    <row r="501" spans="1:6" x14ac:dyDescent="0.25">
      <c r="A501" s="4">
        <f>Pracownicy!A501</f>
        <v>0</v>
      </c>
      <c r="B501" s="4">
        <f>Pracownicy!B501</f>
        <v>0</v>
      </c>
      <c r="C501" s="4">
        <f>Pracownicy!C501</f>
        <v>0</v>
      </c>
      <c r="D501" s="4">
        <f>Pracownicy!D501</f>
        <v>0</v>
      </c>
      <c r="E501" s="4">
        <f>IF(A501="","",SUMIF(Wyniki!$A$2:$A$501,A501,Wyniki!$O$2:$O$501))</f>
        <v>0</v>
      </c>
      <c r="F501" s="4">
        <f>IF(A501="","",COUNTIF(Wyniki!$A$2:$A$501,A501))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Instrukcja</vt:lpstr>
      <vt:lpstr>Ustawienia</vt:lpstr>
      <vt:lpstr>Pracownicy</vt:lpstr>
      <vt:lpstr>Projekty</vt:lpstr>
      <vt:lpstr>Milestones</vt:lpstr>
      <vt:lpstr>Zaangażowanie</vt:lpstr>
      <vt:lpstr>Wyniki</vt:lpstr>
      <vt:lpstr>Podsumowanie_milestone</vt:lpstr>
      <vt:lpstr>Kontrola</vt:lpstr>
      <vt:lpstr>Raport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Śliwa</cp:lastModifiedBy>
  <dcterms:created xsi:type="dcterms:W3CDTF">2026-05-21T15:35:50Z</dcterms:created>
  <dcterms:modified xsi:type="dcterms:W3CDTF">2026-09-17T05:08:42Z</dcterms:modified>
</cp:coreProperties>
</file>